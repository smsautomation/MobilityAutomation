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MobilityAutomation\src\testData\"/>
    </mc:Choice>
  </mc:AlternateContent>
  <xr:revisionPtr revIDLastSave="0" documentId="8_{7B0CC444-D5C1-47BE-AC98-90085730290B}" xr6:coauthVersionLast="40" xr6:coauthVersionMax="40" xr10:uidLastSave="{00000000-0000-0000-0000-000000000000}"/>
  <bookViews>
    <workbookView xWindow="-120" yWindow="-120" windowWidth="29040" windowHeight="15840" activeTab="1" xr2:uid="{00000000-000D-0000-FFFF-FFFF00000000}"/>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115" i="40" l="1"/>
  <c r="AI115" i="40"/>
  <c r="AG115" i="40"/>
  <c r="AF115" i="40"/>
  <c r="AC115" i="40"/>
  <c r="AB115" i="40"/>
  <c r="AA115" i="40"/>
  <c r="D115" i="40"/>
  <c r="BC115" i="40" s="1"/>
  <c r="BH115" i="40" s="1"/>
  <c r="AJ114" i="40"/>
  <c r="AI114" i="40"/>
  <c r="AG114" i="40"/>
  <c r="AF114" i="40"/>
  <c r="AC114" i="40"/>
  <c r="AB114" i="40"/>
  <c r="AA114" i="40"/>
  <c r="D114" i="40"/>
  <c r="BJ114" i="40" s="1"/>
  <c r="AJ113" i="40"/>
  <c r="AI113" i="40"/>
  <c r="AG113" i="40"/>
  <c r="AF113" i="40"/>
  <c r="AC113" i="40"/>
  <c r="AB113" i="40"/>
  <c r="AA113" i="40"/>
  <c r="D113" i="40"/>
  <c r="BC113" i="40" s="1"/>
  <c r="BH113" i="40" s="1"/>
  <c r="AJ112" i="40"/>
  <c r="AI112" i="40"/>
  <c r="AG112" i="40"/>
  <c r="AF112" i="40"/>
  <c r="AC112" i="40"/>
  <c r="AB112" i="40"/>
  <c r="AA112" i="40"/>
  <c r="D112" i="40"/>
  <c r="BJ112" i="40" s="1"/>
  <c r="AJ111" i="40"/>
  <c r="AI111" i="40"/>
  <c r="AG111" i="40"/>
  <c r="AF111" i="40"/>
  <c r="AC111" i="40"/>
  <c r="AB111" i="40"/>
  <c r="AA111" i="40"/>
  <c r="D111" i="40"/>
  <c r="BC111" i="40" s="1"/>
  <c r="BH111" i="40" s="1"/>
  <c r="AJ110" i="40"/>
  <c r="AI110" i="40"/>
  <c r="AG110" i="40"/>
  <c r="AF110" i="40"/>
  <c r="AC110" i="40"/>
  <c r="AB110" i="40"/>
  <c r="AA110" i="40"/>
  <c r="D110" i="40"/>
  <c r="BJ110" i="40" s="1"/>
  <c r="AJ109" i="40"/>
  <c r="AI109" i="40"/>
  <c r="AG109" i="40"/>
  <c r="AF109" i="40"/>
  <c r="AC109" i="40"/>
  <c r="AB109" i="40"/>
  <c r="AA109" i="40"/>
  <c r="D109" i="40"/>
  <c r="BC109" i="40" s="1"/>
  <c r="BH109" i="40" s="1"/>
  <c r="AJ108" i="40"/>
  <c r="AI108" i="40"/>
  <c r="AG108" i="40"/>
  <c r="AF108" i="40"/>
  <c r="AC108" i="40"/>
  <c r="AB108" i="40"/>
  <c r="AA108" i="40"/>
  <c r="D108" i="40"/>
  <c r="BJ108" i="40" s="1"/>
  <c r="AJ227" i="40"/>
  <c r="AI227" i="40"/>
  <c r="AG227" i="40"/>
  <c r="AF227" i="40"/>
  <c r="AC227" i="40"/>
  <c r="AB227" i="40"/>
  <c r="AA227" i="40"/>
  <c r="D227" i="40"/>
  <c r="CQ227" i="40" s="1"/>
  <c r="AJ226" i="40"/>
  <c r="AI226" i="40"/>
  <c r="AG226" i="40"/>
  <c r="AF226" i="40"/>
  <c r="AC226" i="40"/>
  <c r="AB226" i="40"/>
  <c r="AA226" i="40"/>
  <c r="D226" i="40"/>
  <c r="CO226" i="40" s="1"/>
  <c r="AJ225" i="40"/>
  <c r="AI225" i="40"/>
  <c r="AG225" i="40"/>
  <c r="AF225" i="40"/>
  <c r="AC225" i="40"/>
  <c r="AB225" i="40"/>
  <c r="AA225" i="40"/>
  <c r="D225" i="40"/>
  <c r="DN225" i="40" s="1"/>
  <c r="AJ224" i="40"/>
  <c r="AI224" i="40"/>
  <c r="AG224" i="40"/>
  <c r="AF224" i="40"/>
  <c r="AC224" i="40"/>
  <c r="AB224" i="40"/>
  <c r="AA224" i="40"/>
  <c r="D224" i="40"/>
  <c r="DB224" i="40" s="1"/>
  <c r="AJ223" i="40"/>
  <c r="AI223" i="40"/>
  <c r="AG223" i="40"/>
  <c r="AF223" i="40"/>
  <c r="AC223" i="40"/>
  <c r="AB223" i="40"/>
  <c r="AA223" i="40"/>
  <c r="D223" i="40"/>
  <c r="CQ223" i="40" s="1"/>
  <c r="AJ222" i="40"/>
  <c r="AI222" i="40"/>
  <c r="AG222" i="40"/>
  <c r="AF222" i="40"/>
  <c r="AC222" i="40"/>
  <c r="AB222" i="40"/>
  <c r="AA222" i="40"/>
  <c r="D222" i="40"/>
  <c r="CO222" i="40" s="1"/>
  <c r="AJ221" i="40"/>
  <c r="AI221" i="40"/>
  <c r="AG221" i="40"/>
  <c r="AF221" i="40"/>
  <c r="AC221" i="40"/>
  <c r="AB221" i="40"/>
  <c r="AA221" i="40"/>
  <c r="D221" i="40"/>
  <c r="DN221" i="40" s="1"/>
  <c r="AJ220" i="40"/>
  <c r="AI220" i="40"/>
  <c r="AG220" i="40"/>
  <c r="AF220" i="40"/>
  <c r="AC220" i="40"/>
  <c r="AB220" i="40"/>
  <c r="AA220" i="40"/>
  <c r="D220" i="40"/>
  <c r="DB220" i="40" s="1"/>
  <c r="AJ219" i="40"/>
  <c r="AI219" i="40"/>
  <c r="AG219" i="40"/>
  <c r="AF219" i="40"/>
  <c r="AC219" i="40"/>
  <c r="AB219" i="40"/>
  <c r="AA219" i="40"/>
  <c r="D219" i="40"/>
  <c r="CQ219" i="40" s="1"/>
  <c r="AJ218" i="40"/>
  <c r="AI218" i="40"/>
  <c r="AG218" i="40"/>
  <c r="AF218" i="40"/>
  <c r="AC218" i="40"/>
  <c r="AB218" i="40"/>
  <c r="AA218" i="40"/>
  <c r="D218" i="40"/>
  <c r="CO218" i="40" s="1"/>
  <c r="AJ217" i="40"/>
  <c r="AI217" i="40"/>
  <c r="AG217" i="40"/>
  <c r="AF217" i="40"/>
  <c r="AC217" i="40"/>
  <c r="AB217" i="40"/>
  <c r="AA217" i="40"/>
  <c r="D217" i="40"/>
  <c r="DN217" i="40" s="1"/>
  <c r="AJ216" i="40"/>
  <c r="AI216" i="40"/>
  <c r="AG216" i="40"/>
  <c r="AF216" i="40"/>
  <c r="AC216" i="40"/>
  <c r="AB216" i="40"/>
  <c r="AA216" i="40"/>
  <c r="D216" i="40"/>
  <c r="DB216" i="40" s="1"/>
  <c r="D205" i="40"/>
  <c r="L205" i="40" s="1"/>
  <c r="AA205" i="40"/>
  <c r="AB205" i="40"/>
  <c r="AC205" i="40"/>
  <c r="AF205" i="40"/>
  <c r="AG205" i="40"/>
  <c r="AI205" i="40"/>
  <c r="AJ205" i="40"/>
  <c r="D206" i="40"/>
  <c r="G206" i="40" s="1"/>
  <c r="AA206" i="40"/>
  <c r="AB206" i="40"/>
  <c r="AC206" i="40"/>
  <c r="AF206" i="40"/>
  <c r="AG206" i="40"/>
  <c r="AI206" i="40"/>
  <c r="AJ206" i="40"/>
  <c r="D207" i="40"/>
  <c r="G207" i="40" s="1"/>
  <c r="AA207" i="40"/>
  <c r="AB207" i="40"/>
  <c r="AC207" i="40"/>
  <c r="AF207" i="40"/>
  <c r="AG207" i="40"/>
  <c r="AI207" i="40"/>
  <c r="AJ207" i="40"/>
  <c r="D208" i="40"/>
  <c r="R208" i="40" s="1"/>
  <c r="AA208" i="40"/>
  <c r="AB208" i="40"/>
  <c r="AC208" i="40"/>
  <c r="AF208" i="40"/>
  <c r="AG208" i="40"/>
  <c r="AI208" i="40"/>
  <c r="AJ208" i="40"/>
  <c r="CQ208" i="40"/>
  <c r="D209" i="40"/>
  <c r="L209" i="40" s="1"/>
  <c r="AA209" i="40"/>
  <c r="AB209" i="40"/>
  <c r="AC209" i="40"/>
  <c r="AF209" i="40"/>
  <c r="AG209" i="40"/>
  <c r="AI209" i="40"/>
  <c r="AJ209" i="40"/>
  <c r="D210" i="40"/>
  <c r="G210" i="40" s="1"/>
  <c r="AA210" i="40"/>
  <c r="AB210" i="40"/>
  <c r="AC210" i="40"/>
  <c r="AF210" i="40"/>
  <c r="AG210" i="40"/>
  <c r="AI210" i="40"/>
  <c r="AJ210" i="40"/>
  <c r="D211" i="40"/>
  <c r="G211" i="40" s="1"/>
  <c r="AA211" i="40"/>
  <c r="AB211" i="40"/>
  <c r="AC211" i="40"/>
  <c r="AF211" i="40"/>
  <c r="AG211" i="40"/>
  <c r="AI211" i="40"/>
  <c r="AJ211" i="40"/>
  <c r="D212" i="40"/>
  <c r="R212" i="40" s="1"/>
  <c r="AA212" i="40"/>
  <c r="AB212" i="40"/>
  <c r="AC212" i="40"/>
  <c r="AF212" i="40"/>
  <c r="AG212" i="40"/>
  <c r="AI212" i="40"/>
  <c r="AJ212" i="40"/>
  <c r="D213" i="40"/>
  <c r="L213" i="40" s="1"/>
  <c r="AA213" i="40"/>
  <c r="AB213" i="40"/>
  <c r="AC213" i="40"/>
  <c r="AF213" i="40"/>
  <c r="AG213" i="40"/>
  <c r="AI213" i="40"/>
  <c r="AJ213" i="40"/>
  <c r="D214" i="40"/>
  <c r="G214" i="40" s="1"/>
  <c r="AA214" i="40"/>
  <c r="AB214" i="40"/>
  <c r="AC214" i="40"/>
  <c r="AF214" i="40"/>
  <c r="AG214" i="40"/>
  <c r="AI214" i="40"/>
  <c r="AJ214" i="40"/>
  <c r="D215" i="40"/>
  <c r="G215" i="40" s="1"/>
  <c r="AA215" i="40"/>
  <c r="AB215" i="40"/>
  <c r="AC215" i="40"/>
  <c r="AF215" i="40"/>
  <c r="AG215" i="40"/>
  <c r="AI215" i="40"/>
  <c r="AJ215" i="40"/>
  <c r="D204" i="40"/>
  <c r="L204" i="40" s="1"/>
  <c r="AA204" i="40"/>
  <c r="AB204" i="40"/>
  <c r="AC204" i="40"/>
  <c r="AF204" i="40"/>
  <c r="AG204" i="40"/>
  <c r="AI204" i="40"/>
  <c r="AJ204" i="40"/>
  <c r="AJ228" i="40"/>
  <c r="AI228" i="40"/>
  <c r="AG228" i="40"/>
  <c r="AF228" i="40"/>
  <c r="AC228" i="40"/>
  <c r="AB228" i="40"/>
  <c r="AA228" i="40"/>
  <c r="D228" i="40"/>
  <c r="CT228" i="40" s="1"/>
  <c r="AJ149" i="40"/>
  <c r="AI149" i="40"/>
  <c r="AG149" i="40"/>
  <c r="AF149" i="40"/>
  <c r="AC149" i="40"/>
  <c r="AB149" i="40"/>
  <c r="AA149" i="40"/>
  <c r="D149" i="40"/>
  <c r="CQ149" i="40" s="1"/>
  <c r="AJ148" i="40"/>
  <c r="AI148" i="40"/>
  <c r="AG148" i="40"/>
  <c r="AF148" i="40"/>
  <c r="AC148" i="40"/>
  <c r="AB148" i="40"/>
  <c r="AA148" i="40"/>
  <c r="D148" i="40"/>
  <c r="T148" i="40" s="1"/>
  <c r="AJ147" i="40"/>
  <c r="AI147" i="40"/>
  <c r="AG147" i="40"/>
  <c r="AF147" i="40"/>
  <c r="AC147" i="40"/>
  <c r="AB147" i="40"/>
  <c r="AA147" i="40"/>
  <c r="D147" i="40"/>
  <c r="CQ147" i="40" s="1"/>
  <c r="AJ146" i="40"/>
  <c r="AI146" i="40"/>
  <c r="AG146" i="40"/>
  <c r="AF146" i="40"/>
  <c r="AC146" i="40"/>
  <c r="AB146" i="40"/>
  <c r="AA146" i="40"/>
  <c r="D146" i="40"/>
  <c r="CQ146" i="40" s="1"/>
  <c r="AJ31" i="40"/>
  <c r="AI31" i="40"/>
  <c r="AG31" i="40"/>
  <c r="AF31" i="40"/>
  <c r="AC31" i="40"/>
  <c r="AB31" i="40"/>
  <c r="AA31" i="40"/>
  <c r="D31" i="40"/>
  <c r="CT31" i="40" s="1"/>
  <c r="AJ30" i="40"/>
  <c r="AI30" i="40"/>
  <c r="AG30" i="40"/>
  <c r="AF30" i="40"/>
  <c r="AC30" i="40"/>
  <c r="AB30" i="40"/>
  <c r="AA30" i="40"/>
  <c r="D30" i="40"/>
  <c r="DB30" i="40" s="1"/>
  <c r="AJ29" i="40"/>
  <c r="AI29" i="40"/>
  <c r="AG29" i="40"/>
  <c r="AF29" i="40"/>
  <c r="AC29" i="40"/>
  <c r="AB29" i="40"/>
  <c r="AA29" i="40"/>
  <c r="D29" i="40"/>
  <c r="DN29" i="40" s="1"/>
  <c r="AJ28" i="40"/>
  <c r="AI28" i="40"/>
  <c r="AG28" i="40"/>
  <c r="AF28" i="40"/>
  <c r="AC28" i="40"/>
  <c r="AB28" i="40"/>
  <c r="AA28" i="40"/>
  <c r="D28" i="40"/>
  <c r="CQ28" i="40" s="1"/>
  <c r="AJ27" i="40"/>
  <c r="AI27" i="40"/>
  <c r="AG27" i="40"/>
  <c r="AF27" i="40"/>
  <c r="AC27" i="40"/>
  <c r="AB27" i="40"/>
  <c r="AA27" i="40"/>
  <c r="D27" i="40"/>
  <c r="CT27" i="40" s="1"/>
  <c r="AJ26" i="40"/>
  <c r="AI26" i="40"/>
  <c r="AG26" i="40"/>
  <c r="AF26" i="40"/>
  <c r="AC26" i="40"/>
  <c r="AB26" i="40"/>
  <c r="AA26" i="40"/>
  <c r="D26" i="40"/>
  <c r="DB26" i="40" s="1"/>
  <c r="AJ25" i="40"/>
  <c r="AI25" i="40"/>
  <c r="AG25" i="40"/>
  <c r="AF25" i="40"/>
  <c r="AC25" i="40"/>
  <c r="AB25" i="40"/>
  <c r="AA25" i="40"/>
  <c r="D25" i="40"/>
  <c r="CQ25" i="40" s="1"/>
  <c r="AJ24" i="40"/>
  <c r="AI24" i="40"/>
  <c r="AG24" i="40"/>
  <c r="AF24" i="40"/>
  <c r="AC24" i="40"/>
  <c r="AB24" i="40"/>
  <c r="AA24" i="40"/>
  <c r="D24" i="40"/>
  <c r="CQ24" i="40" s="1"/>
  <c r="AJ23" i="40"/>
  <c r="AI23" i="40"/>
  <c r="AG23" i="40"/>
  <c r="AF23" i="40"/>
  <c r="AC23" i="40"/>
  <c r="AB23" i="40"/>
  <c r="AA23" i="40"/>
  <c r="D23" i="40"/>
  <c r="CT23" i="40" s="1"/>
  <c r="AJ22" i="40"/>
  <c r="AI22" i="40"/>
  <c r="AG22" i="40"/>
  <c r="AF22" i="40"/>
  <c r="AC22" i="40"/>
  <c r="AB22" i="40"/>
  <c r="AA22" i="40"/>
  <c r="D22" i="40"/>
  <c r="DB22" i="40" s="1"/>
  <c r="AJ21" i="40"/>
  <c r="AI21" i="40"/>
  <c r="AG21" i="40"/>
  <c r="AF21" i="40"/>
  <c r="AC21" i="40"/>
  <c r="AB21" i="40"/>
  <c r="AA21" i="40"/>
  <c r="D21" i="40"/>
  <c r="CQ21" i="40" s="1"/>
  <c r="AJ20" i="40"/>
  <c r="AI20" i="40"/>
  <c r="AG20" i="40"/>
  <c r="AF20" i="40"/>
  <c r="AC20" i="40"/>
  <c r="AB20" i="40"/>
  <c r="AA20" i="40"/>
  <c r="D20" i="40"/>
  <c r="CQ20" i="40" s="1"/>
  <c r="AJ19" i="40"/>
  <c r="AI19" i="40"/>
  <c r="AG19" i="40"/>
  <c r="AF19" i="40"/>
  <c r="AC19" i="40"/>
  <c r="AB19" i="40"/>
  <c r="AA19" i="40"/>
  <c r="D19" i="40"/>
  <c r="CT19" i="40" s="1"/>
  <c r="AJ18" i="40"/>
  <c r="AI18" i="40"/>
  <c r="AG18" i="40"/>
  <c r="AF18" i="40"/>
  <c r="AC18" i="40"/>
  <c r="AB18" i="40"/>
  <c r="AA18" i="40"/>
  <c r="D18" i="40"/>
  <c r="DB18" i="40" s="1"/>
  <c r="AJ17" i="40"/>
  <c r="AI17" i="40"/>
  <c r="AG17" i="40"/>
  <c r="AF17" i="40"/>
  <c r="AC17" i="40"/>
  <c r="AB17" i="40"/>
  <c r="AA17" i="40"/>
  <c r="D17" i="40"/>
  <c r="DN17" i="40" s="1"/>
  <c r="AJ16" i="40"/>
  <c r="AI16" i="40"/>
  <c r="AG16" i="40"/>
  <c r="AF16" i="40"/>
  <c r="AC16" i="40"/>
  <c r="AB16" i="40"/>
  <c r="AA16" i="40"/>
  <c r="D16" i="40"/>
  <c r="CQ16" i="40" s="1"/>
  <c r="AJ15" i="40"/>
  <c r="AI15" i="40"/>
  <c r="AG15" i="40"/>
  <c r="AF15" i="40"/>
  <c r="AC15" i="40"/>
  <c r="AB15" i="40"/>
  <c r="AA15" i="40"/>
  <c r="D15" i="40"/>
  <c r="CT15" i="40" s="1"/>
  <c r="AJ14" i="40"/>
  <c r="AI14" i="40"/>
  <c r="AG14" i="40"/>
  <c r="AF14" i="40"/>
  <c r="AC14" i="40"/>
  <c r="AB14" i="40"/>
  <c r="AA14" i="40"/>
  <c r="D14" i="40"/>
  <c r="DB14" i="40" s="1"/>
  <c r="AJ13" i="40"/>
  <c r="AI13" i="40"/>
  <c r="AG13" i="40"/>
  <c r="AF13" i="40"/>
  <c r="AC13" i="40"/>
  <c r="AB13" i="40"/>
  <c r="AA13" i="40"/>
  <c r="D13" i="40"/>
  <c r="DN13" i="40" s="1"/>
  <c r="AJ12" i="40"/>
  <c r="AI12" i="40"/>
  <c r="AG12" i="40"/>
  <c r="AF12" i="40"/>
  <c r="AC12" i="40"/>
  <c r="AB12" i="40"/>
  <c r="AA12" i="40"/>
  <c r="D12" i="40"/>
  <c r="CQ12" i="40" s="1"/>
  <c r="AJ11" i="40"/>
  <c r="AI11" i="40"/>
  <c r="AG11" i="40"/>
  <c r="AF11" i="40"/>
  <c r="AC11" i="40"/>
  <c r="AB11" i="40"/>
  <c r="AA11" i="40"/>
  <c r="D11" i="40"/>
  <c r="CT11" i="40" s="1"/>
  <c r="AJ10" i="40"/>
  <c r="AI10" i="40"/>
  <c r="AG10" i="40"/>
  <c r="AF10" i="40"/>
  <c r="AC10" i="40"/>
  <c r="AB10" i="40"/>
  <c r="AA10" i="40"/>
  <c r="D10" i="40"/>
  <c r="DB10" i="40" s="1"/>
  <c r="AJ9" i="40"/>
  <c r="AI9" i="40"/>
  <c r="AG9" i="40"/>
  <c r="AF9" i="40"/>
  <c r="AC9" i="40"/>
  <c r="AB9" i="40"/>
  <c r="AA9" i="40"/>
  <c r="D9" i="40"/>
  <c r="DN9" i="40" s="1"/>
  <c r="AJ8" i="40"/>
  <c r="AI8" i="40"/>
  <c r="AG8" i="40"/>
  <c r="AF8" i="40"/>
  <c r="AC8" i="40"/>
  <c r="AB8" i="40"/>
  <c r="AA8" i="40"/>
  <c r="D8" i="40"/>
  <c r="CQ8" i="40" s="1"/>
  <c r="AJ7" i="40"/>
  <c r="AI7" i="40"/>
  <c r="AG7" i="40"/>
  <c r="AF7" i="40"/>
  <c r="AC7" i="40"/>
  <c r="AB7" i="40"/>
  <c r="AA7" i="40"/>
  <c r="D7" i="40"/>
  <c r="CT7" i="40" s="1"/>
  <c r="AJ6" i="40"/>
  <c r="AI6" i="40"/>
  <c r="AG6" i="40"/>
  <c r="AF6" i="40"/>
  <c r="AC6" i="40"/>
  <c r="AB6" i="40"/>
  <c r="AA6" i="40"/>
  <c r="D6" i="40"/>
  <c r="DB6" i="40" s="1"/>
  <c r="AJ5" i="40"/>
  <c r="AI5" i="40"/>
  <c r="AG5" i="40"/>
  <c r="AF5" i="40"/>
  <c r="AC5" i="40"/>
  <c r="AB5" i="40"/>
  <c r="AA5" i="40"/>
  <c r="D5" i="40"/>
  <c r="DN5" i="40" s="1"/>
  <c r="AJ4" i="40"/>
  <c r="AI4" i="40"/>
  <c r="AG4" i="40"/>
  <c r="AF4" i="40"/>
  <c r="AC4" i="40"/>
  <c r="AB4" i="40"/>
  <c r="AA4" i="40"/>
  <c r="D4" i="40"/>
  <c r="CQ4" i="40" s="1"/>
  <c r="AJ3" i="40"/>
  <c r="AI3" i="40"/>
  <c r="AG3" i="40"/>
  <c r="AF3" i="40"/>
  <c r="AC3" i="40"/>
  <c r="AB3" i="40"/>
  <c r="AA3" i="40"/>
  <c r="D3" i="40"/>
  <c r="CT3" i="40" s="1"/>
  <c r="AJ2" i="40"/>
  <c r="AI2" i="40"/>
  <c r="AG2" i="40"/>
  <c r="AF2" i="40"/>
  <c r="AC2" i="40"/>
  <c r="AB2" i="40"/>
  <c r="AA2" i="40"/>
  <c r="D2" i="40"/>
  <c r="CT2" i="40" s="1"/>
  <c r="AJ95" i="40"/>
  <c r="AI95" i="40"/>
  <c r="AG95" i="40"/>
  <c r="AF95" i="40"/>
  <c r="AC95" i="40"/>
  <c r="AB95" i="40"/>
  <c r="AA95" i="40"/>
  <c r="D95" i="40"/>
  <c r="DN95" i="40" s="1"/>
  <c r="AJ94" i="40"/>
  <c r="AI94" i="40"/>
  <c r="AG94" i="40"/>
  <c r="AF94" i="40"/>
  <c r="AC94" i="40"/>
  <c r="AB94" i="40"/>
  <c r="AA94" i="40"/>
  <c r="D94" i="40"/>
  <c r="BO94" i="40" s="1"/>
  <c r="AJ93" i="40"/>
  <c r="AI93" i="40"/>
  <c r="AG93" i="40"/>
  <c r="AF93" i="40"/>
  <c r="AC93" i="40"/>
  <c r="AB93" i="40"/>
  <c r="AA93" i="40"/>
  <c r="D93" i="40"/>
  <c r="BJ93" i="40" s="1"/>
  <c r="AJ92" i="40"/>
  <c r="AI92" i="40"/>
  <c r="AG92" i="40"/>
  <c r="AF92" i="40"/>
  <c r="AC92" i="40"/>
  <c r="AB92" i="40"/>
  <c r="AA92" i="40"/>
  <c r="D92" i="40"/>
  <c r="AL92" i="40" s="1"/>
  <c r="AJ91" i="40"/>
  <c r="AI91" i="40"/>
  <c r="AG91" i="40"/>
  <c r="AF91" i="40"/>
  <c r="AC91" i="40"/>
  <c r="AB91" i="40"/>
  <c r="AA91" i="40"/>
  <c r="D91" i="40"/>
  <c r="DN91" i="40" s="1"/>
  <c r="AJ90" i="40"/>
  <c r="AI90" i="40"/>
  <c r="AG90" i="40"/>
  <c r="AF90" i="40"/>
  <c r="AC90" i="40"/>
  <c r="AB90" i="40"/>
  <c r="AA90" i="40"/>
  <c r="D90" i="40"/>
  <c r="BO90" i="40" s="1"/>
  <c r="AJ89" i="40"/>
  <c r="AI89" i="40"/>
  <c r="AG89" i="40"/>
  <c r="AF89" i="40"/>
  <c r="AC89" i="40"/>
  <c r="AB89" i="40"/>
  <c r="AA89" i="40"/>
  <c r="D89" i="40"/>
  <c r="BJ89" i="40" s="1"/>
  <c r="AJ88" i="40"/>
  <c r="AI88" i="40"/>
  <c r="AG88" i="40"/>
  <c r="AF88" i="40"/>
  <c r="AC88" i="40"/>
  <c r="AB88" i="40"/>
  <c r="AA88" i="40"/>
  <c r="D88" i="40"/>
  <c r="AL88" i="40" s="1"/>
  <c r="AJ87" i="40"/>
  <c r="AI87" i="40"/>
  <c r="AG87" i="40"/>
  <c r="AF87" i="40"/>
  <c r="AC87" i="40"/>
  <c r="AB87" i="40"/>
  <c r="AA87" i="40"/>
  <c r="D87" i="40"/>
  <c r="DN87" i="40" s="1"/>
  <c r="AJ86" i="40"/>
  <c r="AI86" i="40"/>
  <c r="AG86" i="40"/>
  <c r="AF86" i="40"/>
  <c r="AC86" i="40"/>
  <c r="AB86" i="40"/>
  <c r="AA86" i="40"/>
  <c r="D86" i="40"/>
  <c r="BO86" i="40" s="1"/>
  <c r="AJ85" i="40"/>
  <c r="AI85" i="40"/>
  <c r="AG85" i="40"/>
  <c r="AF85" i="40"/>
  <c r="AC85" i="40"/>
  <c r="AB85" i="40"/>
  <c r="AA85" i="40"/>
  <c r="D85" i="40"/>
  <c r="BJ85" i="40" s="1"/>
  <c r="AJ84" i="40"/>
  <c r="AI84" i="40"/>
  <c r="AG84" i="40"/>
  <c r="AF84" i="40"/>
  <c r="AC84" i="40"/>
  <c r="AB84" i="40"/>
  <c r="AA84" i="40"/>
  <c r="D84" i="40"/>
  <c r="AL84" i="40" s="1"/>
  <c r="AJ203" i="40"/>
  <c r="AI203" i="40"/>
  <c r="AG203" i="40"/>
  <c r="AF203" i="40"/>
  <c r="AC203" i="40"/>
  <c r="AB203" i="40"/>
  <c r="AA203" i="40"/>
  <c r="D203" i="40"/>
  <c r="CT203" i="40" s="1"/>
  <c r="AJ202" i="40"/>
  <c r="AI202" i="40"/>
  <c r="AG202" i="40"/>
  <c r="AF202" i="40"/>
  <c r="AC202" i="40"/>
  <c r="AB202" i="40"/>
  <c r="AA202" i="40"/>
  <c r="D202" i="40"/>
  <c r="DB202" i="40" s="1"/>
  <c r="AJ201" i="40"/>
  <c r="AI201" i="40"/>
  <c r="AG201" i="40"/>
  <c r="AF201" i="40"/>
  <c r="AC201" i="40"/>
  <c r="AB201" i="40"/>
  <c r="AA201" i="40"/>
  <c r="D201" i="40"/>
  <c r="DN201" i="40" s="1"/>
  <c r="AJ200" i="40"/>
  <c r="AI200" i="40"/>
  <c r="AG200" i="40"/>
  <c r="AF200" i="40"/>
  <c r="AC200" i="40"/>
  <c r="AB200" i="40"/>
  <c r="AA200" i="40"/>
  <c r="D200" i="40"/>
  <c r="CQ200" i="40" s="1"/>
  <c r="AJ199" i="40"/>
  <c r="AI199" i="40"/>
  <c r="AG199" i="40"/>
  <c r="AF199" i="40"/>
  <c r="AC199" i="40"/>
  <c r="AB199" i="40"/>
  <c r="AA199" i="40"/>
  <c r="D199" i="40"/>
  <c r="CT199" i="40" s="1"/>
  <c r="AJ198" i="40"/>
  <c r="AI198" i="40"/>
  <c r="AG198" i="40"/>
  <c r="AF198" i="40"/>
  <c r="AC198" i="40"/>
  <c r="AB198" i="40"/>
  <c r="AA198" i="40"/>
  <c r="D198" i="40"/>
  <c r="DB198" i="40" s="1"/>
  <c r="AJ197" i="40"/>
  <c r="AI197" i="40"/>
  <c r="AG197" i="40"/>
  <c r="AF197" i="40"/>
  <c r="AC197" i="40"/>
  <c r="AB197" i="40"/>
  <c r="AA197" i="40"/>
  <c r="D197" i="40"/>
  <c r="DN197" i="40" s="1"/>
  <c r="AJ196" i="40"/>
  <c r="AI196" i="40"/>
  <c r="AG196" i="40"/>
  <c r="AF196" i="40"/>
  <c r="AC196" i="40"/>
  <c r="AB196" i="40"/>
  <c r="AA196" i="40"/>
  <c r="D196" i="40"/>
  <c r="CQ196" i="40" s="1"/>
  <c r="AJ195" i="40"/>
  <c r="AI195" i="40"/>
  <c r="AG195" i="40"/>
  <c r="AF195" i="40"/>
  <c r="AC195" i="40"/>
  <c r="AB195" i="40"/>
  <c r="AA195" i="40"/>
  <c r="D195" i="40"/>
  <c r="CT195" i="40" s="1"/>
  <c r="AJ194" i="40"/>
  <c r="AI194" i="40"/>
  <c r="AG194" i="40"/>
  <c r="AF194" i="40"/>
  <c r="AC194" i="40"/>
  <c r="AB194" i="40"/>
  <c r="AA194" i="40"/>
  <c r="D194" i="40"/>
  <c r="DB194" i="40" s="1"/>
  <c r="AJ193" i="40"/>
  <c r="AI193" i="40"/>
  <c r="AG193" i="40"/>
  <c r="AF193" i="40"/>
  <c r="AC193" i="40"/>
  <c r="AB193" i="40"/>
  <c r="AA193" i="40"/>
  <c r="D193" i="40"/>
  <c r="DN193" i="40" s="1"/>
  <c r="AJ192" i="40"/>
  <c r="AI192" i="40"/>
  <c r="AG192" i="40"/>
  <c r="AF192" i="40"/>
  <c r="AC192" i="40"/>
  <c r="AB192" i="40"/>
  <c r="AA192" i="40"/>
  <c r="D192" i="40"/>
  <c r="CQ192" i="40" s="1"/>
  <c r="AJ191" i="40"/>
  <c r="AI191" i="40"/>
  <c r="AG191" i="40"/>
  <c r="AF191" i="40"/>
  <c r="AC191" i="40"/>
  <c r="AB191" i="40"/>
  <c r="AA191" i="40"/>
  <c r="D191" i="40"/>
  <c r="CT191" i="40" s="1"/>
  <c r="AJ190" i="40"/>
  <c r="AI190" i="40"/>
  <c r="AG190" i="40"/>
  <c r="AF190" i="40"/>
  <c r="AC190" i="40"/>
  <c r="AB190" i="40"/>
  <c r="AA190" i="40"/>
  <c r="D190" i="40"/>
  <c r="DB190" i="40" s="1"/>
  <c r="AJ189" i="40"/>
  <c r="AI189" i="40"/>
  <c r="AG189" i="40"/>
  <c r="AF189" i="40"/>
  <c r="AC189" i="40"/>
  <c r="AB189" i="40"/>
  <c r="AA189" i="40"/>
  <c r="D189" i="40"/>
  <c r="DN189" i="40" s="1"/>
  <c r="AJ188" i="40"/>
  <c r="AI188" i="40"/>
  <c r="AG188" i="40"/>
  <c r="AF188" i="40"/>
  <c r="AC188" i="40"/>
  <c r="AB188" i="40"/>
  <c r="AA188" i="40"/>
  <c r="D188" i="40"/>
  <c r="CQ188" i="40" s="1"/>
  <c r="AJ187" i="40"/>
  <c r="AI187" i="40"/>
  <c r="AG187" i="40"/>
  <c r="AF187" i="40"/>
  <c r="AC187" i="40"/>
  <c r="AB187" i="40"/>
  <c r="AA187" i="40"/>
  <c r="D187" i="40"/>
  <c r="CT187" i="40" s="1"/>
  <c r="AJ186" i="40"/>
  <c r="AI186" i="40"/>
  <c r="AG186" i="40"/>
  <c r="AF186" i="40"/>
  <c r="AC186" i="40"/>
  <c r="AB186" i="40"/>
  <c r="AA186" i="40"/>
  <c r="D186" i="40"/>
  <c r="DB186" i="40" s="1"/>
  <c r="AJ185" i="40"/>
  <c r="AI185" i="40"/>
  <c r="AG185" i="40"/>
  <c r="AF185" i="40"/>
  <c r="AC185" i="40"/>
  <c r="AB185" i="40"/>
  <c r="AA185" i="40"/>
  <c r="D185" i="40"/>
  <c r="DN185" i="40" s="1"/>
  <c r="AJ184" i="40"/>
  <c r="AI184" i="40"/>
  <c r="AG184" i="40"/>
  <c r="AF184" i="40"/>
  <c r="AC184" i="40"/>
  <c r="AB184" i="40"/>
  <c r="AA184" i="40"/>
  <c r="D184" i="40"/>
  <c r="CQ184" i="40" s="1"/>
  <c r="AJ183" i="40"/>
  <c r="AI183" i="40"/>
  <c r="AG183" i="40"/>
  <c r="AF183" i="40"/>
  <c r="AC183" i="40"/>
  <c r="AB183" i="40"/>
  <c r="AA183" i="40"/>
  <c r="D183" i="40"/>
  <c r="CT183" i="40" s="1"/>
  <c r="AJ182" i="40"/>
  <c r="AI182" i="40"/>
  <c r="AG182" i="40"/>
  <c r="AF182" i="40"/>
  <c r="AC182" i="40"/>
  <c r="AB182" i="40"/>
  <c r="AA182" i="40"/>
  <c r="D182" i="40"/>
  <c r="DB182" i="40" s="1"/>
  <c r="AJ181" i="40"/>
  <c r="AI181" i="40"/>
  <c r="AG181" i="40"/>
  <c r="AF181" i="40"/>
  <c r="AC181" i="40"/>
  <c r="AB181" i="40"/>
  <c r="AA181" i="40"/>
  <c r="D181" i="40"/>
  <c r="DN181" i="40" s="1"/>
  <c r="AJ180" i="40"/>
  <c r="AI180" i="40"/>
  <c r="AG180" i="40"/>
  <c r="AF180" i="40"/>
  <c r="AC180" i="40"/>
  <c r="AB180" i="40"/>
  <c r="AA180" i="40"/>
  <c r="D180" i="40"/>
  <c r="CQ180" i="40" s="1"/>
  <c r="AJ179" i="40"/>
  <c r="AI179" i="40"/>
  <c r="AG179" i="40"/>
  <c r="AF179" i="40"/>
  <c r="AC179" i="40"/>
  <c r="AB179" i="40"/>
  <c r="AA179" i="40"/>
  <c r="D179" i="40"/>
  <c r="CT179" i="40" s="1"/>
  <c r="AJ178" i="40"/>
  <c r="AI178" i="40"/>
  <c r="AG178" i="40"/>
  <c r="AF178" i="40"/>
  <c r="AC178" i="40"/>
  <c r="AB178" i="40"/>
  <c r="AA178" i="40"/>
  <c r="D178" i="40"/>
  <c r="DB178" i="40" s="1"/>
  <c r="AJ177" i="40"/>
  <c r="AI177" i="40"/>
  <c r="AG177" i="40"/>
  <c r="AF177" i="40"/>
  <c r="AC177" i="40"/>
  <c r="AB177" i="40"/>
  <c r="AA177" i="40"/>
  <c r="D177" i="40"/>
  <c r="DN177" i="40" s="1"/>
  <c r="AJ107" i="40"/>
  <c r="AI107" i="40"/>
  <c r="AG107" i="40"/>
  <c r="AF107" i="40"/>
  <c r="AC107" i="40"/>
  <c r="AB107" i="40"/>
  <c r="AA107" i="40"/>
  <c r="D107" i="40"/>
  <c r="BJ107" i="40" s="1"/>
  <c r="AJ106" i="40"/>
  <c r="AI106" i="40"/>
  <c r="AG106" i="40"/>
  <c r="AF106" i="40"/>
  <c r="AC106" i="40"/>
  <c r="AB106" i="40"/>
  <c r="AA106" i="40"/>
  <c r="D106" i="40"/>
  <c r="DN106" i="40" s="1"/>
  <c r="AJ105" i="40"/>
  <c r="AI105" i="40"/>
  <c r="AG105" i="40"/>
  <c r="AF105" i="40"/>
  <c r="AC105" i="40"/>
  <c r="AB105" i="40"/>
  <c r="AA105" i="40"/>
  <c r="D105" i="40"/>
  <c r="BO105" i="40" s="1"/>
  <c r="AJ104" i="40"/>
  <c r="AI104" i="40"/>
  <c r="AG104" i="40"/>
  <c r="AF104" i="40"/>
  <c r="AC104" i="40"/>
  <c r="AB104" i="40"/>
  <c r="AA104" i="40"/>
  <c r="D104" i="40"/>
  <c r="BJ104" i="40" s="1"/>
  <c r="AJ103" i="40"/>
  <c r="AI103" i="40"/>
  <c r="AG103" i="40"/>
  <c r="AF103" i="40"/>
  <c r="AC103" i="40"/>
  <c r="AB103" i="40"/>
  <c r="AA103" i="40"/>
  <c r="D103" i="40"/>
  <c r="BJ103" i="40" s="1"/>
  <c r="AJ102" i="40"/>
  <c r="AI102" i="40"/>
  <c r="AG102" i="40"/>
  <c r="AF102" i="40"/>
  <c r="AC102" i="40"/>
  <c r="AB102" i="40"/>
  <c r="AA102" i="40"/>
  <c r="D102" i="40"/>
  <c r="DN102" i="40" s="1"/>
  <c r="AJ101" i="40"/>
  <c r="AI101" i="40"/>
  <c r="AG101" i="40"/>
  <c r="AF101" i="40"/>
  <c r="AC101" i="40"/>
  <c r="AB101" i="40"/>
  <c r="AA101" i="40"/>
  <c r="D101" i="40"/>
  <c r="BO101" i="40" s="1"/>
  <c r="AJ100" i="40"/>
  <c r="AI100" i="40"/>
  <c r="AG100" i="40"/>
  <c r="AF100" i="40"/>
  <c r="AC100" i="40"/>
  <c r="AB100" i="40"/>
  <c r="AA100" i="40"/>
  <c r="D100" i="40"/>
  <c r="BJ100" i="40" s="1"/>
  <c r="AJ99" i="40"/>
  <c r="AI99" i="40"/>
  <c r="AG99" i="40"/>
  <c r="AF99" i="40"/>
  <c r="AC99" i="40"/>
  <c r="AB99" i="40"/>
  <c r="AA99" i="40"/>
  <c r="D99" i="40"/>
  <c r="BJ99" i="40" s="1"/>
  <c r="AJ98" i="40"/>
  <c r="AI98" i="40"/>
  <c r="AG98" i="40"/>
  <c r="AF98" i="40"/>
  <c r="AC98" i="40"/>
  <c r="AB98" i="40"/>
  <c r="AA98" i="40"/>
  <c r="D98" i="40"/>
  <c r="DN98" i="40" s="1"/>
  <c r="AJ97" i="40"/>
  <c r="AI97" i="40"/>
  <c r="AG97" i="40"/>
  <c r="AF97" i="40"/>
  <c r="AC97" i="40"/>
  <c r="AB97" i="40"/>
  <c r="AA97" i="40"/>
  <c r="D97" i="40"/>
  <c r="BO97" i="40" s="1"/>
  <c r="AJ96" i="40"/>
  <c r="AI96" i="40"/>
  <c r="AG96" i="40"/>
  <c r="AF96" i="40"/>
  <c r="AC96" i="40"/>
  <c r="AB96" i="40"/>
  <c r="AA96" i="40"/>
  <c r="D96" i="40"/>
  <c r="BJ96" i="40" s="1"/>
  <c r="AJ83" i="40"/>
  <c r="AI83" i="40"/>
  <c r="AG83" i="40"/>
  <c r="AF83" i="40"/>
  <c r="AC83" i="40"/>
  <c r="AB83" i="40"/>
  <c r="AA83" i="40"/>
  <c r="D83" i="40"/>
  <c r="AL83" i="40" s="1"/>
  <c r="AJ82" i="40"/>
  <c r="AI82" i="40"/>
  <c r="AG82" i="40"/>
  <c r="AF82" i="40"/>
  <c r="AC82" i="40"/>
  <c r="AB82" i="40"/>
  <c r="AA82" i="40"/>
  <c r="D82" i="40"/>
  <c r="DN82" i="40" s="1"/>
  <c r="AJ81" i="40"/>
  <c r="AI81" i="40"/>
  <c r="AG81" i="40"/>
  <c r="AF81" i="40"/>
  <c r="AC81" i="40"/>
  <c r="AB81" i="40"/>
  <c r="AA81" i="40"/>
  <c r="D81" i="40"/>
  <c r="BO81" i="40" s="1"/>
  <c r="AJ80" i="40"/>
  <c r="AI80" i="40"/>
  <c r="AG80" i="40"/>
  <c r="AF80" i="40"/>
  <c r="AC80" i="40"/>
  <c r="AB80" i="40"/>
  <c r="AA80" i="40"/>
  <c r="D80" i="40"/>
  <c r="BJ80" i="40" s="1"/>
  <c r="AJ79" i="40"/>
  <c r="AI79" i="40"/>
  <c r="AG79" i="40"/>
  <c r="AF79" i="40"/>
  <c r="AC79" i="40"/>
  <c r="AB79" i="40"/>
  <c r="AA79" i="40"/>
  <c r="D79" i="40"/>
  <c r="AL79" i="40" s="1"/>
  <c r="AJ78" i="40"/>
  <c r="AI78" i="40"/>
  <c r="AG78" i="40"/>
  <c r="AF78" i="40"/>
  <c r="AC78" i="40"/>
  <c r="AB78" i="40"/>
  <c r="AA78" i="40"/>
  <c r="D78" i="40"/>
  <c r="DN78" i="40" s="1"/>
  <c r="AJ77" i="40"/>
  <c r="AI77" i="40"/>
  <c r="AG77" i="40"/>
  <c r="AF77" i="40"/>
  <c r="AC77" i="40"/>
  <c r="AB77" i="40"/>
  <c r="AA77" i="40"/>
  <c r="D77" i="40"/>
  <c r="BO77" i="40" s="1"/>
  <c r="AJ76" i="40"/>
  <c r="AI76" i="40"/>
  <c r="AG76" i="40"/>
  <c r="AF76" i="40"/>
  <c r="AC76" i="40"/>
  <c r="AB76" i="40"/>
  <c r="AA76" i="40"/>
  <c r="D76" i="40"/>
  <c r="BJ76" i="40" s="1"/>
  <c r="AJ75" i="40"/>
  <c r="AI75" i="40"/>
  <c r="AG75" i="40"/>
  <c r="AF75" i="40"/>
  <c r="AC75" i="40"/>
  <c r="AB75" i="40"/>
  <c r="AA75" i="40"/>
  <c r="D75" i="40"/>
  <c r="AL75" i="40" s="1"/>
  <c r="AJ74" i="40"/>
  <c r="AI74" i="40"/>
  <c r="AG74" i="40"/>
  <c r="AF74" i="40"/>
  <c r="AC74" i="40"/>
  <c r="AB74" i="40"/>
  <c r="AA74" i="40"/>
  <c r="D74" i="40"/>
  <c r="DN74" i="40" s="1"/>
  <c r="AJ73" i="40"/>
  <c r="AI73" i="40"/>
  <c r="AG73" i="40"/>
  <c r="AF73" i="40"/>
  <c r="AC73" i="40"/>
  <c r="AB73" i="40"/>
  <c r="AA73" i="40"/>
  <c r="D73" i="40"/>
  <c r="BO73" i="40" s="1"/>
  <c r="AJ72" i="40"/>
  <c r="AI72" i="40"/>
  <c r="AG72" i="40"/>
  <c r="AF72" i="40"/>
  <c r="AC72" i="40"/>
  <c r="AB72" i="40"/>
  <c r="AA72" i="40"/>
  <c r="D72" i="40"/>
  <c r="BJ72" i="40" s="1"/>
  <c r="AJ176" i="40"/>
  <c r="AI176" i="40"/>
  <c r="AG176" i="40"/>
  <c r="AF176" i="40"/>
  <c r="AC176" i="40"/>
  <c r="AB176" i="40"/>
  <c r="AA176" i="40"/>
  <c r="D176" i="40"/>
  <c r="CQ176" i="40" s="1"/>
  <c r="AE206" i="40" l="1"/>
  <c r="CO210" i="40"/>
  <c r="L112" i="40"/>
  <c r="I216" i="40"/>
  <c r="I220" i="40"/>
  <c r="I224" i="40"/>
  <c r="I228" i="40"/>
  <c r="R110" i="40"/>
  <c r="I114" i="40"/>
  <c r="I219" i="40"/>
  <c r="I223" i="40"/>
  <c r="I227" i="40"/>
  <c r="CO215" i="40"/>
  <c r="L110" i="40"/>
  <c r="R114" i="40"/>
  <c r="I110" i="40"/>
  <c r="I218" i="40"/>
  <c r="I222" i="40"/>
  <c r="I226" i="40"/>
  <c r="L114" i="40"/>
  <c r="I217" i="40"/>
  <c r="I221" i="40"/>
  <c r="I225" i="40"/>
  <c r="BJ214" i="40"/>
  <c r="R112" i="40"/>
  <c r="AV113" i="40"/>
  <c r="AV115" i="40"/>
  <c r="S210" i="40"/>
  <c r="CJ210" i="40"/>
  <c r="G109" i="40"/>
  <c r="DN109" i="40"/>
  <c r="S110" i="40"/>
  <c r="AL110" i="40"/>
  <c r="G111" i="40"/>
  <c r="DN111" i="40"/>
  <c r="S112" i="40"/>
  <c r="AL112" i="40"/>
  <c r="G113" i="40"/>
  <c r="DN113" i="40"/>
  <c r="S114" i="40"/>
  <c r="AL114" i="40"/>
  <c r="G115" i="40"/>
  <c r="DN115" i="40"/>
  <c r="I111" i="40"/>
  <c r="I115" i="40"/>
  <c r="I204" i="40"/>
  <c r="AV109" i="40"/>
  <c r="AV111" i="40"/>
  <c r="Y109" i="40"/>
  <c r="AE109" i="40"/>
  <c r="Y111" i="40"/>
  <c r="AE111" i="40"/>
  <c r="Y113" i="40"/>
  <c r="AE113" i="40"/>
  <c r="Y115" i="40"/>
  <c r="AE115" i="40"/>
  <c r="I109" i="40"/>
  <c r="I113" i="40"/>
  <c r="CO214" i="40"/>
  <c r="AL210" i="40"/>
  <c r="T210" i="40"/>
  <c r="BC108" i="40"/>
  <c r="BH108" i="40" s="1"/>
  <c r="Q109" i="40"/>
  <c r="BC110" i="40"/>
  <c r="BH110" i="40" s="1"/>
  <c r="Q111" i="40"/>
  <c r="BC112" i="40"/>
  <c r="BH112" i="40" s="1"/>
  <c r="Q113" i="40"/>
  <c r="BC114" i="40"/>
  <c r="BH114" i="40" s="1"/>
  <c r="Q115" i="40"/>
  <c r="I108" i="40"/>
  <c r="I112" i="40"/>
  <c r="I12" i="40"/>
  <c r="I76" i="40"/>
  <c r="I92" i="40"/>
  <c r="I147" i="40"/>
  <c r="I180" i="40"/>
  <c r="I188" i="40"/>
  <c r="I196" i="40"/>
  <c r="I215" i="40"/>
  <c r="AL207" i="40"/>
  <c r="I11" i="40"/>
  <c r="I27" i="40"/>
  <c r="I83" i="40"/>
  <c r="I107" i="40"/>
  <c r="I187" i="40"/>
  <c r="I211" i="40"/>
  <c r="AM109" i="40"/>
  <c r="BJ109" i="40"/>
  <c r="P111" i="40"/>
  <c r="T111" i="40"/>
  <c r="AH111" i="40"/>
  <c r="AM113" i="40"/>
  <c r="BJ115" i="40"/>
  <c r="AH212" i="40"/>
  <c r="AM211" i="40"/>
  <c r="AH211" i="40"/>
  <c r="I8" i="40"/>
  <c r="I16" i="40"/>
  <c r="I24" i="40"/>
  <c r="I72" i="40"/>
  <c r="I80" i="40"/>
  <c r="I88" i="40"/>
  <c r="I96" i="40"/>
  <c r="I104" i="40"/>
  <c r="I176" i="40"/>
  <c r="I184" i="40"/>
  <c r="I192" i="40"/>
  <c r="I200" i="40"/>
  <c r="I208" i="40"/>
  <c r="AV108" i="40"/>
  <c r="DN108" i="40"/>
  <c r="L109" i="40"/>
  <c r="S109" i="40"/>
  <c r="AL109" i="40"/>
  <c r="G110" i="40"/>
  <c r="Q110" i="40"/>
  <c r="Y110" i="40"/>
  <c r="AE110" i="40"/>
  <c r="AV110" i="40"/>
  <c r="DN110" i="40"/>
  <c r="L111" i="40"/>
  <c r="S111" i="40"/>
  <c r="AL111" i="40"/>
  <c r="G112" i="40"/>
  <c r="Q112" i="40"/>
  <c r="Y112" i="40"/>
  <c r="AE112" i="40"/>
  <c r="AV112" i="40"/>
  <c r="DN112" i="40"/>
  <c r="L113" i="40"/>
  <c r="S113" i="40"/>
  <c r="AL113" i="40"/>
  <c r="G114" i="40"/>
  <c r="Q114" i="40"/>
  <c r="Y114" i="40"/>
  <c r="AE114" i="40"/>
  <c r="AV114" i="40"/>
  <c r="DN114" i="40"/>
  <c r="L115" i="40"/>
  <c r="S115" i="40"/>
  <c r="AL115" i="40"/>
  <c r="I4" i="40"/>
  <c r="I20" i="40"/>
  <c r="I28" i="40"/>
  <c r="I84" i="40"/>
  <c r="I100" i="40"/>
  <c r="CQ212" i="40"/>
  <c r="AL211" i="40"/>
  <c r="S207" i="40"/>
  <c r="I3" i="40"/>
  <c r="I19" i="40"/>
  <c r="I75" i="40"/>
  <c r="I91" i="40"/>
  <c r="I99" i="40"/>
  <c r="I179" i="40"/>
  <c r="I195" i="40"/>
  <c r="I203" i="40"/>
  <c r="P109" i="40"/>
  <c r="T109" i="40"/>
  <c r="AH109" i="40"/>
  <c r="AM111" i="40"/>
  <c r="BJ111" i="40"/>
  <c r="P113" i="40"/>
  <c r="T113" i="40"/>
  <c r="AH113" i="40"/>
  <c r="BJ113" i="40"/>
  <c r="P115" i="40"/>
  <c r="T115" i="40"/>
  <c r="AH115" i="40"/>
  <c r="AM115" i="40"/>
  <c r="CQ211" i="40"/>
  <c r="I7" i="40"/>
  <c r="I15" i="40"/>
  <c r="I23" i="40"/>
  <c r="I31" i="40"/>
  <c r="I79" i="40"/>
  <c r="I87" i="40"/>
  <c r="I95" i="40"/>
  <c r="I103" i="40"/>
  <c r="I148" i="40"/>
  <c r="I183" i="40"/>
  <c r="I191" i="40"/>
  <c r="I199" i="40"/>
  <c r="I207" i="40"/>
  <c r="R109" i="40"/>
  <c r="P110" i="40"/>
  <c r="T110" i="40"/>
  <c r="AH110" i="40"/>
  <c r="AM110" i="40"/>
  <c r="R111" i="40"/>
  <c r="P112" i="40"/>
  <c r="T112" i="40"/>
  <c r="AH112" i="40"/>
  <c r="AM112" i="40"/>
  <c r="R113" i="40"/>
  <c r="P114" i="40"/>
  <c r="T114" i="40"/>
  <c r="AH114" i="40"/>
  <c r="AM114" i="40"/>
  <c r="R115" i="40"/>
  <c r="T108" i="40"/>
  <c r="AH108" i="40"/>
  <c r="G108" i="40"/>
  <c r="Q108" i="40"/>
  <c r="Y108" i="40"/>
  <c r="AE108" i="40"/>
  <c r="P108" i="40"/>
  <c r="AM108" i="40"/>
  <c r="L108" i="40"/>
  <c r="S108" i="40"/>
  <c r="AL108" i="40"/>
  <c r="R108" i="40"/>
  <c r="CJ220" i="40"/>
  <c r="I212" i="40"/>
  <c r="P212" i="40"/>
  <c r="Y220" i="40"/>
  <c r="AE220" i="40"/>
  <c r="Q214" i="40"/>
  <c r="T212" i="40"/>
  <c r="CO206" i="40"/>
  <c r="Q220" i="40"/>
  <c r="I2" i="40"/>
  <c r="I6" i="40"/>
  <c r="I10" i="40"/>
  <c r="I14" i="40"/>
  <c r="I18" i="40"/>
  <c r="I22" i="40"/>
  <c r="I26" i="40"/>
  <c r="I30" i="40"/>
  <c r="I74" i="40"/>
  <c r="I78" i="40"/>
  <c r="I82" i="40"/>
  <c r="I86" i="40"/>
  <c r="I90" i="40"/>
  <c r="I94" i="40"/>
  <c r="I98" i="40"/>
  <c r="I102" i="40"/>
  <c r="I106" i="40"/>
  <c r="I146" i="40"/>
  <c r="I178" i="40"/>
  <c r="I182" i="40"/>
  <c r="I186" i="40"/>
  <c r="I190" i="40"/>
  <c r="I194" i="40"/>
  <c r="I198" i="40"/>
  <c r="I202" i="40"/>
  <c r="I206" i="40"/>
  <c r="I210" i="40"/>
  <c r="I214" i="40"/>
  <c r="AV214" i="40"/>
  <c r="EA214" i="40" s="1"/>
  <c r="S214" i="40"/>
  <c r="AM212" i="40"/>
  <c r="DB211" i="40"/>
  <c r="P211" i="40"/>
  <c r="AM210" i="40"/>
  <c r="AH210" i="40"/>
  <c r="L210" i="40"/>
  <c r="L220" i="40"/>
  <c r="DN220" i="40"/>
  <c r="I5" i="40"/>
  <c r="I9" i="40"/>
  <c r="I13" i="40"/>
  <c r="I17" i="40"/>
  <c r="I21" i="40"/>
  <c r="I25" i="40"/>
  <c r="I29" i="40"/>
  <c r="I73" i="40"/>
  <c r="I77" i="40"/>
  <c r="I81" i="40"/>
  <c r="I85" i="40"/>
  <c r="I89" i="40"/>
  <c r="I93" i="40"/>
  <c r="I97" i="40"/>
  <c r="I101" i="40"/>
  <c r="I105" i="40"/>
  <c r="I149" i="40"/>
  <c r="I177" i="40"/>
  <c r="I181" i="40"/>
  <c r="I185" i="40"/>
  <c r="I189" i="40"/>
  <c r="I193" i="40"/>
  <c r="I197" i="40"/>
  <c r="I201" i="40"/>
  <c r="I205" i="40"/>
  <c r="I209" i="40"/>
  <c r="I213" i="40"/>
  <c r="S224" i="40"/>
  <c r="DN224" i="40"/>
  <c r="AE214" i="40"/>
  <c r="Y214" i="40"/>
  <c r="BC211" i="40"/>
  <c r="BH211" i="40" s="1"/>
  <c r="R211" i="40"/>
  <c r="DB210" i="40"/>
  <c r="AV210" i="40"/>
  <c r="AE210" i="40"/>
  <c r="Y210" i="40"/>
  <c r="P210" i="40"/>
  <c r="BJ209" i="40"/>
  <c r="BC207" i="40"/>
  <c r="BH207" i="40" s="1"/>
  <c r="S216" i="40"/>
  <c r="CJ216" i="40"/>
  <c r="CQ218" i="40"/>
  <c r="AL220" i="40"/>
  <c r="R223" i="40"/>
  <c r="BC223" i="40"/>
  <c r="BH223" i="40" s="1"/>
  <c r="Q224" i="40"/>
  <c r="CJ224" i="40"/>
  <c r="CO211" i="40"/>
  <c r="S211" i="40"/>
  <c r="DN210" i="40"/>
  <c r="BJ210" i="40"/>
  <c r="Q210" i="40"/>
  <c r="DB209" i="40"/>
  <c r="AH209" i="40"/>
  <c r="CO207" i="40"/>
  <c r="AH205" i="40"/>
  <c r="G216" i="40"/>
  <c r="Y218" i="40"/>
  <c r="AE218" i="40"/>
  <c r="CO219" i="40"/>
  <c r="L224" i="40"/>
  <c r="AL224" i="40"/>
  <c r="Q226" i="40"/>
  <c r="AV226" i="40"/>
  <c r="EA226" i="40" s="1"/>
  <c r="G218" i="40"/>
  <c r="R219" i="40"/>
  <c r="BC219" i="40"/>
  <c r="BH219" i="40" s="1"/>
  <c r="G224" i="40"/>
  <c r="Y224" i="40"/>
  <c r="AE224" i="40"/>
  <c r="Y206" i="40"/>
  <c r="S222" i="40"/>
  <c r="AL215" i="40"/>
  <c r="S215" i="40"/>
  <c r="AH213" i="40"/>
  <c r="AM208" i="40"/>
  <c r="AH208" i="40"/>
  <c r="P208" i="40"/>
  <c r="AV206" i="40"/>
  <c r="EA206" i="40" s="1"/>
  <c r="Q206" i="40"/>
  <c r="Q216" i="40"/>
  <c r="AL216" i="40"/>
  <c r="DN216" i="40"/>
  <c r="Q218" i="40"/>
  <c r="AV218" i="40"/>
  <c r="EA218" i="40" s="1"/>
  <c r="G220" i="40"/>
  <c r="S220" i="40"/>
  <c r="BC220" i="40"/>
  <c r="BH220" i="40" s="1"/>
  <c r="CQ220" i="40"/>
  <c r="L222" i="40"/>
  <c r="AL222" i="40"/>
  <c r="DN222" i="40"/>
  <c r="R224" i="40"/>
  <c r="AV224" i="40"/>
  <c r="EA224" i="40" s="1"/>
  <c r="CO224" i="40"/>
  <c r="G226" i="40"/>
  <c r="Y226" i="40"/>
  <c r="AE226" i="40"/>
  <c r="CQ226" i="40"/>
  <c r="CO227" i="40"/>
  <c r="BC215" i="40"/>
  <c r="BH215" i="40" s="1"/>
  <c r="DB214" i="40"/>
  <c r="AL214" i="40"/>
  <c r="L214" i="40"/>
  <c r="BJ211" i="40"/>
  <c r="T211" i="40"/>
  <c r="L211" i="40"/>
  <c r="CQ210" i="40"/>
  <c r="BC210" i="40"/>
  <c r="BH210" i="40" s="1"/>
  <c r="R210" i="40"/>
  <c r="AM209" i="40"/>
  <c r="BJ208" i="40"/>
  <c r="S208" i="40"/>
  <c r="DB207" i="40"/>
  <c r="P207" i="40"/>
  <c r="BJ206" i="40"/>
  <c r="S206" i="40"/>
  <c r="BJ205" i="40"/>
  <c r="L216" i="40"/>
  <c r="Y216" i="40"/>
  <c r="AE216" i="40"/>
  <c r="CQ216" i="40"/>
  <c r="L218" i="40"/>
  <c r="AL218" i="40"/>
  <c r="DN218" i="40"/>
  <c r="R220" i="40"/>
  <c r="AV220" i="40"/>
  <c r="EA220" i="40" s="1"/>
  <c r="CO220" i="40"/>
  <c r="G222" i="40"/>
  <c r="Y222" i="40"/>
  <c r="AE222" i="40"/>
  <c r="CQ222" i="40"/>
  <c r="CO223" i="40"/>
  <c r="S226" i="40"/>
  <c r="CJ226" i="40"/>
  <c r="R227" i="40"/>
  <c r="BC227" i="40"/>
  <c r="BH227" i="40" s="1"/>
  <c r="T208" i="40"/>
  <c r="CJ222" i="40"/>
  <c r="DB215" i="40"/>
  <c r="P215" i="40"/>
  <c r="BJ213" i="40"/>
  <c r="DB208" i="40"/>
  <c r="AL208" i="40"/>
  <c r="L208" i="40"/>
  <c r="DB206" i="40"/>
  <c r="AL206" i="40"/>
  <c r="L206" i="40"/>
  <c r="R216" i="40"/>
  <c r="AV216" i="40"/>
  <c r="EA216" i="40" s="1"/>
  <c r="S218" i="40"/>
  <c r="CJ218" i="40"/>
  <c r="Q222" i="40"/>
  <c r="AV222" i="40"/>
  <c r="EA222" i="40" s="1"/>
  <c r="BC224" i="40"/>
  <c r="BH224" i="40" s="1"/>
  <c r="CQ224" i="40"/>
  <c r="L226" i="40"/>
  <c r="AL226" i="40"/>
  <c r="DN226" i="40"/>
  <c r="P217" i="40"/>
  <c r="T217" i="40"/>
  <c r="AH217" i="40"/>
  <c r="AM217" i="40"/>
  <c r="BJ217" i="40"/>
  <c r="DB217" i="40"/>
  <c r="P221" i="40"/>
  <c r="T221" i="40"/>
  <c r="AH221" i="40"/>
  <c r="AM221" i="40"/>
  <c r="BJ221" i="40"/>
  <c r="DB221" i="40"/>
  <c r="P225" i="40"/>
  <c r="T225" i="40"/>
  <c r="AH225" i="40"/>
  <c r="AM225" i="40"/>
  <c r="BJ225" i="40"/>
  <c r="DB225" i="40"/>
  <c r="CQ215" i="40"/>
  <c r="AM215" i="40"/>
  <c r="AH215" i="40"/>
  <c r="R215" i="40"/>
  <c r="DN214" i="40"/>
  <c r="CJ214" i="40"/>
  <c r="AM214" i="40"/>
  <c r="AH214" i="40"/>
  <c r="T214" i="40"/>
  <c r="P214" i="40"/>
  <c r="DB213" i="40"/>
  <c r="P213" i="40"/>
  <c r="BJ212" i="40"/>
  <c r="S212" i="40"/>
  <c r="CQ207" i="40"/>
  <c r="AM207" i="40"/>
  <c r="AH207" i="40"/>
  <c r="R207" i="40"/>
  <c r="DN206" i="40"/>
  <c r="CJ206" i="40"/>
  <c r="AM206" i="40"/>
  <c r="AH206" i="40"/>
  <c r="T206" i="40"/>
  <c r="P206" i="40"/>
  <c r="DB205" i="40"/>
  <c r="P205" i="40"/>
  <c r="BC216" i="40"/>
  <c r="BH216" i="40" s="1"/>
  <c r="CO216" i="40"/>
  <c r="L217" i="40"/>
  <c r="S217" i="40"/>
  <c r="AL217" i="40"/>
  <c r="CQ217" i="40"/>
  <c r="P218" i="40"/>
  <c r="T218" i="40"/>
  <c r="AH218" i="40"/>
  <c r="AM218" i="40"/>
  <c r="BJ218" i="40"/>
  <c r="DB218" i="40"/>
  <c r="G219" i="40"/>
  <c r="Q219" i="40"/>
  <c r="Y219" i="40"/>
  <c r="AE219" i="40"/>
  <c r="AV219" i="40"/>
  <c r="CJ219" i="40"/>
  <c r="DN219" i="40"/>
  <c r="L221" i="40"/>
  <c r="S221" i="40"/>
  <c r="AL221" i="40"/>
  <c r="CQ221" i="40"/>
  <c r="P222" i="40"/>
  <c r="T222" i="40"/>
  <c r="AH222" i="40"/>
  <c r="AM222" i="40"/>
  <c r="BJ222" i="40"/>
  <c r="DB222" i="40"/>
  <c r="G223" i="40"/>
  <c r="Q223" i="40"/>
  <c r="Y223" i="40"/>
  <c r="AE223" i="40"/>
  <c r="AV223" i="40"/>
  <c r="CJ223" i="40"/>
  <c r="DN223" i="40"/>
  <c r="L225" i="40"/>
  <c r="S225" i="40"/>
  <c r="AL225" i="40"/>
  <c r="CQ225" i="40"/>
  <c r="P226" i="40"/>
  <c r="T226" i="40"/>
  <c r="AH226" i="40"/>
  <c r="AM226" i="40"/>
  <c r="BJ226" i="40"/>
  <c r="DB226" i="40"/>
  <c r="G227" i="40"/>
  <c r="Q227" i="40"/>
  <c r="Y227" i="40"/>
  <c r="AE227" i="40"/>
  <c r="AV227" i="40"/>
  <c r="CJ227" i="40"/>
  <c r="DN227" i="40"/>
  <c r="T213" i="40"/>
  <c r="T205" i="40"/>
  <c r="R217" i="40"/>
  <c r="BC217" i="40"/>
  <c r="BH217" i="40" s="1"/>
  <c r="CO217" i="40"/>
  <c r="P219" i="40"/>
  <c r="T219" i="40"/>
  <c r="AH219" i="40"/>
  <c r="AM219" i="40"/>
  <c r="BJ219" i="40"/>
  <c r="DB219" i="40"/>
  <c r="R221" i="40"/>
  <c r="BC221" i="40"/>
  <c r="BH221" i="40" s="1"/>
  <c r="CO221" i="40"/>
  <c r="P223" i="40"/>
  <c r="T223" i="40"/>
  <c r="AH223" i="40"/>
  <c r="AM223" i="40"/>
  <c r="BJ223" i="40"/>
  <c r="DB223" i="40"/>
  <c r="R225" i="40"/>
  <c r="BC225" i="40"/>
  <c r="BH225" i="40" s="1"/>
  <c r="CO225" i="40"/>
  <c r="P227" i="40"/>
  <c r="T227" i="40"/>
  <c r="AH227" i="40"/>
  <c r="AM227" i="40"/>
  <c r="BJ227" i="40"/>
  <c r="DB227" i="40"/>
  <c r="BJ215" i="40"/>
  <c r="T215" i="40"/>
  <c r="L215" i="40"/>
  <c r="CQ214" i="40"/>
  <c r="BC214" i="40"/>
  <c r="BH214" i="40" s="1"/>
  <c r="R214" i="40"/>
  <c r="AM213" i="40"/>
  <c r="DB212" i="40"/>
  <c r="AL212" i="40"/>
  <c r="L212" i="40"/>
  <c r="BJ207" i="40"/>
  <c r="T207" i="40"/>
  <c r="L207" i="40"/>
  <c r="CQ206" i="40"/>
  <c r="BC206" i="40"/>
  <c r="BH206" i="40" s="1"/>
  <c r="R206" i="40"/>
  <c r="AM205" i="40"/>
  <c r="P216" i="40"/>
  <c r="T216" i="40"/>
  <c r="AH216" i="40"/>
  <c r="AM216" i="40"/>
  <c r="BJ216" i="40"/>
  <c r="G217" i="40"/>
  <c r="Q217" i="40"/>
  <c r="Y217" i="40"/>
  <c r="AE217" i="40"/>
  <c r="AV217" i="40"/>
  <c r="CJ217" i="40"/>
  <c r="R218" i="40"/>
  <c r="BC218" i="40"/>
  <c r="BH218" i="40" s="1"/>
  <c r="L219" i="40"/>
  <c r="S219" i="40"/>
  <c r="AL219" i="40"/>
  <c r="P220" i="40"/>
  <c r="T220" i="40"/>
  <c r="AH220" i="40"/>
  <c r="AM220" i="40"/>
  <c r="BJ220" i="40"/>
  <c r="G221" i="40"/>
  <c r="Q221" i="40"/>
  <c r="Y221" i="40"/>
  <c r="AE221" i="40"/>
  <c r="AV221" i="40"/>
  <c r="CJ221" i="40"/>
  <c r="R222" i="40"/>
  <c r="BC222" i="40"/>
  <c r="BH222" i="40" s="1"/>
  <c r="L223" i="40"/>
  <c r="S223" i="40"/>
  <c r="AL223" i="40"/>
  <c r="P224" i="40"/>
  <c r="T224" i="40"/>
  <c r="AH224" i="40"/>
  <c r="AM224" i="40"/>
  <c r="BJ224" i="40"/>
  <c r="G225" i="40"/>
  <c r="Q225" i="40"/>
  <c r="Y225" i="40"/>
  <c r="AE225" i="40"/>
  <c r="AV225" i="40"/>
  <c r="CJ225" i="40"/>
  <c r="R226" i="40"/>
  <c r="BC226" i="40"/>
  <c r="BH226" i="40" s="1"/>
  <c r="L227" i="40"/>
  <c r="S227" i="40"/>
  <c r="AL227" i="40"/>
  <c r="AV213" i="40"/>
  <c r="Y213" i="40"/>
  <c r="T209" i="40"/>
  <c r="P209" i="40"/>
  <c r="DN213" i="40"/>
  <c r="CJ213" i="40"/>
  <c r="AE213" i="40"/>
  <c r="Q213" i="40"/>
  <c r="G213" i="40"/>
  <c r="DN209" i="40"/>
  <c r="CJ209" i="40"/>
  <c r="AV209" i="40"/>
  <c r="AE209" i="40"/>
  <c r="Y209" i="40"/>
  <c r="Q209" i="40"/>
  <c r="G209" i="40"/>
  <c r="DN205" i="40"/>
  <c r="CJ205" i="40"/>
  <c r="AV205" i="40"/>
  <c r="AE205" i="40"/>
  <c r="Y205" i="40"/>
  <c r="Q205" i="40"/>
  <c r="G205" i="40"/>
  <c r="CO213" i="40"/>
  <c r="BC213" i="40"/>
  <c r="BH213" i="40" s="1"/>
  <c r="R213" i="40"/>
  <c r="DN212" i="40"/>
  <c r="CJ212" i="40"/>
  <c r="AV212" i="40"/>
  <c r="AE212" i="40"/>
  <c r="Y212" i="40"/>
  <c r="Q212" i="40"/>
  <c r="G212" i="40"/>
  <c r="CO209" i="40"/>
  <c r="BC209" i="40"/>
  <c r="BH209" i="40" s="1"/>
  <c r="R209" i="40"/>
  <c r="DN208" i="40"/>
  <c r="CJ208" i="40"/>
  <c r="AV208" i="40"/>
  <c r="AE208" i="40"/>
  <c r="Y208" i="40"/>
  <c r="Q208" i="40"/>
  <c r="G208" i="40"/>
  <c r="CO205" i="40"/>
  <c r="BC205" i="40"/>
  <c r="BH205" i="40" s="1"/>
  <c r="R205" i="40"/>
  <c r="DN215" i="40"/>
  <c r="CJ215" i="40"/>
  <c r="AV215" i="40"/>
  <c r="AE215" i="40"/>
  <c r="Y215" i="40"/>
  <c r="Q215" i="40"/>
  <c r="CQ213" i="40"/>
  <c r="AL213" i="40"/>
  <c r="S213" i="40"/>
  <c r="CO212" i="40"/>
  <c r="BC212" i="40"/>
  <c r="BH212" i="40" s="1"/>
  <c r="DN211" i="40"/>
  <c r="CJ211" i="40"/>
  <c r="AV211" i="40"/>
  <c r="AE211" i="40"/>
  <c r="Y211" i="40"/>
  <c r="Q211" i="40"/>
  <c r="CQ209" i="40"/>
  <c r="AL209" i="40"/>
  <c r="S209" i="40"/>
  <c r="CO208" i="40"/>
  <c r="BC208" i="40"/>
  <c r="BH208" i="40" s="1"/>
  <c r="DN207" i="40"/>
  <c r="CJ207" i="40"/>
  <c r="AV207" i="40"/>
  <c r="AE207" i="40"/>
  <c r="Y207" i="40"/>
  <c r="Q207" i="40"/>
  <c r="CQ205" i="40"/>
  <c r="AL205" i="40"/>
  <c r="S205" i="40"/>
  <c r="BJ204" i="40"/>
  <c r="AH204" i="40"/>
  <c r="CQ204" i="40"/>
  <c r="P204" i="40"/>
  <c r="T204" i="40"/>
  <c r="AM204" i="40"/>
  <c r="AV204" i="40"/>
  <c r="AE204" i="40"/>
  <c r="Y204" i="40"/>
  <c r="Q204" i="40"/>
  <c r="G204" i="40"/>
  <c r="DB204" i="40"/>
  <c r="CJ204" i="40"/>
  <c r="BC204" i="40"/>
  <c r="BH204" i="40" s="1"/>
  <c r="R204" i="40"/>
  <c r="DN204" i="40"/>
  <c r="CO204" i="40"/>
  <c r="AL204" i="40"/>
  <c r="S204" i="40"/>
  <c r="P228" i="40"/>
  <c r="T228" i="40"/>
  <c r="AH228" i="40"/>
  <c r="AM228" i="40"/>
  <c r="BJ228" i="40"/>
  <c r="CQ228" i="40"/>
  <c r="L228" i="40"/>
  <c r="S228" i="40"/>
  <c r="AL228" i="40"/>
  <c r="CO228" i="40"/>
  <c r="DN228" i="40"/>
  <c r="R228" i="40"/>
  <c r="BC228" i="40"/>
  <c r="BH228" i="40" s="1"/>
  <c r="CJ228" i="40"/>
  <c r="DB228" i="40"/>
  <c r="G228" i="40"/>
  <c r="Q228" i="40"/>
  <c r="Y228" i="40"/>
  <c r="AE228" i="40"/>
  <c r="AV228" i="40"/>
  <c r="BO228" i="40"/>
  <c r="R146" i="40"/>
  <c r="BO146" i="40"/>
  <c r="R147" i="40"/>
  <c r="BO147" i="40"/>
  <c r="R148" i="40"/>
  <c r="BO148" i="40"/>
  <c r="R149" i="40"/>
  <c r="BO149" i="40"/>
  <c r="Q30" i="40"/>
  <c r="CT30" i="40"/>
  <c r="Q146" i="40"/>
  <c r="BC146" i="40"/>
  <c r="BH146" i="40" s="1"/>
  <c r="DB146" i="40"/>
  <c r="Q147" i="40"/>
  <c r="BC147" i="40"/>
  <c r="BH147" i="40" s="1"/>
  <c r="DB147" i="40"/>
  <c r="Q148" i="40"/>
  <c r="BC148" i="40"/>
  <c r="BH148" i="40" s="1"/>
  <c r="DB148" i="40"/>
  <c r="Q149" i="40"/>
  <c r="BC149" i="40"/>
  <c r="BH149" i="40" s="1"/>
  <c r="DB149" i="40"/>
  <c r="AV146" i="40"/>
  <c r="CT146" i="40"/>
  <c r="AV147" i="40"/>
  <c r="CT147" i="40"/>
  <c r="AV148" i="40"/>
  <c r="CT148" i="40"/>
  <c r="AV149" i="40"/>
  <c r="CT149" i="40"/>
  <c r="G146" i="40"/>
  <c r="Y146" i="40"/>
  <c r="AE146" i="40"/>
  <c r="CJ146" i="40"/>
  <c r="G147" i="40"/>
  <c r="Y147" i="40"/>
  <c r="AE147" i="40"/>
  <c r="CJ147" i="40"/>
  <c r="G148" i="40"/>
  <c r="Y148" i="40"/>
  <c r="AE148" i="40"/>
  <c r="CJ148" i="40"/>
  <c r="G149" i="40"/>
  <c r="Y149" i="40"/>
  <c r="AE149" i="40"/>
  <c r="CJ149" i="40"/>
  <c r="P147" i="40"/>
  <c r="T147" i="40"/>
  <c r="AH147" i="40"/>
  <c r="BJ147" i="40"/>
  <c r="AH148" i="40"/>
  <c r="AM148" i="40"/>
  <c r="BJ148" i="40"/>
  <c r="CQ148" i="40"/>
  <c r="P149" i="40"/>
  <c r="T149" i="40"/>
  <c r="L147" i="40"/>
  <c r="S147" i="40"/>
  <c r="AL147" i="40"/>
  <c r="CO147" i="40"/>
  <c r="DN147" i="40"/>
  <c r="L148" i="40"/>
  <c r="S148" i="40"/>
  <c r="AL148" i="40"/>
  <c r="CO148" i="40"/>
  <c r="DN148" i="40"/>
  <c r="L149" i="40"/>
  <c r="S149" i="40"/>
  <c r="AL149" i="40"/>
  <c r="CO149" i="40"/>
  <c r="DN149" i="40"/>
  <c r="AM147" i="40"/>
  <c r="P148" i="40"/>
  <c r="AH149" i="40"/>
  <c r="AM149" i="40"/>
  <c r="BJ149" i="40"/>
  <c r="P146" i="40"/>
  <c r="T146" i="40"/>
  <c r="BJ146" i="40"/>
  <c r="L146" i="40"/>
  <c r="S146" i="40"/>
  <c r="AL146" i="40"/>
  <c r="CO146" i="40"/>
  <c r="DN146" i="40"/>
  <c r="AH146" i="40"/>
  <c r="AM146" i="40"/>
  <c r="G30" i="40"/>
  <c r="Y21" i="40"/>
  <c r="G21" i="40"/>
  <c r="AV21" i="40"/>
  <c r="EA21" i="40" s="1"/>
  <c r="L24" i="40"/>
  <c r="AE21" i="40"/>
  <c r="S21" i="40"/>
  <c r="DN21" i="40"/>
  <c r="L21" i="40"/>
  <c r="DB21" i="40"/>
  <c r="S24" i="40"/>
  <c r="AL24" i="40"/>
  <c r="CT29" i="40"/>
  <c r="DB25" i="40"/>
  <c r="CT26" i="40"/>
  <c r="CO28" i="40"/>
  <c r="S29" i="40"/>
  <c r="CJ29" i="40"/>
  <c r="CO21" i="40"/>
  <c r="R25" i="40"/>
  <c r="AV25" i="40"/>
  <c r="EA25" i="40" s="1"/>
  <c r="Q26" i="40"/>
  <c r="AV26" i="40"/>
  <c r="S28" i="40"/>
  <c r="AL28" i="40"/>
  <c r="R29" i="40"/>
  <c r="R21" i="40"/>
  <c r="CJ21" i="40"/>
  <c r="G25" i="40"/>
  <c r="G26" i="40"/>
  <c r="L28" i="40"/>
  <c r="G29" i="40"/>
  <c r="AV22" i="40"/>
  <c r="Y22" i="40"/>
  <c r="AE22" i="40"/>
  <c r="Q25" i="40"/>
  <c r="AL25" i="40"/>
  <c r="CT25" i="40"/>
  <c r="Q22" i="40"/>
  <c r="DN24" i="40"/>
  <c r="L25" i="40"/>
  <c r="Y25" i="40"/>
  <c r="AE25" i="40"/>
  <c r="CO25" i="40"/>
  <c r="Y26" i="40"/>
  <c r="AE26" i="40"/>
  <c r="Q29" i="40"/>
  <c r="AV29" i="40"/>
  <c r="AV30" i="40"/>
  <c r="Q21" i="40"/>
  <c r="AL21" i="40"/>
  <c r="CT21" i="40"/>
  <c r="G22" i="40"/>
  <c r="CT22" i="40"/>
  <c r="CO24" i="40"/>
  <c r="S25" i="40"/>
  <c r="CJ25" i="40"/>
  <c r="DN25" i="40"/>
  <c r="R26" i="40"/>
  <c r="DN28" i="40"/>
  <c r="L29" i="40"/>
  <c r="Y29" i="40"/>
  <c r="AE29" i="40"/>
  <c r="DB29" i="40"/>
  <c r="Y30" i="40"/>
  <c r="AE30" i="40"/>
  <c r="P23" i="40"/>
  <c r="T23" i="40"/>
  <c r="AH23" i="40"/>
  <c r="CQ23" i="40"/>
  <c r="AM27" i="40"/>
  <c r="CQ27" i="40"/>
  <c r="AH31" i="40"/>
  <c r="P22" i="40"/>
  <c r="T22" i="40"/>
  <c r="AH22" i="40"/>
  <c r="AM22" i="40"/>
  <c r="CQ22" i="40"/>
  <c r="L23" i="40"/>
  <c r="S23" i="40"/>
  <c r="AL23" i="40"/>
  <c r="CO23" i="40"/>
  <c r="DN23" i="40"/>
  <c r="R24" i="40"/>
  <c r="CJ24" i="40"/>
  <c r="DB24" i="40"/>
  <c r="P26" i="40"/>
  <c r="T26" i="40"/>
  <c r="AH26" i="40"/>
  <c r="AM26" i="40"/>
  <c r="CQ26" i="40"/>
  <c r="L27" i="40"/>
  <c r="S27" i="40"/>
  <c r="AL27" i="40"/>
  <c r="CO27" i="40"/>
  <c r="DN27" i="40"/>
  <c r="R28" i="40"/>
  <c r="CJ28" i="40"/>
  <c r="DB28" i="40"/>
  <c r="P30" i="40"/>
  <c r="T30" i="40"/>
  <c r="AH30" i="40"/>
  <c r="AM30" i="40"/>
  <c r="CQ30" i="40"/>
  <c r="L31" i="40"/>
  <c r="S31" i="40"/>
  <c r="AL31" i="40"/>
  <c r="CO31" i="40"/>
  <c r="DN31" i="40"/>
  <c r="P31" i="40"/>
  <c r="AM31" i="40"/>
  <c r="P21" i="40"/>
  <c r="T21" i="40"/>
  <c r="AH21" i="40"/>
  <c r="AM21" i="40"/>
  <c r="L22" i="40"/>
  <c r="S22" i="40"/>
  <c r="AL22" i="40"/>
  <c r="CO22" i="40"/>
  <c r="DN22" i="40"/>
  <c r="R23" i="40"/>
  <c r="CJ23" i="40"/>
  <c r="DB23" i="40"/>
  <c r="G24" i="40"/>
  <c r="Q24" i="40"/>
  <c r="Y24" i="40"/>
  <c r="AE24" i="40"/>
  <c r="AV24" i="40"/>
  <c r="CT24" i="40"/>
  <c r="P25" i="40"/>
  <c r="T25" i="40"/>
  <c r="AH25" i="40"/>
  <c r="AM25" i="40"/>
  <c r="L26" i="40"/>
  <c r="S26" i="40"/>
  <c r="AL26" i="40"/>
  <c r="CO26" i="40"/>
  <c r="DN26" i="40"/>
  <c r="R27" i="40"/>
  <c r="CJ27" i="40"/>
  <c r="DB27" i="40"/>
  <c r="G28" i="40"/>
  <c r="Q28" i="40"/>
  <c r="Y28" i="40"/>
  <c r="AE28" i="40"/>
  <c r="AV28" i="40"/>
  <c r="CT28" i="40"/>
  <c r="P29" i="40"/>
  <c r="T29" i="40"/>
  <c r="AH29" i="40"/>
  <c r="AM29" i="40"/>
  <c r="CQ29" i="40"/>
  <c r="L30" i="40"/>
  <c r="S30" i="40"/>
  <c r="AL30" i="40"/>
  <c r="CO30" i="40"/>
  <c r="DN30" i="40"/>
  <c r="R31" i="40"/>
  <c r="CJ31" i="40"/>
  <c r="DB31" i="40"/>
  <c r="AM23" i="40"/>
  <c r="P27" i="40"/>
  <c r="T27" i="40"/>
  <c r="AH27" i="40"/>
  <c r="T31" i="40"/>
  <c r="CQ31" i="40"/>
  <c r="R22" i="40"/>
  <c r="CJ22" i="40"/>
  <c r="G23" i="40"/>
  <c r="Q23" i="40"/>
  <c r="Y23" i="40"/>
  <c r="AE23" i="40"/>
  <c r="AV23" i="40"/>
  <c r="P24" i="40"/>
  <c r="T24" i="40"/>
  <c r="AH24" i="40"/>
  <c r="AM24" i="40"/>
  <c r="CJ26" i="40"/>
  <c r="G27" i="40"/>
  <c r="Q27" i="40"/>
  <c r="Y27" i="40"/>
  <c r="AE27" i="40"/>
  <c r="AV27" i="40"/>
  <c r="P28" i="40"/>
  <c r="T28" i="40"/>
  <c r="AH28" i="40"/>
  <c r="AM28" i="40"/>
  <c r="AL29" i="40"/>
  <c r="CO29" i="40"/>
  <c r="R30" i="40"/>
  <c r="CJ30" i="40"/>
  <c r="G31" i="40"/>
  <c r="Q31" i="40"/>
  <c r="Y31" i="40"/>
  <c r="AE31" i="40"/>
  <c r="AV31" i="40"/>
  <c r="G5" i="40"/>
  <c r="Y20" i="40"/>
  <c r="AE20" i="40"/>
  <c r="L20" i="40"/>
  <c r="G20" i="40"/>
  <c r="DN20" i="40"/>
  <c r="L19" i="40"/>
  <c r="CT20" i="40"/>
  <c r="G8" i="40"/>
  <c r="L3" i="40"/>
  <c r="L15" i="40"/>
  <c r="DB15" i="40"/>
  <c r="AL20" i="40"/>
  <c r="G9" i="40"/>
  <c r="R19" i="40"/>
  <c r="CO19" i="40"/>
  <c r="S16" i="40"/>
  <c r="DB16" i="40"/>
  <c r="L16" i="40"/>
  <c r="CO16" i="40"/>
  <c r="DB8" i="40"/>
  <c r="AV16" i="40"/>
  <c r="S20" i="40"/>
  <c r="CO20" i="40"/>
  <c r="G4" i="40"/>
  <c r="CJ4" i="40"/>
  <c r="R8" i="40"/>
  <c r="AV8" i="40"/>
  <c r="EA8" i="40" s="1"/>
  <c r="Q9" i="40"/>
  <c r="CT9" i="40"/>
  <c r="G16" i="40"/>
  <c r="Y16" i="40"/>
  <c r="AE16" i="40"/>
  <c r="DN16" i="40"/>
  <c r="DB19" i="40"/>
  <c r="Q20" i="40"/>
  <c r="CJ20" i="40"/>
  <c r="S4" i="40"/>
  <c r="AV4" i="40"/>
  <c r="CT5" i="40"/>
  <c r="CO15" i="40"/>
  <c r="DB3" i="40"/>
  <c r="R4" i="40"/>
  <c r="DN4" i="40"/>
  <c r="Y5" i="40"/>
  <c r="AE5" i="40"/>
  <c r="G13" i="40"/>
  <c r="CT13" i="40"/>
  <c r="S15" i="40"/>
  <c r="AL15" i="40"/>
  <c r="R16" i="40"/>
  <c r="CJ16" i="40"/>
  <c r="R20" i="40"/>
  <c r="AV20" i="40"/>
  <c r="DB20" i="40"/>
  <c r="R3" i="40"/>
  <c r="CO3" i="40"/>
  <c r="DB4" i="40"/>
  <c r="Q5" i="40"/>
  <c r="L7" i="40"/>
  <c r="CO7" i="40"/>
  <c r="R15" i="40"/>
  <c r="DN15" i="40"/>
  <c r="P20" i="40"/>
  <c r="T20" i="40"/>
  <c r="AH20" i="40"/>
  <c r="AM20" i="40"/>
  <c r="Q12" i="40"/>
  <c r="AL12" i="40"/>
  <c r="CT12" i="40"/>
  <c r="S3" i="40"/>
  <c r="AL3" i="40"/>
  <c r="DN3" i="40"/>
  <c r="L4" i="40"/>
  <c r="Y4" i="40"/>
  <c r="AE4" i="40"/>
  <c r="CO4" i="40"/>
  <c r="AV5" i="40"/>
  <c r="R7" i="40"/>
  <c r="DB7" i="40"/>
  <c r="S8" i="40"/>
  <c r="CJ8" i="40"/>
  <c r="DN8" i="40"/>
  <c r="Y9" i="40"/>
  <c r="AE9" i="40"/>
  <c r="L11" i="40"/>
  <c r="CO11" i="40"/>
  <c r="G12" i="40"/>
  <c r="R12" i="40"/>
  <c r="AV12" i="40"/>
  <c r="DB12" i="40"/>
  <c r="Q13" i="40"/>
  <c r="CJ15" i="40"/>
  <c r="Q16" i="40"/>
  <c r="AL16" i="40"/>
  <c r="CT16" i="40"/>
  <c r="G17" i="40"/>
  <c r="CT17" i="40"/>
  <c r="S19" i="40"/>
  <c r="AL19" i="40"/>
  <c r="DN19" i="40"/>
  <c r="CJ11" i="40"/>
  <c r="AV17" i="40"/>
  <c r="EA17" i="40" s="1"/>
  <c r="CJ7" i="40"/>
  <c r="Q8" i="40"/>
  <c r="AL8" i="40"/>
  <c r="CT8" i="40"/>
  <c r="S11" i="40"/>
  <c r="AL11" i="40"/>
  <c r="DN11" i="40"/>
  <c r="L12" i="40"/>
  <c r="Y12" i="40"/>
  <c r="AE12" i="40"/>
  <c r="CO12" i="40"/>
  <c r="AV13" i="40"/>
  <c r="EA13" i="40" s="1"/>
  <c r="Y17" i="40"/>
  <c r="AE17" i="40"/>
  <c r="CJ3" i="40"/>
  <c r="Q4" i="40"/>
  <c r="AL4" i="40"/>
  <c r="CT4" i="40"/>
  <c r="S7" i="40"/>
  <c r="AL7" i="40"/>
  <c r="DN7" i="40"/>
  <c r="L8" i="40"/>
  <c r="Y8" i="40"/>
  <c r="AE8" i="40"/>
  <c r="CO8" i="40"/>
  <c r="AV9" i="40"/>
  <c r="EA9" i="40" s="1"/>
  <c r="R11" i="40"/>
  <c r="DB11" i="40"/>
  <c r="S12" i="40"/>
  <c r="CJ12" i="40"/>
  <c r="DN12" i="40"/>
  <c r="Y13" i="40"/>
  <c r="AE13" i="40"/>
  <c r="Q17" i="40"/>
  <c r="CJ19" i="40"/>
  <c r="P6" i="40"/>
  <c r="T6" i="40"/>
  <c r="AH6" i="40"/>
  <c r="AH10" i="40"/>
  <c r="AM10" i="40"/>
  <c r="CQ10" i="40"/>
  <c r="AH14" i="40"/>
  <c r="CQ14" i="40"/>
  <c r="AH18" i="40"/>
  <c r="CQ18" i="40"/>
  <c r="AM5" i="40"/>
  <c r="AL6" i="40"/>
  <c r="T9" i="40"/>
  <c r="P3" i="40"/>
  <c r="T3" i="40"/>
  <c r="AH3" i="40"/>
  <c r="AM3" i="40"/>
  <c r="CQ3" i="40"/>
  <c r="R5" i="40"/>
  <c r="CJ5" i="40"/>
  <c r="DB5" i="40"/>
  <c r="G6" i="40"/>
  <c r="Q6" i="40"/>
  <c r="Y6" i="40"/>
  <c r="AE6" i="40"/>
  <c r="AV6" i="40"/>
  <c r="CT6" i="40"/>
  <c r="P7" i="40"/>
  <c r="T7" i="40"/>
  <c r="AH7" i="40"/>
  <c r="AM7" i="40"/>
  <c r="CQ7" i="40"/>
  <c r="R9" i="40"/>
  <c r="CJ9" i="40"/>
  <c r="DB9" i="40"/>
  <c r="G10" i="40"/>
  <c r="Q10" i="40"/>
  <c r="Y10" i="40"/>
  <c r="AE10" i="40"/>
  <c r="AV10" i="40"/>
  <c r="CT10" i="40"/>
  <c r="P11" i="40"/>
  <c r="T11" i="40"/>
  <c r="AH11" i="40"/>
  <c r="AM11" i="40"/>
  <c r="CQ11" i="40"/>
  <c r="R13" i="40"/>
  <c r="CJ13" i="40"/>
  <c r="DB13" i="40"/>
  <c r="G14" i="40"/>
  <c r="Q14" i="40"/>
  <c r="Y14" i="40"/>
  <c r="AE14" i="40"/>
  <c r="AV14" i="40"/>
  <c r="CT14" i="40"/>
  <c r="P15" i="40"/>
  <c r="T15" i="40"/>
  <c r="AH15" i="40"/>
  <c r="AM15" i="40"/>
  <c r="CQ15" i="40"/>
  <c r="R17" i="40"/>
  <c r="CJ17" i="40"/>
  <c r="DB17" i="40"/>
  <c r="G18" i="40"/>
  <c r="Q18" i="40"/>
  <c r="Y18" i="40"/>
  <c r="AE18" i="40"/>
  <c r="AV18" i="40"/>
  <c r="CT18" i="40"/>
  <c r="P19" i="40"/>
  <c r="T19" i="40"/>
  <c r="AH19" i="40"/>
  <c r="AM19" i="40"/>
  <c r="CQ19" i="40"/>
  <c r="AM6" i="40"/>
  <c r="CQ6" i="40"/>
  <c r="P10" i="40"/>
  <c r="T10" i="40"/>
  <c r="P14" i="40"/>
  <c r="T14" i="40"/>
  <c r="AM14" i="40"/>
  <c r="P18" i="40"/>
  <c r="T18" i="40"/>
  <c r="AM18" i="40"/>
  <c r="P5" i="40"/>
  <c r="T5" i="40"/>
  <c r="AH5" i="40"/>
  <c r="CQ5" i="40"/>
  <c r="L6" i="40"/>
  <c r="S6" i="40"/>
  <c r="CO6" i="40"/>
  <c r="DN6" i="40"/>
  <c r="P9" i="40"/>
  <c r="AH9" i="40"/>
  <c r="AM9" i="40"/>
  <c r="CQ9" i="40"/>
  <c r="L10" i="40"/>
  <c r="S10" i="40"/>
  <c r="AL10" i="40"/>
  <c r="CO10" i="40"/>
  <c r="DN10" i="40"/>
  <c r="P13" i="40"/>
  <c r="T13" i="40"/>
  <c r="AH13" i="40"/>
  <c r="AM13" i="40"/>
  <c r="CQ13" i="40"/>
  <c r="L14" i="40"/>
  <c r="S14" i="40"/>
  <c r="AL14" i="40"/>
  <c r="CO14" i="40"/>
  <c r="DN14" i="40"/>
  <c r="P17" i="40"/>
  <c r="T17" i="40"/>
  <c r="AH17" i="40"/>
  <c r="AM17" i="40"/>
  <c r="CQ17" i="40"/>
  <c r="L18" i="40"/>
  <c r="S18" i="40"/>
  <c r="AL18" i="40"/>
  <c r="CO18" i="40"/>
  <c r="DN18" i="40"/>
  <c r="G3" i="40"/>
  <c r="Q3" i="40"/>
  <c r="Y3" i="40"/>
  <c r="AE3" i="40"/>
  <c r="AV3" i="40"/>
  <c r="P4" i="40"/>
  <c r="T4" i="40"/>
  <c r="AH4" i="40"/>
  <c r="AM4" i="40"/>
  <c r="L5" i="40"/>
  <c r="S5" i="40"/>
  <c r="AL5" i="40"/>
  <c r="CO5" i="40"/>
  <c r="R6" i="40"/>
  <c r="CJ6" i="40"/>
  <c r="G7" i="40"/>
  <c r="Q7" i="40"/>
  <c r="Y7" i="40"/>
  <c r="AE7" i="40"/>
  <c r="AV7" i="40"/>
  <c r="P8" i="40"/>
  <c r="T8" i="40"/>
  <c r="AH8" i="40"/>
  <c r="AM8" i="40"/>
  <c r="L9" i="40"/>
  <c r="S9" i="40"/>
  <c r="AL9" i="40"/>
  <c r="CO9" i="40"/>
  <c r="R10" i="40"/>
  <c r="CJ10" i="40"/>
  <c r="G11" i="40"/>
  <c r="Q11" i="40"/>
  <c r="Y11" i="40"/>
  <c r="AE11" i="40"/>
  <c r="AV11" i="40"/>
  <c r="P12" i="40"/>
  <c r="T12" i="40"/>
  <c r="AH12" i="40"/>
  <c r="AM12" i="40"/>
  <c r="L13" i="40"/>
  <c r="S13" i="40"/>
  <c r="AL13" i="40"/>
  <c r="CO13" i="40"/>
  <c r="R14" i="40"/>
  <c r="CJ14" i="40"/>
  <c r="G15" i="40"/>
  <c r="Q15" i="40"/>
  <c r="Y15" i="40"/>
  <c r="AE15" i="40"/>
  <c r="AV15" i="40"/>
  <c r="P16" i="40"/>
  <c r="T16" i="40"/>
  <c r="AH16" i="40"/>
  <c r="AM16" i="40"/>
  <c r="L17" i="40"/>
  <c r="S17" i="40"/>
  <c r="AL17" i="40"/>
  <c r="CO17" i="40"/>
  <c r="R18" i="40"/>
  <c r="CJ18" i="40"/>
  <c r="G19" i="40"/>
  <c r="Q19" i="40"/>
  <c r="Y19" i="40"/>
  <c r="AE19" i="40"/>
  <c r="AV19" i="40"/>
  <c r="S93" i="40"/>
  <c r="T2" i="40"/>
  <c r="AH2" i="40"/>
  <c r="L2" i="40"/>
  <c r="S2" i="40"/>
  <c r="AL2" i="40"/>
  <c r="CO2" i="40"/>
  <c r="DN2" i="40"/>
  <c r="P2" i="40"/>
  <c r="AM2" i="40"/>
  <c r="CQ2" i="40"/>
  <c r="R2" i="40"/>
  <c r="CJ2" i="40"/>
  <c r="DB2" i="40"/>
  <c r="G2" i="40"/>
  <c r="Q2" i="40"/>
  <c r="Y2" i="40"/>
  <c r="AE2" i="40"/>
  <c r="AV2" i="40"/>
  <c r="Y93" i="40"/>
  <c r="AE93" i="40"/>
  <c r="Y88" i="40"/>
  <c r="AE88" i="40"/>
  <c r="S86" i="40"/>
  <c r="AL86" i="40"/>
  <c r="L93" i="40"/>
  <c r="R86" i="40"/>
  <c r="Q88" i="40"/>
  <c r="BO93" i="40"/>
  <c r="R89" i="40"/>
  <c r="AV89" i="40"/>
  <c r="DN94" i="40"/>
  <c r="Y84" i="40"/>
  <c r="AE84" i="40"/>
  <c r="S94" i="40"/>
  <c r="AL94" i="40"/>
  <c r="Q84" i="40"/>
  <c r="L86" i="40"/>
  <c r="G89" i="40"/>
  <c r="BC93" i="40"/>
  <c r="BH93" i="40" s="1"/>
  <c r="R94" i="40"/>
  <c r="BO84" i="40"/>
  <c r="G84" i="40"/>
  <c r="DN86" i="40"/>
  <c r="G92" i="40"/>
  <c r="BO92" i="40"/>
  <c r="L94" i="40"/>
  <c r="R85" i="40"/>
  <c r="BO85" i="40"/>
  <c r="Q85" i="40"/>
  <c r="BC85" i="40"/>
  <c r="BH85" i="40" s="1"/>
  <c r="Q89" i="40"/>
  <c r="AL89" i="40"/>
  <c r="DN89" i="40"/>
  <c r="S90" i="40"/>
  <c r="AL90" i="40"/>
  <c r="AV92" i="40"/>
  <c r="AV84" i="40"/>
  <c r="AV85" i="40"/>
  <c r="BC86" i="40"/>
  <c r="BH86" i="40" s="1"/>
  <c r="G88" i="40"/>
  <c r="BO88" i="40"/>
  <c r="L89" i="40"/>
  <c r="Y89" i="40"/>
  <c r="AE89" i="40"/>
  <c r="BO89" i="40"/>
  <c r="R90" i="40"/>
  <c r="DN90" i="40"/>
  <c r="Y92" i="40"/>
  <c r="AE92" i="40"/>
  <c r="G93" i="40"/>
  <c r="R93" i="40"/>
  <c r="AV93" i="40"/>
  <c r="BC94" i="40"/>
  <c r="BH94" i="40" s="1"/>
  <c r="BC90" i="40"/>
  <c r="BH90" i="40" s="1"/>
  <c r="G85" i="40"/>
  <c r="Y85" i="40"/>
  <c r="AE85" i="40"/>
  <c r="DN85" i="40"/>
  <c r="AV88" i="40"/>
  <c r="S89" i="40"/>
  <c r="BC89" i="40"/>
  <c r="BH89" i="40" s="1"/>
  <c r="L90" i="40"/>
  <c r="Q92" i="40"/>
  <c r="Q93" i="40"/>
  <c r="AL93" i="40"/>
  <c r="DN93" i="40"/>
  <c r="AM87" i="40"/>
  <c r="P91" i="40"/>
  <c r="T91" i="40"/>
  <c r="AH91" i="40"/>
  <c r="AM95" i="40"/>
  <c r="BJ95" i="40"/>
  <c r="AM84" i="40"/>
  <c r="L87" i="40"/>
  <c r="AM88" i="40"/>
  <c r="BJ88" i="40"/>
  <c r="AM92" i="40"/>
  <c r="BJ92" i="40"/>
  <c r="R84" i="40"/>
  <c r="BC84" i="40"/>
  <c r="BH84" i="40" s="1"/>
  <c r="DN84" i="40"/>
  <c r="L85" i="40"/>
  <c r="S85" i="40"/>
  <c r="AL85" i="40"/>
  <c r="P86" i="40"/>
  <c r="T86" i="40"/>
  <c r="AH86" i="40"/>
  <c r="AM86" i="40"/>
  <c r="BJ86" i="40"/>
  <c r="G87" i="40"/>
  <c r="Q87" i="40"/>
  <c r="Y87" i="40"/>
  <c r="AE87" i="40"/>
  <c r="AV87" i="40"/>
  <c r="BO87" i="40"/>
  <c r="R88" i="40"/>
  <c r="BC88" i="40"/>
  <c r="BH88" i="40" s="1"/>
  <c r="DN88" i="40"/>
  <c r="P90" i="40"/>
  <c r="T90" i="40"/>
  <c r="AH90" i="40"/>
  <c r="AM90" i="40"/>
  <c r="BJ90" i="40"/>
  <c r="G91" i="40"/>
  <c r="Q91" i="40"/>
  <c r="Y91" i="40"/>
  <c r="AE91" i="40"/>
  <c r="AV91" i="40"/>
  <c r="BO91" i="40"/>
  <c r="R92" i="40"/>
  <c r="BC92" i="40"/>
  <c r="BH92" i="40" s="1"/>
  <c r="DN92" i="40"/>
  <c r="P94" i="40"/>
  <c r="T94" i="40"/>
  <c r="AH94" i="40"/>
  <c r="AM94" i="40"/>
  <c r="BJ94" i="40"/>
  <c r="G95" i="40"/>
  <c r="Q95" i="40"/>
  <c r="Y95" i="40"/>
  <c r="AE95" i="40"/>
  <c r="AV95" i="40"/>
  <c r="BO95" i="40"/>
  <c r="P87" i="40"/>
  <c r="T87" i="40"/>
  <c r="AH87" i="40"/>
  <c r="BJ87" i="40"/>
  <c r="AM91" i="40"/>
  <c r="BJ91" i="40"/>
  <c r="P95" i="40"/>
  <c r="T95" i="40"/>
  <c r="AH95" i="40"/>
  <c r="P84" i="40"/>
  <c r="T84" i="40"/>
  <c r="AH84" i="40"/>
  <c r="BJ84" i="40"/>
  <c r="S87" i="40"/>
  <c r="AL87" i="40"/>
  <c r="P88" i="40"/>
  <c r="T88" i="40"/>
  <c r="AH88" i="40"/>
  <c r="L91" i="40"/>
  <c r="S91" i="40"/>
  <c r="AL91" i="40"/>
  <c r="P92" i="40"/>
  <c r="T92" i="40"/>
  <c r="AH92" i="40"/>
  <c r="L95" i="40"/>
  <c r="S95" i="40"/>
  <c r="AL95" i="40"/>
  <c r="L84" i="40"/>
  <c r="S84" i="40"/>
  <c r="P85" i="40"/>
  <c r="T85" i="40"/>
  <c r="AH85" i="40"/>
  <c r="AM85" i="40"/>
  <c r="G86" i="40"/>
  <c r="Q86" i="40"/>
  <c r="Y86" i="40"/>
  <c r="AE86" i="40"/>
  <c r="AV86" i="40"/>
  <c r="R87" i="40"/>
  <c r="BC87" i="40"/>
  <c r="BH87" i="40" s="1"/>
  <c r="L88" i="40"/>
  <c r="S88" i="40"/>
  <c r="P89" i="40"/>
  <c r="T89" i="40"/>
  <c r="AH89" i="40"/>
  <c r="AM89" i="40"/>
  <c r="G90" i="40"/>
  <c r="Q90" i="40"/>
  <c r="Y90" i="40"/>
  <c r="AE90" i="40"/>
  <c r="AV90" i="40"/>
  <c r="R91" i="40"/>
  <c r="BC91" i="40"/>
  <c r="BH91" i="40" s="1"/>
  <c r="L92" i="40"/>
  <c r="S92" i="40"/>
  <c r="P93" i="40"/>
  <c r="T93" i="40"/>
  <c r="AH93" i="40"/>
  <c r="AM93" i="40"/>
  <c r="G94" i="40"/>
  <c r="Q94" i="40"/>
  <c r="Y94" i="40"/>
  <c r="AE94" i="40"/>
  <c r="AV94" i="40"/>
  <c r="R95" i="40"/>
  <c r="BC95" i="40"/>
  <c r="BH95" i="40" s="1"/>
  <c r="S196" i="40"/>
  <c r="CJ196" i="40"/>
  <c r="Y180" i="40"/>
  <c r="AE180" i="40"/>
  <c r="AV201" i="40"/>
  <c r="CT192" i="40"/>
  <c r="Y192" i="40"/>
  <c r="AE192" i="40"/>
  <c r="S192" i="40"/>
  <c r="G196" i="40"/>
  <c r="Y198" i="40"/>
  <c r="AE198" i="40"/>
  <c r="G177" i="40"/>
  <c r="BC177" i="40"/>
  <c r="BH177" i="40" s="1"/>
  <c r="L192" i="40"/>
  <c r="Q198" i="40"/>
  <c r="S180" i="40"/>
  <c r="DB185" i="40"/>
  <c r="CJ189" i="40"/>
  <c r="CJ193" i="40"/>
  <c r="G180" i="40"/>
  <c r="CO180" i="40"/>
  <c r="Q189" i="40"/>
  <c r="BC189" i="40"/>
  <c r="BH189" i="40" s="1"/>
  <c r="CO192" i="40"/>
  <c r="Y193" i="40"/>
  <c r="AE193" i="40"/>
  <c r="G198" i="40"/>
  <c r="CT186" i="40"/>
  <c r="CJ180" i="40"/>
  <c r="G190" i="40"/>
  <c r="CT190" i="40"/>
  <c r="G193" i="40"/>
  <c r="G194" i="40"/>
  <c r="BO194" i="40"/>
  <c r="CT198" i="40"/>
  <c r="Q202" i="40"/>
  <c r="R180" i="40"/>
  <c r="BC180" i="40"/>
  <c r="BH180" i="40" s="1"/>
  <c r="DN180" i="40"/>
  <c r="CJ184" i="40"/>
  <c r="R185" i="40"/>
  <c r="CJ185" i="40"/>
  <c r="Y186" i="40"/>
  <c r="AE186" i="40"/>
  <c r="BO190" i="40"/>
  <c r="R196" i="40"/>
  <c r="BC196" i="40"/>
  <c r="BH196" i="40" s="1"/>
  <c r="DN196" i="40"/>
  <c r="G202" i="40"/>
  <c r="CT202" i="40"/>
  <c r="G178" i="40"/>
  <c r="BO178" i="40"/>
  <c r="L180" i="40"/>
  <c r="AV180" i="40"/>
  <c r="CT180" i="40"/>
  <c r="R184" i="40"/>
  <c r="AV184" i="40"/>
  <c r="EA184" i="40" s="1"/>
  <c r="Q185" i="40"/>
  <c r="Q186" i="40"/>
  <c r="G189" i="40"/>
  <c r="AV189" i="40"/>
  <c r="DB189" i="40"/>
  <c r="Y190" i="40"/>
  <c r="AE190" i="40"/>
  <c r="L196" i="40"/>
  <c r="AV196" i="40"/>
  <c r="CT196" i="40"/>
  <c r="BO202" i="40"/>
  <c r="DN184" i="40"/>
  <c r="G184" i="40"/>
  <c r="Y189" i="40"/>
  <c r="AE189" i="40"/>
  <c r="CT189" i="40"/>
  <c r="Q190" i="40"/>
  <c r="BC192" i="40"/>
  <c r="BH192" i="40" s="1"/>
  <c r="Y196" i="40"/>
  <c r="AE196" i="40"/>
  <c r="CO196" i="40"/>
  <c r="R197" i="40"/>
  <c r="BO198" i="40"/>
  <c r="CT201" i="40"/>
  <c r="Y202" i="40"/>
  <c r="AE202" i="40"/>
  <c r="Q188" i="40"/>
  <c r="Y177" i="40"/>
  <c r="AE177" i="40"/>
  <c r="AV178" i="40"/>
  <c r="DB181" i="40"/>
  <c r="Y182" i="40"/>
  <c r="AE182" i="40"/>
  <c r="Q184" i="40"/>
  <c r="AL184" i="40"/>
  <c r="BO184" i="40"/>
  <c r="DB184" i="40"/>
  <c r="L188" i="40"/>
  <c r="Y188" i="40"/>
  <c r="AE188" i="40"/>
  <c r="CT188" i="40"/>
  <c r="R193" i="40"/>
  <c r="BO193" i="40"/>
  <c r="AV194" i="40"/>
  <c r="Q197" i="40"/>
  <c r="BC197" i="40"/>
  <c r="BH197" i="40" s="1"/>
  <c r="DB197" i="40"/>
  <c r="Q200" i="40"/>
  <c r="AL200" i="40"/>
  <c r="BO200" i="40"/>
  <c r="DB200" i="40"/>
  <c r="AV182" i="40"/>
  <c r="R177" i="40"/>
  <c r="DB177" i="40"/>
  <c r="Y178" i="40"/>
  <c r="AE178" i="40"/>
  <c r="Q180" i="40"/>
  <c r="AL180" i="40"/>
  <c r="BO180" i="40"/>
  <c r="DB180" i="40"/>
  <c r="CJ181" i="40"/>
  <c r="Q182" i="40"/>
  <c r="CT182" i="40"/>
  <c r="L184" i="40"/>
  <c r="Y184" i="40"/>
  <c r="AE184" i="40"/>
  <c r="CT184" i="40"/>
  <c r="G185" i="40"/>
  <c r="BC185" i="40"/>
  <c r="BH185" i="40" s="1"/>
  <c r="G186" i="40"/>
  <c r="BO186" i="40"/>
  <c r="S188" i="40"/>
  <c r="BC188" i="40"/>
  <c r="BH188" i="40" s="1"/>
  <c r="CO188" i="40"/>
  <c r="R189" i="40"/>
  <c r="BO189" i="40"/>
  <c r="AV190" i="40"/>
  <c r="G192" i="40"/>
  <c r="R192" i="40"/>
  <c r="AV192" i="40"/>
  <c r="CJ192" i="40"/>
  <c r="DN192" i="40"/>
  <c r="Q193" i="40"/>
  <c r="BC193" i="40"/>
  <c r="BH193" i="40" s="1"/>
  <c r="DB193" i="40"/>
  <c r="Y194" i="40"/>
  <c r="AE194" i="40"/>
  <c r="Q196" i="40"/>
  <c r="AL196" i="40"/>
  <c r="BO196" i="40"/>
  <c r="DB196" i="40"/>
  <c r="AV197" i="40"/>
  <c r="CT197" i="40"/>
  <c r="L200" i="40"/>
  <c r="Y200" i="40"/>
  <c r="AE200" i="40"/>
  <c r="CT200" i="40"/>
  <c r="G201" i="40"/>
  <c r="Y201" i="40"/>
  <c r="AE201" i="40"/>
  <c r="CJ201" i="40"/>
  <c r="AL188" i="40"/>
  <c r="BO188" i="40"/>
  <c r="DB188" i="40"/>
  <c r="Q177" i="40"/>
  <c r="CJ177" i="40"/>
  <c r="Q178" i="40"/>
  <c r="CT178" i="40"/>
  <c r="R181" i="40"/>
  <c r="BC181" i="40"/>
  <c r="BH181" i="40" s="1"/>
  <c r="G182" i="40"/>
  <c r="BO182" i="40"/>
  <c r="S184" i="40"/>
  <c r="BC184" i="40"/>
  <c r="BH184" i="40" s="1"/>
  <c r="CO184" i="40"/>
  <c r="Y185" i="40"/>
  <c r="AE185" i="40"/>
  <c r="AV186" i="40"/>
  <c r="G188" i="40"/>
  <c r="R188" i="40"/>
  <c r="AV188" i="40"/>
  <c r="CJ188" i="40"/>
  <c r="DN188" i="40"/>
  <c r="Q192" i="40"/>
  <c r="AL192" i="40"/>
  <c r="BO192" i="40"/>
  <c r="DB192" i="40"/>
  <c r="AV193" i="40"/>
  <c r="CT193" i="40"/>
  <c r="Q194" i="40"/>
  <c r="CT194" i="40"/>
  <c r="G197" i="40"/>
  <c r="Y197" i="40"/>
  <c r="AE197" i="40"/>
  <c r="CJ197" i="40"/>
  <c r="S200" i="40"/>
  <c r="BC200" i="40"/>
  <c r="BH200" i="40" s="1"/>
  <c r="CO200" i="40"/>
  <c r="R201" i="40"/>
  <c r="BO201" i="40"/>
  <c r="AV202" i="40"/>
  <c r="BO197" i="40"/>
  <c r="AV198" i="40"/>
  <c r="G200" i="40"/>
  <c r="R200" i="40"/>
  <c r="AV200" i="40"/>
  <c r="CJ200" i="40"/>
  <c r="DN200" i="40"/>
  <c r="Q201" i="40"/>
  <c r="BC201" i="40"/>
  <c r="BH201" i="40" s="1"/>
  <c r="DB201" i="40"/>
  <c r="T179" i="40"/>
  <c r="AH179" i="40"/>
  <c r="AM179" i="40"/>
  <c r="BJ179" i="40"/>
  <c r="CQ179" i="40"/>
  <c r="P183" i="40"/>
  <c r="AH183" i="40"/>
  <c r="P187" i="40"/>
  <c r="AH187" i="40"/>
  <c r="P191" i="40"/>
  <c r="AH191" i="40"/>
  <c r="BJ191" i="40"/>
  <c r="CQ191" i="40"/>
  <c r="T195" i="40"/>
  <c r="AH195" i="40"/>
  <c r="BJ195" i="40"/>
  <c r="P199" i="40"/>
  <c r="AH199" i="40"/>
  <c r="BJ203" i="40"/>
  <c r="AV177" i="40"/>
  <c r="BO177" i="40"/>
  <c r="CT177" i="40"/>
  <c r="P178" i="40"/>
  <c r="T178" i="40"/>
  <c r="AH178" i="40"/>
  <c r="AM178" i="40"/>
  <c r="BJ178" i="40"/>
  <c r="CQ178" i="40"/>
  <c r="L179" i="40"/>
  <c r="S179" i="40"/>
  <c r="AL179" i="40"/>
  <c r="CO179" i="40"/>
  <c r="DN179" i="40"/>
  <c r="G181" i="40"/>
  <c r="Q181" i="40"/>
  <c r="Y181" i="40"/>
  <c r="AE181" i="40"/>
  <c r="AV181" i="40"/>
  <c r="BO181" i="40"/>
  <c r="CT181" i="40"/>
  <c r="P182" i="40"/>
  <c r="T182" i="40"/>
  <c r="AH182" i="40"/>
  <c r="AM182" i="40"/>
  <c r="BJ182" i="40"/>
  <c r="CQ182" i="40"/>
  <c r="L183" i="40"/>
  <c r="S183" i="40"/>
  <c r="AL183" i="40"/>
  <c r="CO183" i="40"/>
  <c r="DN183" i="40"/>
  <c r="AV185" i="40"/>
  <c r="BO185" i="40"/>
  <c r="CT185" i="40"/>
  <c r="P186" i="40"/>
  <c r="T186" i="40"/>
  <c r="AH186" i="40"/>
  <c r="AM186" i="40"/>
  <c r="BJ186" i="40"/>
  <c r="CQ186" i="40"/>
  <c r="L187" i="40"/>
  <c r="S187" i="40"/>
  <c r="AL187" i="40"/>
  <c r="CO187" i="40"/>
  <c r="DN187" i="40"/>
  <c r="P190" i="40"/>
  <c r="T190" i="40"/>
  <c r="AH190" i="40"/>
  <c r="AM190" i="40"/>
  <c r="BJ190" i="40"/>
  <c r="CQ190" i="40"/>
  <c r="L191" i="40"/>
  <c r="S191" i="40"/>
  <c r="AL191" i="40"/>
  <c r="CO191" i="40"/>
  <c r="DN191" i="40"/>
  <c r="P194" i="40"/>
  <c r="T194" i="40"/>
  <c r="AH194" i="40"/>
  <c r="AM194" i="40"/>
  <c r="BJ194" i="40"/>
  <c r="CQ194" i="40"/>
  <c r="L195" i="40"/>
  <c r="S195" i="40"/>
  <c r="AL195" i="40"/>
  <c r="CO195" i="40"/>
  <c r="DN195" i="40"/>
  <c r="P198" i="40"/>
  <c r="T198" i="40"/>
  <c r="AH198" i="40"/>
  <c r="AM198" i="40"/>
  <c r="BJ198" i="40"/>
  <c r="CQ198" i="40"/>
  <c r="L199" i="40"/>
  <c r="S199" i="40"/>
  <c r="AL199" i="40"/>
  <c r="CO199" i="40"/>
  <c r="DN199" i="40"/>
  <c r="P202" i="40"/>
  <c r="T202" i="40"/>
  <c r="AH202" i="40"/>
  <c r="AM202" i="40"/>
  <c r="BJ202" i="40"/>
  <c r="CQ202" i="40"/>
  <c r="L203" i="40"/>
  <c r="S203" i="40"/>
  <c r="AL203" i="40"/>
  <c r="CO203" i="40"/>
  <c r="DN203" i="40"/>
  <c r="P179" i="40"/>
  <c r="AM183" i="40"/>
  <c r="CQ183" i="40"/>
  <c r="T187" i="40"/>
  <c r="T191" i="40"/>
  <c r="AM191" i="40"/>
  <c r="AM195" i="40"/>
  <c r="CQ195" i="40"/>
  <c r="AM199" i="40"/>
  <c r="BJ199" i="40"/>
  <c r="CQ199" i="40"/>
  <c r="P203" i="40"/>
  <c r="T203" i="40"/>
  <c r="AH203" i="40"/>
  <c r="AM177" i="40"/>
  <c r="CO178" i="40"/>
  <c r="R179" i="40"/>
  <c r="BC179" i="40"/>
  <c r="BH179" i="40" s="1"/>
  <c r="CJ179" i="40"/>
  <c r="DB179" i="40"/>
  <c r="P181" i="40"/>
  <c r="T181" i="40"/>
  <c r="AH181" i="40"/>
  <c r="AM181" i="40"/>
  <c r="BJ181" i="40"/>
  <c r="CQ181" i="40"/>
  <c r="L182" i="40"/>
  <c r="S182" i="40"/>
  <c r="AL182" i="40"/>
  <c r="CO182" i="40"/>
  <c r="DN182" i="40"/>
  <c r="R183" i="40"/>
  <c r="BC183" i="40"/>
  <c r="BH183" i="40" s="1"/>
  <c r="CJ183" i="40"/>
  <c r="DB183" i="40"/>
  <c r="P185" i="40"/>
  <c r="T185" i="40"/>
  <c r="AH185" i="40"/>
  <c r="AM185" i="40"/>
  <c r="BJ185" i="40"/>
  <c r="CQ185" i="40"/>
  <c r="L186" i="40"/>
  <c r="S186" i="40"/>
  <c r="AL186" i="40"/>
  <c r="CO186" i="40"/>
  <c r="DN186" i="40"/>
  <c r="R187" i="40"/>
  <c r="BC187" i="40"/>
  <c r="BH187" i="40" s="1"/>
  <c r="CJ187" i="40"/>
  <c r="DB187" i="40"/>
  <c r="P189" i="40"/>
  <c r="T189" i="40"/>
  <c r="AH189" i="40"/>
  <c r="AM189" i="40"/>
  <c r="BJ189" i="40"/>
  <c r="CQ189" i="40"/>
  <c r="L190" i="40"/>
  <c r="S190" i="40"/>
  <c r="AL190" i="40"/>
  <c r="CO190" i="40"/>
  <c r="DN190" i="40"/>
  <c r="R191" i="40"/>
  <c r="BC191" i="40"/>
  <c r="BH191" i="40" s="1"/>
  <c r="CJ191" i="40"/>
  <c r="DB191" i="40"/>
  <c r="P193" i="40"/>
  <c r="T193" i="40"/>
  <c r="AH193" i="40"/>
  <c r="AM193" i="40"/>
  <c r="BJ193" i="40"/>
  <c r="CQ193" i="40"/>
  <c r="L194" i="40"/>
  <c r="S194" i="40"/>
  <c r="AL194" i="40"/>
  <c r="CO194" i="40"/>
  <c r="DN194" i="40"/>
  <c r="R195" i="40"/>
  <c r="BC195" i="40"/>
  <c r="BH195" i="40" s="1"/>
  <c r="CJ195" i="40"/>
  <c r="DB195" i="40"/>
  <c r="P197" i="40"/>
  <c r="T197" i="40"/>
  <c r="AH197" i="40"/>
  <c r="AM197" i="40"/>
  <c r="BJ197" i="40"/>
  <c r="CQ197" i="40"/>
  <c r="L198" i="40"/>
  <c r="S198" i="40"/>
  <c r="AL198" i="40"/>
  <c r="CO198" i="40"/>
  <c r="DN198" i="40"/>
  <c r="R199" i="40"/>
  <c r="BC199" i="40"/>
  <c r="BH199" i="40" s="1"/>
  <c r="CJ199" i="40"/>
  <c r="DB199" i="40"/>
  <c r="P201" i="40"/>
  <c r="T201" i="40"/>
  <c r="AH201" i="40"/>
  <c r="AM201" i="40"/>
  <c r="BJ201" i="40"/>
  <c r="CQ201" i="40"/>
  <c r="L202" i="40"/>
  <c r="S202" i="40"/>
  <c r="AL202" i="40"/>
  <c r="CO202" i="40"/>
  <c r="DN202" i="40"/>
  <c r="R203" i="40"/>
  <c r="BC203" i="40"/>
  <c r="BH203" i="40" s="1"/>
  <c r="CJ203" i="40"/>
  <c r="DB203" i="40"/>
  <c r="T183" i="40"/>
  <c r="BJ183" i="40"/>
  <c r="AM187" i="40"/>
  <c r="BJ187" i="40"/>
  <c r="CQ187" i="40"/>
  <c r="P195" i="40"/>
  <c r="T199" i="40"/>
  <c r="AM203" i="40"/>
  <c r="CQ203" i="40"/>
  <c r="P177" i="40"/>
  <c r="T177" i="40"/>
  <c r="AH177" i="40"/>
  <c r="BJ177" i="40"/>
  <c r="CQ177" i="40"/>
  <c r="L178" i="40"/>
  <c r="S178" i="40"/>
  <c r="AL178" i="40"/>
  <c r="DN178" i="40"/>
  <c r="L177" i="40"/>
  <c r="S177" i="40"/>
  <c r="AL177" i="40"/>
  <c r="CO177" i="40"/>
  <c r="R178" i="40"/>
  <c r="BC178" i="40"/>
  <c r="BH178" i="40" s="1"/>
  <c r="CJ178" i="40"/>
  <c r="G179" i="40"/>
  <c r="Q179" i="40"/>
  <c r="Y179" i="40"/>
  <c r="AE179" i="40"/>
  <c r="AV179" i="40"/>
  <c r="BO179" i="40"/>
  <c r="P180" i="40"/>
  <c r="T180" i="40"/>
  <c r="AH180" i="40"/>
  <c r="AM180" i="40"/>
  <c r="BJ180" i="40"/>
  <c r="L181" i="40"/>
  <c r="S181" i="40"/>
  <c r="AL181" i="40"/>
  <c r="CO181" i="40"/>
  <c r="R182" i="40"/>
  <c r="BC182" i="40"/>
  <c r="BH182" i="40" s="1"/>
  <c r="CJ182" i="40"/>
  <c r="G183" i="40"/>
  <c r="Q183" i="40"/>
  <c r="Y183" i="40"/>
  <c r="AE183" i="40"/>
  <c r="AV183" i="40"/>
  <c r="BO183" i="40"/>
  <c r="P184" i="40"/>
  <c r="T184" i="40"/>
  <c r="AH184" i="40"/>
  <c r="AM184" i="40"/>
  <c r="BJ184" i="40"/>
  <c r="L185" i="40"/>
  <c r="S185" i="40"/>
  <c r="AL185" i="40"/>
  <c r="CO185" i="40"/>
  <c r="R186" i="40"/>
  <c r="BC186" i="40"/>
  <c r="BH186" i="40" s="1"/>
  <c r="CJ186" i="40"/>
  <c r="G187" i="40"/>
  <c r="Q187" i="40"/>
  <c r="Y187" i="40"/>
  <c r="AE187" i="40"/>
  <c r="AV187" i="40"/>
  <c r="BO187" i="40"/>
  <c r="P188" i="40"/>
  <c r="T188" i="40"/>
  <c r="AH188" i="40"/>
  <c r="AM188" i="40"/>
  <c r="BJ188" i="40"/>
  <c r="L189" i="40"/>
  <c r="S189" i="40"/>
  <c r="AL189" i="40"/>
  <c r="CO189" i="40"/>
  <c r="R190" i="40"/>
  <c r="BC190" i="40"/>
  <c r="BH190" i="40" s="1"/>
  <c r="CJ190" i="40"/>
  <c r="G191" i="40"/>
  <c r="Q191" i="40"/>
  <c r="Y191" i="40"/>
  <c r="AE191" i="40"/>
  <c r="AV191" i="40"/>
  <c r="BO191" i="40"/>
  <c r="P192" i="40"/>
  <c r="T192" i="40"/>
  <c r="AH192" i="40"/>
  <c r="AM192" i="40"/>
  <c r="BJ192" i="40"/>
  <c r="L193" i="40"/>
  <c r="S193" i="40"/>
  <c r="AL193" i="40"/>
  <c r="CO193" i="40"/>
  <c r="R194" i="40"/>
  <c r="BC194" i="40"/>
  <c r="BH194" i="40" s="1"/>
  <c r="CJ194" i="40"/>
  <c r="G195" i="40"/>
  <c r="Q195" i="40"/>
  <c r="Y195" i="40"/>
  <c r="AE195" i="40"/>
  <c r="AV195" i="40"/>
  <c r="BO195" i="40"/>
  <c r="P196" i="40"/>
  <c r="T196" i="40"/>
  <c r="AH196" i="40"/>
  <c r="AM196" i="40"/>
  <c r="BJ196" i="40"/>
  <c r="L197" i="40"/>
  <c r="S197" i="40"/>
  <c r="AL197" i="40"/>
  <c r="CO197" i="40"/>
  <c r="R198" i="40"/>
  <c r="BC198" i="40"/>
  <c r="BH198" i="40" s="1"/>
  <c r="CJ198" i="40"/>
  <c r="G199" i="40"/>
  <c r="Q199" i="40"/>
  <c r="Y199" i="40"/>
  <c r="AE199" i="40"/>
  <c r="AV199" i="40"/>
  <c r="BO199" i="40"/>
  <c r="P200" i="40"/>
  <c r="T200" i="40"/>
  <c r="AH200" i="40"/>
  <c r="AM200" i="40"/>
  <c r="BJ200" i="40"/>
  <c r="L201" i="40"/>
  <c r="S201" i="40"/>
  <c r="AL201" i="40"/>
  <c r="CO201" i="40"/>
  <c r="R202" i="40"/>
  <c r="BC202" i="40"/>
  <c r="BH202" i="40" s="1"/>
  <c r="CJ202" i="40"/>
  <c r="G203" i="40"/>
  <c r="Q203" i="40"/>
  <c r="Y203" i="40"/>
  <c r="AE203" i="40"/>
  <c r="AV203" i="40"/>
  <c r="BO203" i="40"/>
  <c r="L96" i="40"/>
  <c r="G103" i="40"/>
  <c r="Q106" i="40"/>
  <c r="BO106" i="40"/>
  <c r="L100" i="40"/>
  <c r="R100" i="40"/>
  <c r="S100" i="40"/>
  <c r="AL100" i="40"/>
  <c r="G98" i="40"/>
  <c r="DN100" i="40"/>
  <c r="S103" i="40"/>
  <c r="AV103" i="40"/>
  <c r="G106" i="40"/>
  <c r="AL107" i="40"/>
  <c r="BC103" i="40"/>
  <c r="BH103" i="40" s="1"/>
  <c r="Q98" i="40"/>
  <c r="BO98" i="40"/>
  <c r="R103" i="40"/>
  <c r="L104" i="40"/>
  <c r="DN99" i="40"/>
  <c r="Q107" i="40"/>
  <c r="DN107" i="40"/>
  <c r="L99" i="40"/>
  <c r="Y102" i="40"/>
  <c r="BC104" i="40"/>
  <c r="BH104" i="40" s="1"/>
  <c r="L107" i="40"/>
  <c r="Y107" i="40"/>
  <c r="AE107" i="40"/>
  <c r="BO107" i="40"/>
  <c r="S96" i="40"/>
  <c r="AL96" i="40"/>
  <c r="AV98" i="40"/>
  <c r="S99" i="40"/>
  <c r="BC99" i="40"/>
  <c r="BH99" i="40" s="1"/>
  <c r="Q102" i="40"/>
  <c r="Q103" i="40"/>
  <c r="AL103" i="40"/>
  <c r="DN103" i="40"/>
  <c r="S104" i="40"/>
  <c r="AL104" i="40"/>
  <c r="AV106" i="40"/>
  <c r="S107" i="40"/>
  <c r="BC107" i="40"/>
  <c r="BH107" i="40" s="1"/>
  <c r="Q99" i="40"/>
  <c r="AL99" i="40"/>
  <c r="AV102" i="40"/>
  <c r="BC96" i="40"/>
  <c r="BH96" i="40" s="1"/>
  <c r="Y99" i="40"/>
  <c r="AE99" i="40"/>
  <c r="BO99" i="40"/>
  <c r="AE102" i="40"/>
  <c r="R96" i="40"/>
  <c r="DN96" i="40"/>
  <c r="Y98" i="40"/>
  <c r="AE98" i="40"/>
  <c r="G99" i="40"/>
  <c r="R99" i="40"/>
  <c r="AV99" i="40"/>
  <c r="BC100" i="40"/>
  <c r="BH100" i="40" s="1"/>
  <c r="G102" i="40"/>
  <c r="BO102" i="40"/>
  <c r="L103" i="40"/>
  <c r="Y103" i="40"/>
  <c r="AE103" i="40"/>
  <c r="BO103" i="40"/>
  <c r="R104" i="40"/>
  <c r="DN104" i="40"/>
  <c r="Y106" i="40"/>
  <c r="AE106" i="40"/>
  <c r="G107" i="40"/>
  <c r="R107" i="40"/>
  <c r="AV107" i="40"/>
  <c r="AM97" i="40"/>
  <c r="BJ97" i="40"/>
  <c r="AH101" i="40"/>
  <c r="AM101" i="40"/>
  <c r="BJ101" i="40"/>
  <c r="AM105" i="40"/>
  <c r="S97" i="40"/>
  <c r="AM98" i="40"/>
  <c r="BJ98" i="40"/>
  <c r="L101" i="40"/>
  <c r="S101" i="40"/>
  <c r="AL101" i="40"/>
  <c r="P102" i="40"/>
  <c r="T102" i="40"/>
  <c r="AH102" i="40"/>
  <c r="AM102" i="40"/>
  <c r="BJ102" i="40"/>
  <c r="L105" i="40"/>
  <c r="S105" i="40"/>
  <c r="AL105" i="40"/>
  <c r="P106" i="40"/>
  <c r="T106" i="40"/>
  <c r="AH106" i="40"/>
  <c r="AM106" i="40"/>
  <c r="BJ106" i="40"/>
  <c r="G96" i="40"/>
  <c r="Q96" i="40"/>
  <c r="Y96" i="40"/>
  <c r="AE96" i="40"/>
  <c r="AV96" i="40"/>
  <c r="BO96" i="40"/>
  <c r="R97" i="40"/>
  <c r="BC97" i="40"/>
  <c r="BH97" i="40" s="1"/>
  <c r="DN97" i="40"/>
  <c r="L98" i="40"/>
  <c r="S98" i="40"/>
  <c r="AL98" i="40"/>
  <c r="P99" i="40"/>
  <c r="T99" i="40"/>
  <c r="AH99" i="40"/>
  <c r="AM99" i="40"/>
  <c r="G100" i="40"/>
  <c r="Q100" i="40"/>
  <c r="Y100" i="40"/>
  <c r="AE100" i="40"/>
  <c r="AV100" i="40"/>
  <c r="BO100" i="40"/>
  <c r="R101" i="40"/>
  <c r="BC101" i="40"/>
  <c r="BH101" i="40" s="1"/>
  <c r="DN101" i="40"/>
  <c r="L102" i="40"/>
  <c r="S102" i="40"/>
  <c r="AL102" i="40"/>
  <c r="P103" i="40"/>
  <c r="T103" i="40"/>
  <c r="AH103" i="40"/>
  <c r="AM103" i="40"/>
  <c r="G104" i="40"/>
  <c r="Q104" i="40"/>
  <c r="Y104" i="40"/>
  <c r="AE104" i="40"/>
  <c r="AV104" i="40"/>
  <c r="BO104" i="40"/>
  <c r="R105" i="40"/>
  <c r="BC105" i="40"/>
  <c r="BH105" i="40" s="1"/>
  <c r="DN105" i="40"/>
  <c r="L106" i="40"/>
  <c r="S106" i="40"/>
  <c r="AL106" i="40"/>
  <c r="P107" i="40"/>
  <c r="T107" i="40"/>
  <c r="AH107" i="40"/>
  <c r="AM107" i="40"/>
  <c r="P97" i="40"/>
  <c r="T97" i="40"/>
  <c r="AH97" i="40"/>
  <c r="P101" i="40"/>
  <c r="T101" i="40"/>
  <c r="P105" i="40"/>
  <c r="T105" i="40"/>
  <c r="AH105" i="40"/>
  <c r="BJ105" i="40"/>
  <c r="L97" i="40"/>
  <c r="AL97" i="40"/>
  <c r="P98" i="40"/>
  <c r="T98" i="40"/>
  <c r="AH98" i="40"/>
  <c r="P96" i="40"/>
  <c r="T96" i="40"/>
  <c r="AH96" i="40"/>
  <c r="AM96" i="40"/>
  <c r="G97" i="40"/>
  <c r="Q97" i="40"/>
  <c r="Y97" i="40"/>
  <c r="AE97" i="40"/>
  <c r="AV97" i="40"/>
  <c r="R98" i="40"/>
  <c r="BC98" i="40"/>
  <c r="BH98" i="40" s="1"/>
  <c r="P100" i="40"/>
  <c r="T100" i="40"/>
  <c r="AH100" i="40"/>
  <c r="AM100" i="40"/>
  <c r="G101" i="40"/>
  <c r="Q101" i="40"/>
  <c r="Y101" i="40"/>
  <c r="AE101" i="40"/>
  <c r="AV101" i="40"/>
  <c r="R102" i="40"/>
  <c r="BC102" i="40"/>
  <c r="BH102" i="40" s="1"/>
  <c r="P104" i="40"/>
  <c r="T104" i="40"/>
  <c r="AH104" i="40"/>
  <c r="AM104" i="40"/>
  <c r="G105" i="40"/>
  <c r="Q105" i="40"/>
  <c r="Y105" i="40"/>
  <c r="AE105" i="40"/>
  <c r="AV105" i="40"/>
  <c r="R106" i="40"/>
  <c r="BC106" i="40"/>
  <c r="BH106" i="40" s="1"/>
  <c r="Q79" i="40"/>
  <c r="S80" i="40"/>
  <c r="BC80" i="40"/>
  <c r="BH80" i="40" s="1"/>
  <c r="R73" i="40"/>
  <c r="G83" i="40"/>
  <c r="BO83" i="40"/>
  <c r="L73" i="40"/>
  <c r="G76" i="40"/>
  <c r="BC76" i="40"/>
  <c r="BH76" i="40" s="1"/>
  <c r="G80" i="40"/>
  <c r="Q83" i="40"/>
  <c r="AV83" i="40"/>
  <c r="R77" i="40"/>
  <c r="DN77" i="40"/>
  <c r="L72" i="40"/>
  <c r="BO72" i="40"/>
  <c r="S73" i="40"/>
  <c r="AL73" i="40"/>
  <c r="L77" i="40"/>
  <c r="Y79" i="40"/>
  <c r="AE79" i="40"/>
  <c r="Y76" i="40"/>
  <c r="Y72" i="40"/>
  <c r="AE72" i="40"/>
  <c r="DN73" i="40"/>
  <c r="S76" i="40"/>
  <c r="G79" i="40"/>
  <c r="L81" i="40"/>
  <c r="Q72" i="40"/>
  <c r="DN72" i="40"/>
  <c r="L76" i="40"/>
  <c r="BO76" i="40"/>
  <c r="BO79" i="40"/>
  <c r="AL72" i="40"/>
  <c r="AE76" i="40"/>
  <c r="AV75" i="40"/>
  <c r="G72" i="40"/>
  <c r="S72" i="40"/>
  <c r="BC72" i="40"/>
  <c r="BH72" i="40" s="1"/>
  <c r="Q75" i="40"/>
  <c r="R76" i="40"/>
  <c r="AV76" i="40"/>
  <c r="BC77" i="40"/>
  <c r="BH77" i="40" s="1"/>
  <c r="Q80" i="40"/>
  <c r="AL80" i="40"/>
  <c r="DN80" i="40"/>
  <c r="S81" i="40"/>
  <c r="AL81" i="40"/>
  <c r="Y83" i="40"/>
  <c r="AE83" i="40"/>
  <c r="Y75" i="40"/>
  <c r="AE75" i="40"/>
  <c r="R80" i="40"/>
  <c r="AV80" i="40"/>
  <c r="BC81" i="40"/>
  <c r="BH81" i="40" s="1"/>
  <c r="R72" i="40"/>
  <c r="AV72" i="40"/>
  <c r="BC73" i="40"/>
  <c r="BH73" i="40" s="1"/>
  <c r="G75" i="40"/>
  <c r="BO75" i="40"/>
  <c r="Q76" i="40"/>
  <c r="AL76" i="40"/>
  <c r="DN76" i="40"/>
  <c r="S77" i="40"/>
  <c r="AL77" i="40"/>
  <c r="AV79" i="40"/>
  <c r="L80" i="40"/>
  <c r="Y80" i="40"/>
  <c r="AE80" i="40"/>
  <c r="BO80" i="40"/>
  <c r="R81" i="40"/>
  <c r="DN81" i="40"/>
  <c r="T83" i="40"/>
  <c r="AM78" i="40"/>
  <c r="BJ78" i="40"/>
  <c r="AH82" i="40"/>
  <c r="AM82" i="40"/>
  <c r="BJ82" i="40"/>
  <c r="L74" i="40"/>
  <c r="AL74" i="40"/>
  <c r="P75" i="40"/>
  <c r="T75" i="40"/>
  <c r="AH75" i="40"/>
  <c r="AM75" i="40"/>
  <c r="BJ75" i="40"/>
  <c r="L78" i="40"/>
  <c r="AM79" i="40"/>
  <c r="BJ79" i="40"/>
  <c r="S82" i="40"/>
  <c r="P73" i="40"/>
  <c r="T73" i="40"/>
  <c r="AH73" i="40"/>
  <c r="AM73" i="40"/>
  <c r="BJ73" i="40"/>
  <c r="G74" i="40"/>
  <c r="Q74" i="40"/>
  <c r="Y74" i="40"/>
  <c r="AE74" i="40"/>
  <c r="AV74" i="40"/>
  <c r="BO74" i="40"/>
  <c r="R75" i="40"/>
  <c r="BC75" i="40"/>
  <c r="BH75" i="40" s="1"/>
  <c r="DN75" i="40"/>
  <c r="P77" i="40"/>
  <c r="T77" i="40"/>
  <c r="AH77" i="40"/>
  <c r="AM77" i="40"/>
  <c r="BJ77" i="40"/>
  <c r="G78" i="40"/>
  <c r="Q78" i="40"/>
  <c r="Y78" i="40"/>
  <c r="AE78" i="40"/>
  <c r="AV78" i="40"/>
  <c r="BO78" i="40"/>
  <c r="R79" i="40"/>
  <c r="BC79" i="40"/>
  <c r="BH79" i="40" s="1"/>
  <c r="DN79" i="40"/>
  <c r="P81" i="40"/>
  <c r="T81" i="40"/>
  <c r="AH81" i="40"/>
  <c r="AM81" i="40"/>
  <c r="BJ81" i="40"/>
  <c r="G82" i="40"/>
  <c r="Q82" i="40"/>
  <c r="Y82" i="40"/>
  <c r="AE82" i="40"/>
  <c r="AV82" i="40"/>
  <c r="BO82" i="40"/>
  <c r="R83" i="40"/>
  <c r="BC83" i="40"/>
  <c r="BH83" i="40" s="1"/>
  <c r="DN83" i="40"/>
  <c r="P74" i="40"/>
  <c r="T74" i="40"/>
  <c r="AH74" i="40"/>
  <c r="AM74" i="40"/>
  <c r="BJ74" i="40"/>
  <c r="P78" i="40"/>
  <c r="T78" i="40"/>
  <c r="AH78" i="40"/>
  <c r="P82" i="40"/>
  <c r="T82" i="40"/>
  <c r="S74" i="40"/>
  <c r="S78" i="40"/>
  <c r="AL78" i="40"/>
  <c r="P79" i="40"/>
  <c r="T79" i="40"/>
  <c r="AH79" i="40"/>
  <c r="L82" i="40"/>
  <c r="AL82" i="40"/>
  <c r="P83" i="40"/>
  <c r="AH83" i="40"/>
  <c r="AM83" i="40"/>
  <c r="BJ83" i="40"/>
  <c r="P72" i="40"/>
  <c r="T72" i="40"/>
  <c r="AH72" i="40"/>
  <c r="AM72" i="40"/>
  <c r="G73" i="40"/>
  <c r="Q73" i="40"/>
  <c r="Y73" i="40"/>
  <c r="AE73" i="40"/>
  <c r="AV73" i="40"/>
  <c r="R74" i="40"/>
  <c r="BC74" i="40"/>
  <c r="BH74" i="40" s="1"/>
  <c r="L75" i="40"/>
  <c r="S75" i="40"/>
  <c r="P76" i="40"/>
  <c r="T76" i="40"/>
  <c r="AH76" i="40"/>
  <c r="AM76" i="40"/>
  <c r="G77" i="40"/>
  <c r="Q77" i="40"/>
  <c r="Y77" i="40"/>
  <c r="AE77" i="40"/>
  <c r="AV77" i="40"/>
  <c r="R78" i="40"/>
  <c r="BC78" i="40"/>
  <c r="BH78" i="40" s="1"/>
  <c r="L79" i="40"/>
  <c r="S79" i="40"/>
  <c r="P80" i="40"/>
  <c r="T80" i="40"/>
  <c r="AH80" i="40"/>
  <c r="AM80" i="40"/>
  <c r="G81" i="40"/>
  <c r="Q81" i="40"/>
  <c r="Y81" i="40"/>
  <c r="AE81" i="40"/>
  <c r="AV81" i="40"/>
  <c r="R82" i="40"/>
  <c r="BC82" i="40"/>
  <c r="BH82" i="40" s="1"/>
  <c r="L83" i="40"/>
  <c r="S83" i="40"/>
  <c r="S176" i="40"/>
  <c r="CO176" i="40"/>
  <c r="G176" i="40"/>
  <c r="R176" i="40"/>
  <c r="AV176" i="40"/>
  <c r="CJ176" i="40"/>
  <c r="DN176" i="40"/>
  <c r="Q176" i="40"/>
  <c r="AL176" i="40"/>
  <c r="BO176" i="40"/>
  <c r="DB176" i="40"/>
  <c r="BC176" i="40"/>
  <c r="BH176" i="40" s="1"/>
  <c r="L176" i="40"/>
  <c r="Y176" i="40"/>
  <c r="AE176" i="40"/>
  <c r="CT176" i="40"/>
  <c r="P176" i="40"/>
  <c r="T176" i="40"/>
  <c r="AH176" i="40"/>
  <c r="AM176" i="40"/>
  <c r="BJ176" i="40"/>
  <c r="AJ55" i="40"/>
  <c r="AI55" i="40"/>
  <c r="AG55" i="40"/>
  <c r="AF55" i="40"/>
  <c r="AC55" i="40"/>
  <c r="AB55" i="40"/>
  <c r="AA55" i="40"/>
  <c r="D55" i="40"/>
  <c r="AJ54" i="40"/>
  <c r="AI54" i="40"/>
  <c r="AG54" i="40"/>
  <c r="AF54" i="40"/>
  <c r="AC54" i="40"/>
  <c r="AB54" i="40"/>
  <c r="AA54" i="40"/>
  <c r="D54" i="40"/>
  <c r="AJ53" i="40"/>
  <c r="AI53" i="40"/>
  <c r="AG53" i="40"/>
  <c r="AF53" i="40"/>
  <c r="AC53" i="40"/>
  <c r="AB53" i="40"/>
  <c r="AA53" i="40"/>
  <c r="D53" i="40"/>
  <c r="AJ52" i="40"/>
  <c r="AI52" i="40"/>
  <c r="AG52" i="40"/>
  <c r="AF52" i="40"/>
  <c r="AC52" i="40"/>
  <c r="AB52" i="40"/>
  <c r="AA52" i="40"/>
  <c r="D52" i="40"/>
  <c r="AJ51" i="40"/>
  <c r="AI51" i="40"/>
  <c r="AG51" i="40"/>
  <c r="AF51" i="40"/>
  <c r="AC51" i="40"/>
  <c r="AB51" i="40"/>
  <c r="AA51" i="40"/>
  <c r="D51" i="40"/>
  <c r="AJ50" i="40"/>
  <c r="AI50" i="40"/>
  <c r="AG50" i="40"/>
  <c r="AF50" i="40"/>
  <c r="AC50" i="40"/>
  <c r="AB50" i="40"/>
  <c r="AA50" i="40"/>
  <c r="D50" i="40"/>
  <c r="AJ49" i="40"/>
  <c r="AI49" i="40"/>
  <c r="AG49" i="40"/>
  <c r="AF49" i="40"/>
  <c r="AC49" i="40"/>
  <c r="AB49" i="40"/>
  <c r="AA49" i="40"/>
  <c r="D49" i="40"/>
  <c r="AJ48" i="40"/>
  <c r="AI48" i="40"/>
  <c r="AG48" i="40"/>
  <c r="AF48" i="40"/>
  <c r="AC48" i="40"/>
  <c r="AB48" i="40"/>
  <c r="AA48" i="40"/>
  <c r="D48" i="40"/>
  <c r="AJ47" i="40"/>
  <c r="AI47" i="40"/>
  <c r="AG47" i="40"/>
  <c r="AF47" i="40"/>
  <c r="AC47" i="40"/>
  <c r="AB47" i="40"/>
  <c r="AA47" i="40"/>
  <c r="D47" i="40"/>
  <c r="AJ46" i="40"/>
  <c r="AI46" i="40"/>
  <c r="AG46" i="40"/>
  <c r="AF46" i="40"/>
  <c r="AC46" i="40"/>
  <c r="AB46" i="40"/>
  <c r="AA46" i="40"/>
  <c r="D46" i="40"/>
  <c r="AJ45" i="40"/>
  <c r="AI45" i="40"/>
  <c r="AG45" i="40"/>
  <c r="AF45" i="40"/>
  <c r="AC45" i="40"/>
  <c r="AB45" i="40"/>
  <c r="AA45" i="40"/>
  <c r="D45" i="40"/>
  <c r="AJ44" i="40"/>
  <c r="AI44" i="40"/>
  <c r="AG44" i="40"/>
  <c r="AF44" i="40"/>
  <c r="AC44" i="40"/>
  <c r="AB44" i="40"/>
  <c r="AA44" i="40"/>
  <c r="D44" i="40"/>
  <c r="AJ43" i="40"/>
  <c r="AI43" i="40"/>
  <c r="AG43" i="40"/>
  <c r="AF43" i="40"/>
  <c r="AC43" i="40"/>
  <c r="AB43" i="40"/>
  <c r="AA43" i="40"/>
  <c r="D43" i="40"/>
  <c r="AJ42" i="40"/>
  <c r="AI42" i="40"/>
  <c r="AG42" i="40"/>
  <c r="AF42" i="40"/>
  <c r="AC42" i="40"/>
  <c r="AB42" i="40"/>
  <c r="AA42" i="40"/>
  <c r="D42" i="40"/>
  <c r="L42" i="40" l="1"/>
  <c r="I42" i="40"/>
  <c r="BO43" i="40"/>
  <c r="I43" i="40"/>
  <c r="BJ44" i="40"/>
  <c r="I44" i="40"/>
  <c r="AL45" i="40"/>
  <c r="I45" i="40"/>
  <c r="BJ46" i="40"/>
  <c r="I46" i="40"/>
  <c r="BO47" i="40"/>
  <c r="I47" i="40"/>
  <c r="BJ48" i="40"/>
  <c r="I48" i="40"/>
  <c r="AL49" i="40"/>
  <c r="I49" i="40"/>
  <c r="BJ50" i="40"/>
  <c r="I50" i="40"/>
  <c r="BO51" i="40"/>
  <c r="I51" i="40"/>
  <c r="BJ52" i="40"/>
  <c r="I52" i="40"/>
  <c r="AL53" i="40"/>
  <c r="I53" i="40"/>
  <c r="AL54" i="40"/>
  <c r="I54" i="40"/>
  <c r="T55" i="40"/>
  <c r="I55" i="40"/>
  <c r="EA210" i="40"/>
  <c r="EA221" i="40"/>
  <c r="EA225" i="40"/>
  <c r="EA227" i="40"/>
  <c r="EA219" i="40"/>
  <c r="EA217" i="40"/>
  <c r="EA223" i="40"/>
  <c r="EA207" i="40"/>
  <c r="EA208" i="40"/>
  <c r="EA205" i="40"/>
  <c r="EA209" i="40"/>
  <c r="EA213" i="40"/>
  <c r="EA211" i="40"/>
  <c r="EA215" i="40"/>
  <c r="EA212" i="40"/>
  <c r="EA204" i="40"/>
  <c r="EA228" i="40"/>
  <c r="EA26" i="40"/>
  <c r="EA29" i="40"/>
  <c r="EA30" i="40"/>
  <c r="EA22" i="40"/>
  <c r="EA31" i="40"/>
  <c r="EA23" i="40"/>
  <c r="EA28" i="40"/>
  <c r="EA24" i="40"/>
  <c r="EA27" i="40"/>
  <c r="EA16" i="40"/>
  <c r="EA4" i="40"/>
  <c r="EA20" i="40"/>
  <c r="EA12" i="40"/>
  <c r="EA5" i="40"/>
  <c r="EA7" i="40"/>
  <c r="EA19" i="40"/>
  <c r="EA3" i="40"/>
  <c r="EA15" i="40"/>
  <c r="EA6" i="40"/>
  <c r="EA14" i="40"/>
  <c r="EA10" i="40"/>
  <c r="EA11" i="40"/>
  <c r="EA18" i="40"/>
  <c r="EA2" i="40"/>
  <c r="EA201" i="40"/>
  <c r="EA190" i="40"/>
  <c r="EA186" i="40"/>
  <c r="EA178" i="40"/>
  <c r="EA202" i="40"/>
  <c r="EA182" i="40"/>
  <c r="EA189" i="40"/>
  <c r="EA196" i="40"/>
  <c r="EA180" i="40"/>
  <c r="EA198" i="40"/>
  <c r="EA194" i="40"/>
  <c r="EA200" i="40"/>
  <c r="EA197" i="40"/>
  <c r="EA192" i="40"/>
  <c r="EA193" i="40"/>
  <c r="EA188" i="40"/>
  <c r="EA199" i="40"/>
  <c r="EA191" i="40"/>
  <c r="EA183" i="40"/>
  <c r="EA185" i="40"/>
  <c r="EA181" i="40"/>
  <c r="EA203" i="40"/>
  <c r="EA195" i="40"/>
  <c r="EA187" i="40"/>
  <c r="EA179" i="40"/>
  <c r="EA177" i="40"/>
  <c r="EA176" i="40"/>
  <c r="G52" i="40"/>
  <c r="S44" i="40"/>
  <c r="BC44" i="40"/>
  <c r="BH44" i="40" s="1"/>
  <c r="G44" i="40"/>
  <c r="S52" i="40"/>
  <c r="DN53" i="40"/>
  <c r="Y55" i="40"/>
  <c r="AE55" i="40"/>
  <c r="BO52" i="40"/>
  <c r="Q55" i="40"/>
  <c r="Y46" i="40"/>
  <c r="AE46" i="40"/>
  <c r="Y52" i="40"/>
  <c r="AE52" i="40"/>
  <c r="G55" i="40"/>
  <c r="BO55" i="40"/>
  <c r="AV55" i="40"/>
  <c r="P54" i="40"/>
  <c r="T54" i="40"/>
  <c r="AH54" i="40"/>
  <c r="BJ54" i="40"/>
  <c r="AH55" i="40"/>
  <c r="AM55" i="40"/>
  <c r="BJ55" i="40"/>
  <c r="R54" i="40"/>
  <c r="BC54" i="40"/>
  <c r="BH54" i="40" s="1"/>
  <c r="DN54" i="40"/>
  <c r="L55" i="40"/>
  <c r="S55" i="40"/>
  <c r="AL55" i="40"/>
  <c r="G54" i="40"/>
  <c r="Q54" i="40"/>
  <c r="Y54" i="40"/>
  <c r="AE54" i="40"/>
  <c r="AV54" i="40"/>
  <c r="BO54" i="40"/>
  <c r="R55" i="40"/>
  <c r="BC55" i="40"/>
  <c r="BH55" i="40" s="1"/>
  <c r="DN55" i="40"/>
  <c r="AM54" i="40"/>
  <c r="L54" i="40"/>
  <c r="S54" i="40"/>
  <c r="P55" i="40"/>
  <c r="G46" i="40"/>
  <c r="DN49" i="40"/>
  <c r="Q52" i="40"/>
  <c r="BC52" i="40"/>
  <c r="BH52" i="40" s="1"/>
  <c r="R53" i="40"/>
  <c r="BC53" i="40"/>
  <c r="BH53" i="40" s="1"/>
  <c r="R49" i="40"/>
  <c r="BC49" i="40"/>
  <c r="BH49" i="40" s="1"/>
  <c r="L52" i="40"/>
  <c r="AL52" i="40"/>
  <c r="DN48" i="40"/>
  <c r="BO50" i="40"/>
  <c r="DN44" i="40"/>
  <c r="S46" i="40"/>
  <c r="AL48" i="40"/>
  <c r="AV50" i="40"/>
  <c r="Q44" i="40"/>
  <c r="AL44" i="40"/>
  <c r="BO44" i="40"/>
  <c r="DN45" i="40"/>
  <c r="Q46" i="40"/>
  <c r="AV46" i="40"/>
  <c r="L48" i="40"/>
  <c r="Y48" i="40"/>
  <c r="AE48" i="40"/>
  <c r="L50" i="40"/>
  <c r="AL50" i="40"/>
  <c r="R48" i="40"/>
  <c r="AV48" i="40"/>
  <c r="S50" i="40"/>
  <c r="R44" i="40"/>
  <c r="AV44" i="40"/>
  <c r="BO46" i="40"/>
  <c r="Q48" i="40"/>
  <c r="BO48" i="40"/>
  <c r="Q50" i="40"/>
  <c r="L44" i="40"/>
  <c r="Y44" i="40"/>
  <c r="AE44" i="40"/>
  <c r="R45" i="40"/>
  <c r="BC45" i="40"/>
  <c r="BH45" i="40" s="1"/>
  <c r="L46" i="40"/>
  <c r="AL46" i="40"/>
  <c r="G48" i="40"/>
  <c r="S48" i="40"/>
  <c r="BC48" i="40"/>
  <c r="BH48" i="40" s="1"/>
  <c r="G50" i="40"/>
  <c r="Y50" i="40"/>
  <c r="AE50" i="40"/>
  <c r="R52" i="40"/>
  <c r="AV52" i="40"/>
  <c r="DN52" i="40"/>
  <c r="BJ43" i="40"/>
  <c r="AH47" i="40"/>
  <c r="AM47" i="40"/>
  <c r="BJ47" i="40"/>
  <c r="P51" i="40"/>
  <c r="T51" i="40"/>
  <c r="AH51" i="40"/>
  <c r="AM51" i="40"/>
  <c r="BJ51" i="40"/>
  <c r="L43" i="40"/>
  <c r="S43" i="40"/>
  <c r="AL43" i="40"/>
  <c r="P44" i="40"/>
  <c r="T44" i="40"/>
  <c r="AH44" i="40"/>
  <c r="AM44" i="40"/>
  <c r="G45" i="40"/>
  <c r="Q45" i="40"/>
  <c r="Y45" i="40"/>
  <c r="AE45" i="40"/>
  <c r="AV45" i="40"/>
  <c r="BO45" i="40"/>
  <c r="R46" i="40"/>
  <c r="BC46" i="40"/>
  <c r="BH46" i="40" s="1"/>
  <c r="DN46" i="40"/>
  <c r="L47" i="40"/>
  <c r="S47" i="40"/>
  <c r="AL47" i="40"/>
  <c r="P48" i="40"/>
  <c r="T48" i="40"/>
  <c r="AH48" i="40"/>
  <c r="AM48" i="40"/>
  <c r="G49" i="40"/>
  <c r="Q49" i="40"/>
  <c r="Y49" i="40"/>
  <c r="AE49" i="40"/>
  <c r="AV49" i="40"/>
  <c r="BO49" i="40"/>
  <c r="R50" i="40"/>
  <c r="BC50" i="40"/>
  <c r="BH50" i="40" s="1"/>
  <c r="DN50" i="40"/>
  <c r="L51" i="40"/>
  <c r="S51" i="40"/>
  <c r="AL51" i="40"/>
  <c r="P52" i="40"/>
  <c r="T52" i="40"/>
  <c r="AH52" i="40"/>
  <c r="AM52" i="40"/>
  <c r="G53" i="40"/>
  <c r="Q53" i="40"/>
  <c r="Y53" i="40"/>
  <c r="AE53" i="40"/>
  <c r="AV53" i="40"/>
  <c r="BO53" i="40"/>
  <c r="P43" i="40"/>
  <c r="AH43" i="40"/>
  <c r="T47" i="40"/>
  <c r="BC43" i="40"/>
  <c r="BH43" i="40" s="1"/>
  <c r="R47" i="40"/>
  <c r="BC47" i="40"/>
  <c r="BH47" i="40" s="1"/>
  <c r="DN47" i="40"/>
  <c r="P49" i="40"/>
  <c r="T49" i="40"/>
  <c r="AH49" i="40"/>
  <c r="AM49" i="40"/>
  <c r="BJ49" i="40"/>
  <c r="R51" i="40"/>
  <c r="BC51" i="40"/>
  <c r="BH51" i="40" s="1"/>
  <c r="DN51" i="40"/>
  <c r="P53" i="40"/>
  <c r="T53" i="40"/>
  <c r="AH53" i="40"/>
  <c r="AM53" i="40"/>
  <c r="BJ53" i="40"/>
  <c r="T43" i="40"/>
  <c r="AM43" i="40"/>
  <c r="P47" i="40"/>
  <c r="R43" i="40"/>
  <c r="DN43" i="40"/>
  <c r="P45" i="40"/>
  <c r="T45" i="40"/>
  <c r="AH45" i="40"/>
  <c r="AM45" i="40"/>
  <c r="BJ45" i="40"/>
  <c r="G43" i="40"/>
  <c r="Q43" i="40"/>
  <c r="Y43" i="40"/>
  <c r="AE43" i="40"/>
  <c r="AV43" i="40"/>
  <c r="L45" i="40"/>
  <c r="S45" i="40"/>
  <c r="P46" i="40"/>
  <c r="T46" i="40"/>
  <c r="AH46" i="40"/>
  <c r="AM46" i="40"/>
  <c r="G47" i="40"/>
  <c r="Q47" i="40"/>
  <c r="Y47" i="40"/>
  <c r="AE47" i="40"/>
  <c r="AV47" i="40"/>
  <c r="L49" i="40"/>
  <c r="S49" i="40"/>
  <c r="P50" i="40"/>
  <c r="T50" i="40"/>
  <c r="AH50" i="40"/>
  <c r="AM50" i="40"/>
  <c r="G51" i="40"/>
  <c r="Q51" i="40"/>
  <c r="Y51" i="40"/>
  <c r="AE51" i="40"/>
  <c r="AV51" i="40"/>
  <c r="L53" i="40"/>
  <c r="S53" i="40"/>
  <c r="Q42" i="40"/>
  <c r="G42" i="40"/>
  <c r="BO42" i="40"/>
  <c r="AV42" i="40"/>
  <c r="Y42" i="40"/>
  <c r="AE42" i="40"/>
  <c r="AH42" i="40"/>
  <c r="AM42" i="40"/>
  <c r="BJ42" i="40"/>
  <c r="S42" i="40"/>
  <c r="AL42" i="40"/>
  <c r="R42" i="40"/>
  <c r="BC42" i="40"/>
  <c r="BH42" i="40" s="1"/>
  <c r="DN42" i="40"/>
  <c r="P42" i="40"/>
  <c r="T42" i="40"/>
  <c r="AJ175" i="40" l="1"/>
  <c r="AI175" i="40"/>
  <c r="AG175" i="40"/>
  <c r="AF175" i="40"/>
  <c r="AC175" i="40"/>
  <c r="AB175" i="40"/>
  <c r="AA175" i="40"/>
  <c r="D175" i="40"/>
  <c r="AJ174" i="40"/>
  <c r="AI174" i="40"/>
  <c r="AG174" i="40"/>
  <c r="AF174" i="40"/>
  <c r="AC174" i="40"/>
  <c r="AB174" i="40"/>
  <c r="AA174" i="40"/>
  <c r="D174" i="40"/>
  <c r="AJ173" i="40"/>
  <c r="AI173" i="40"/>
  <c r="AG173" i="40"/>
  <c r="AF173" i="40"/>
  <c r="AC173" i="40"/>
  <c r="AB173" i="40"/>
  <c r="AA173" i="40"/>
  <c r="D173" i="40"/>
  <c r="AJ172" i="40"/>
  <c r="AI172" i="40"/>
  <c r="AG172" i="40"/>
  <c r="AF172" i="40"/>
  <c r="AC172" i="40"/>
  <c r="AB172" i="40"/>
  <c r="AA172" i="40"/>
  <c r="D172" i="40"/>
  <c r="AJ171" i="40"/>
  <c r="AI171" i="40"/>
  <c r="AG171" i="40"/>
  <c r="AF171" i="40"/>
  <c r="AC171" i="40"/>
  <c r="AB171" i="40"/>
  <c r="AA171" i="40"/>
  <c r="D171" i="40"/>
  <c r="AJ170" i="40"/>
  <c r="AI170" i="40"/>
  <c r="AG170" i="40"/>
  <c r="AF170" i="40"/>
  <c r="AC170" i="40"/>
  <c r="AB170" i="40"/>
  <c r="AA170" i="40"/>
  <c r="D170" i="40"/>
  <c r="AJ169" i="40"/>
  <c r="AI169" i="40"/>
  <c r="AG169" i="40"/>
  <c r="AF169" i="40"/>
  <c r="AC169" i="40"/>
  <c r="AB169" i="40"/>
  <c r="AA169" i="40"/>
  <c r="D169" i="40"/>
  <c r="AJ168" i="40"/>
  <c r="AI168" i="40"/>
  <c r="AG168" i="40"/>
  <c r="AF168" i="40"/>
  <c r="AC168" i="40"/>
  <c r="AB168" i="40"/>
  <c r="AA168" i="40"/>
  <c r="D168" i="40"/>
  <c r="AJ167" i="40"/>
  <c r="AI167" i="40"/>
  <c r="AG167" i="40"/>
  <c r="AF167" i="40"/>
  <c r="AC167" i="40"/>
  <c r="AB167" i="40"/>
  <c r="AA167" i="40"/>
  <c r="D167" i="40"/>
  <c r="AJ166" i="40"/>
  <c r="AI166" i="40"/>
  <c r="AG166" i="40"/>
  <c r="AF166" i="40"/>
  <c r="AC166" i="40"/>
  <c r="AB166" i="40"/>
  <c r="AA166" i="40"/>
  <c r="D166" i="40"/>
  <c r="AJ165" i="40"/>
  <c r="AI165" i="40"/>
  <c r="AG165" i="40"/>
  <c r="AF165" i="40"/>
  <c r="AC165" i="40"/>
  <c r="AB165" i="40"/>
  <c r="AA165" i="40"/>
  <c r="D165" i="40"/>
  <c r="AJ164" i="40"/>
  <c r="AI164" i="40"/>
  <c r="AG164" i="40"/>
  <c r="AF164" i="40"/>
  <c r="AC164" i="40"/>
  <c r="AB164" i="40"/>
  <c r="AA164" i="40"/>
  <c r="D164" i="40"/>
  <c r="AJ163" i="40"/>
  <c r="AI163" i="40"/>
  <c r="AG163" i="40"/>
  <c r="AF163" i="40"/>
  <c r="AC163" i="40"/>
  <c r="AB163" i="40"/>
  <c r="AA163" i="40"/>
  <c r="D163" i="40"/>
  <c r="AJ162" i="40"/>
  <c r="AI162" i="40"/>
  <c r="AG162" i="40"/>
  <c r="AF162" i="40"/>
  <c r="AC162" i="40"/>
  <c r="AB162" i="40"/>
  <c r="AA162" i="40"/>
  <c r="D162" i="40"/>
  <c r="AJ161" i="40"/>
  <c r="AI161" i="40"/>
  <c r="AG161" i="40"/>
  <c r="AF161" i="40"/>
  <c r="AC161" i="40"/>
  <c r="AB161" i="40"/>
  <c r="AA161" i="40"/>
  <c r="D161" i="40"/>
  <c r="AJ160" i="40"/>
  <c r="AI160" i="40"/>
  <c r="AG160" i="40"/>
  <c r="AF160" i="40"/>
  <c r="AC160" i="40"/>
  <c r="AB160" i="40"/>
  <c r="AA160" i="40"/>
  <c r="D160" i="40"/>
  <c r="AJ159" i="40"/>
  <c r="AI159" i="40"/>
  <c r="AG159" i="40"/>
  <c r="AF159" i="40"/>
  <c r="AC159" i="40"/>
  <c r="AB159" i="40"/>
  <c r="AA159" i="40"/>
  <c r="D159" i="40"/>
  <c r="AJ158" i="40"/>
  <c r="AI158" i="40"/>
  <c r="AG158" i="40"/>
  <c r="AF158" i="40"/>
  <c r="AC158" i="40"/>
  <c r="AB158" i="40"/>
  <c r="AA158" i="40"/>
  <c r="D158" i="40"/>
  <c r="AJ157" i="40"/>
  <c r="AI157" i="40"/>
  <c r="AG157" i="40"/>
  <c r="AF157" i="40"/>
  <c r="AC157" i="40"/>
  <c r="AB157" i="40"/>
  <c r="AA157" i="40"/>
  <c r="D157" i="40"/>
  <c r="AJ156" i="40"/>
  <c r="AI156" i="40"/>
  <c r="AG156" i="40"/>
  <c r="AF156" i="40"/>
  <c r="AC156" i="40"/>
  <c r="AB156" i="40"/>
  <c r="AA156" i="40"/>
  <c r="D156" i="40"/>
  <c r="AJ155" i="40"/>
  <c r="AI155" i="40"/>
  <c r="AG155" i="40"/>
  <c r="AF155" i="40"/>
  <c r="AC155" i="40"/>
  <c r="AB155" i="40"/>
  <c r="AA155" i="40"/>
  <c r="D155" i="40"/>
  <c r="AJ154" i="40"/>
  <c r="AI154" i="40"/>
  <c r="AG154" i="40"/>
  <c r="AF154" i="40"/>
  <c r="AC154" i="40"/>
  <c r="AB154" i="40"/>
  <c r="AA154" i="40"/>
  <c r="D154" i="40"/>
  <c r="AJ153" i="40"/>
  <c r="AI153" i="40"/>
  <c r="AG153" i="40"/>
  <c r="AF153" i="40"/>
  <c r="AC153" i="40"/>
  <c r="AB153" i="40"/>
  <c r="AA153" i="40"/>
  <c r="D153" i="40"/>
  <c r="AJ152" i="40"/>
  <c r="AI152" i="40"/>
  <c r="AG152" i="40"/>
  <c r="AF152" i="40"/>
  <c r="AC152" i="40"/>
  <c r="AB152" i="40"/>
  <c r="AA152" i="40"/>
  <c r="D152" i="40"/>
  <c r="AJ151" i="40"/>
  <c r="AI151" i="40"/>
  <c r="AG151" i="40"/>
  <c r="AF151" i="40"/>
  <c r="AC151" i="40"/>
  <c r="AB151" i="40"/>
  <c r="AA151" i="40"/>
  <c r="D151" i="40"/>
  <c r="AJ41" i="40"/>
  <c r="AI41" i="40"/>
  <c r="AG41" i="40"/>
  <c r="AF41" i="40"/>
  <c r="AC41" i="40"/>
  <c r="AB41" i="40"/>
  <c r="AA41" i="40"/>
  <c r="D41" i="40"/>
  <c r="AJ40" i="40"/>
  <c r="AI40" i="40"/>
  <c r="AG40" i="40"/>
  <c r="AF40" i="40"/>
  <c r="AC40" i="40"/>
  <c r="AB40" i="40"/>
  <c r="AA40" i="40"/>
  <c r="D40" i="40"/>
  <c r="AJ39" i="40"/>
  <c r="AI39" i="40"/>
  <c r="AG39" i="40"/>
  <c r="AF39" i="40"/>
  <c r="AC39" i="40"/>
  <c r="AB39" i="40"/>
  <c r="AA39" i="40"/>
  <c r="D39" i="40"/>
  <c r="AJ38" i="40"/>
  <c r="AI38" i="40"/>
  <c r="AG38" i="40"/>
  <c r="AF38" i="40"/>
  <c r="AC38" i="40"/>
  <c r="AB38" i="40"/>
  <c r="AA38" i="40"/>
  <c r="D38" i="40"/>
  <c r="AJ37" i="40"/>
  <c r="AI37" i="40"/>
  <c r="AG37" i="40"/>
  <c r="AF37" i="40"/>
  <c r="AC37" i="40"/>
  <c r="AB37" i="40"/>
  <c r="AA37" i="40"/>
  <c r="D37" i="40"/>
  <c r="AJ36" i="40"/>
  <c r="AI36" i="40"/>
  <c r="AG36" i="40"/>
  <c r="AF36" i="40"/>
  <c r="AC36" i="40"/>
  <c r="AB36" i="40"/>
  <c r="AA36" i="40"/>
  <c r="D36" i="40"/>
  <c r="AJ35" i="40"/>
  <c r="AI35" i="40"/>
  <c r="AG35" i="40"/>
  <c r="AF35" i="40"/>
  <c r="AC35" i="40"/>
  <c r="AB35" i="40"/>
  <c r="AA35" i="40"/>
  <c r="D35" i="40"/>
  <c r="AJ34" i="40"/>
  <c r="AI34" i="40"/>
  <c r="AG34" i="40"/>
  <c r="AF34" i="40"/>
  <c r="AC34" i="40"/>
  <c r="AB34" i="40"/>
  <c r="AA34" i="40"/>
  <c r="D34" i="40"/>
  <c r="AJ33" i="40"/>
  <c r="AI33" i="40"/>
  <c r="AG33" i="40"/>
  <c r="AF33" i="40"/>
  <c r="AC33" i="40"/>
  <c r="AB33" i="40"/>
  <c r="AA33" i="40"/>
  <c r="D33" i="40"/>
  <c r="D128" i="40"/>
  <c r="AA128" i="40"/>
  <c r="AB128" i="40"/>
  <c r="AC128" i="40"/>
  <c r="AF128" i="40"/>
  <c r="AG128" i="40"/>
  <c r="AI128" i="40"/>
  <c r="AJ128" i="40"/>
  <c r="D129" i="40"/>
  <c r="AA129" i="40"/>
  <c r="AB129" i="40"/>
  <c r="AC129" i="40"/>
  <c r="AF129" i="40"/>
  <c r="AG129" i="40"/>
  <c r="AI129" i="40"/>
  <c r="AJ129" i="40"/>
  <c r="D130" i="40"/>
  <c r="AA130" i="40"/>
  <c r="AB130" i="40"/>
  <c r="AC130" i="40"/>
  <c r="AF130" i="40"/>
  <c r="AG130" i="40"/>
  <c r="AI130" i="40"/>
  <c r="AJ130" i="40"/>
  <c r="D131" i="40"/>
  <c r="AA131" i="40"/>
  <c r="AB131" i="40"/>
  <c r="AC131" i="40"/>
  <c r="AF131" i="40"/>
  <c r="AG131" i="40"/>
  <c r="AI131" i="40"/>
  <c r="AJ131" i="40"/>
  <c r="D132" i="40"/>
  <c r="AA132" i="40"/>
  <c r="AB132" i="40"/>
  <c r="AC132" i="40"/>
  <c r="AF132" i="40"/>
  <c r="AG132" i="40"/>
  <c r="AI132" i="40"/>
  <c r="AJ132" i="40"/>
  <c r="D133" i="40"/>
  <c r="AA133" i="40"/>
  <c r="AB133" i="40"/>
  <c r="AC133" i="40"/>
  <c r="AF133" i="40"/>
  <c r="AG133" i="40"/>
  <c r="AI133" i="40"/>
  <c r="AJ133" i="40"/>
  <c r="D134" i="40"/>
  <c r="AA134" i="40"/>
  <c r="AB134" i="40"/>
  <c r="AC134" i="40"/>
  <c r="AF134" i="40"/>
  <c r="AG134" i="40"/>
  <c r="AI134" i="40"/>
  <c r="AJ134" i="40"/>
  <c r="D135" i="40"/>
  <c r="AA135" i="40"/>
  <c r="AB135" i="40"/>
  <c r="AC135" i="40"/>
  <c r="AF135" i="40"/>
  <c r="AG135" i="40"/>
  <c r="AI135" i="40"/>
  <c r="AJ135" i="40"/>
  <c r="D136" i="40"/>
  <c r="AA136" i="40"/>
  <c r="AB136" i="40"/>
  <c r="AC136" i="40"/>
  <c r="AF136" i="40"/>
  <c r="AG136" i="40"/>
  <c r="AI136" i="40"/>
  <c r="AJ136" i="40"/>
  <c r="D137" i="40"/>
  <c r="AA137" i="40"/>
  <c r="AB137" i="40"/>
  <c r="AC137" i="40"/>
  <c r="AF137" i="40"/>
  <c r="AG137" i="40"/>
  <c r="AI137" i="40"/>
  <c r="AJ137" i="40"/>
  <c r="D138" i="40"/>
  <c r="AA138" i="40"/>
  <c r="AB138" i="40"/>
  <c r="AC138" i="40"/>
  <c r="AF138" i="40"/>
  <c r="AG138" i="40"/>
  <c r="AI138" i="40"/>
  <c r="AJ138" i="40"/>
  <c r="D139" i="40"/>
  <c r="AA139" i="40"/>
  <c r="AB139" i="40"/>
  <c r="AC139" i="40"/>
  <c r="AF139" i="40"/>
  <c r="AG139" i="40"/>
  <c r="AI139" i="40"/>
  <c r="AJ139" i="40"/>
  <c r="D140" i="40"/>
  <c r="AA140" i="40"/>
  <c r="AB140" i="40"/>
  <c r="AC140" i="40"/>
  <c r="AF140" i="40"/>
  <c r="AG140" i="40"/>
  <c r="AI140" i="40"/>
  <c r="AJ140" i="40"/>
  <c r="D141" i="40"/>
  <c r="AA141" i="40"/>
  <c r="AB141" i="40"/>
  <c r="AC141" i="40"/>
  <c r="AF141" i="40"/>
  <c r="AG141" i="40"/>
  <c r="AI141" i="40"/>
  <c r="AJ141" i="40"/>
  <c r="D142" i="40"/>
  <c r="AA142" i="40"/>
  <c r="AB142" i="40"/>
  <c r="AC142" i="40"/>
  <c r="AF142" i="40"/>
  <c r="AG142" i="40"/>
  <c r="AI142" i="40"/>
  <c r="AJ142" i="40"/>
  <c r="D143" i="40"/>
  <c r="AA143" i="40"/>
  <c r="AB143" i="40"/>
  <c r="AC143" i="40"/>
  <c r="AF143" i="40"/>
  <c r="AG143" i="40"/>
  <c r="AI143" i="40"/>
  <c r="AJ143" i="40"/>
  <c r="D144" i="40"/>
  <c r="AA144" i="40"/>
  <c r="AB144" i="40"/>
  <c r="AC144" i="40"/>
  <c r="AF144" i="40"/>
  <c r="AG144" i="40"/>
  <c r="AI144" i="40"/>
  <c r="AJ144" i="40"/>
  <c r="D145" i="40"/>
  <c r="AA145" i="40"/>
  <c r="AB145" i="40"/>
  <c r="AC145" i="40"/>
  <c r="AF145" i="40"/>
  <c r="AG145" i="40"/>
  <c r="AI145" i="40"/>
  <c r="AJ145" i="40"/>
  <c r="AJ71" i="40"/>
  <c r="AI71" i="40"/>
  <c r="AG71" i="40"/>
  <c r="AF71" i="40"/>
  <c r="AC71" i="40"/>
  <c r="AB71" i="40"/>
  <c r="AA71" i="40"/>
  <c r="D71" i="40"/>
  <c r="AJ70" i="40"/>
  <c r="AI70" i="40"/>
  <c r="AG70" i="40"/>
  <c r="AF70" i="40"/>
  <c r="AC70" i="40"/>
  <c r="AB70" i="40"/>
  <c r="AA70" i="40"/>
  <c r="D70" i="40"/>
  <c r="AJ69" i="40"/>
  <c r="AI69" i="40"/>
  <c r="AG69" i="40"/>
  <c r="AF69" i="40"/>
  <c r="AC69" i="40"/>
  <c r="AB69" i="40"/>
  <c r="AA69" i="40"/>
  <c r="D69" i="40"/>
  <c r="AJ68" i="40"/>
  <c r="AI68" i="40"/>
  <c r="AG68" i="40"/>
  <c r="AF68" i="40"/>
  <c r="AC68" i="40"/>
  <c r="AB68" i="40"/>
  <c r="AA68" i="40"/>
  <c r="D68" i="40"/>
  <c r="AJ67" i="40"/>
  <c r="AI67" i="40"/>
  <c r="AG67" i="40"/>
  <c r="AF67" i="40"/>
  <c r="AC67" i="40"/>
  <c r="AB67" i="40"/>
  <c r="AA67" i="40"/>
  <c r="D67" i="40"/>
  <c r="AJ66" i="40"/>
  <c r="AI66" i="40"/>
  <c r="AG66" i="40"/>
  <c r="AF66" i="40"/>
  <c r="AC66" i="40"/>
  <c r="AB66" i="40"/>
  <c r="AA66" i="40"/>
  <c r="D66" i="40"/>
  <c r="AJ65" i="40"/>
  <c r="AI65" i="40"/>
  <c r="AG65" i="40"/>
  <c r="AF65" i="40"/>
  <c r="AC65" i="40"/>
  <c r="AB65" i="40"/>
  <c r="AA65" i="40"/>
  <c r="D65" i="40"/>
  <c r="AJ64" i="40"/>
  <c r="AI64" i="40"/>
  <c r="AG64" i="40"/>
  <c r="AF64" i="40"/>
  <c r="AC64" i="40"/>
  <c r="AB64" i="40"/>
  <c r="AA64" i="40"/>
  <c r="D64" i="40"/>
  <c r="AJ63" i="40"/>
  <c r="AI63" i="40"/>
  <c r="AG63" i="40"/>
  <c r="AF63" i="40"/>
  <c r="AC63" i="40"/>
  <c r="AB63" i="40"/>
  <c r="AA63" i="40"/>
  <c r="D63" i="40"/>
  <c r="AJ62" i="40"/>
  <c r="AI62" i="40"/>
  <c r="AG62" i="40"/>
  <c r="AF62" i="40"/>
  <c r="AC62" i="40"/>
  <c r="AB62" i="40"/>
  <c r="AA62" i="40"/>
  <c r="D62" i="40"/>
  <c r="AJ61" i="40"/>
  <c r="AI61" i="40"/>
  <c r="AG61" i="40"/>
  <c r="AF61" i="40"/>
  <c r="AC61" i="40"/>
  <c r="AB61" i="40"/>
  <c r="AA61" i="40"/>
  <c r="D61" i="40"/>
  <c r="AJ60" i="40"/>
  <c r="AI60" i="40"/>
  <c r="AG60" i="40"/>
  <c r="AF60" i="40"/>
  <c r="AC60" i="40"/>
  <c r="AB60" i="40"/>
  <c r="AA60" i="40"/>
  <c r="D60" i="40"/>
  <c r="AJ59" i="40"/>
  <c r="AI59" i="40"/>
  <c r="AG59" i="40"/>
  <c r="AF59" i="40"/>
  <c r="AC59" i="40"/>
  <c r="AB59" i="40"/>
  <c r="AA59" i="40"/>
  <c r="D59" i="40"/>
  <c r="AJ58" i="40"/>
  <c r="AI58" i="40"/>
  <c r="AG58" i="40"/>
  <c r="AF58" i="40"/>
  <c r="AC58" i="40"/>
  <c r="AB58" i="40"/>
  <c r="AA58" i="40"/>
  <c r="D58" i="40"/>
  <c r="AJ57" i="40"/>
  <c r="AI57" i="40"/>
  <c r="AG57" i="40"/>
  <c r="AF57" i="40"/>
  <c r="AC57" i="40"/>
  <c r="AB57" i="40"/>
  <c r="AA57" i="40"/>
  <c r="D57" i="40"/>
  <c r="AI240" i="40"/>
  <c r="AI239" i="40"/>
  <c r="AI238" i="40"/>
  <c r="AI237" i="40"/>
  <c r="AI236" i="40"/>
  <c r="AI235" i="40"/>
  <c r="AI234" i="40"/>
  <c r="AI233" i="40"/>
  <c r="AI232" i="40"/>
  <c r="AI231" i="40"/>
  <c r="AF240" i="40"/>
  <c r="AF239" i="40"/>
  <c r="AF238" i="40"/>
  <c r="AF237" i="40"/>
  <c r="AF236" i="40"/>
  <c r="AF235" i="40"/>
  <c r="AF234" i="40"/>
  <c r="AF233" i="40"/>
  <c r="AF232" i="40"/>
  <c r="AF231" i="40"/>
  <c r="AB240" i="40"/>
  <c r="AB239" i="40"/>
  <c r="AB238" i="40"/>
  <c r="AB237" i="40"/>
  <c r="AB236" i="40"/>
  <c r="AB235" i="40"/>
  <c r="AB234" i="40"/>
  <c r="AB233" i="40"/>
  <c r="AB232" i="40"/>
  <c r="AB231" i="40"/>
  <c r="AB246" i="40"/>
  <c r="AB247" i="40"/>
  <c r="AJ247" i="40"/>
  <c r="AJ246" i="40"/>
  <c r="AJ240" i="40"/>
  <c r="AJ239" i="40"/>
  <c r="AJ238" i="40"/>
  <c r="AJ237" i="40"/>
  <c r="AJ236" i="40"/>
  <c r="AJ235" i="40"/>
  <c r="AJ234" i="40"/>
  <c r="AJ233" i="40"/>
  <c r="AJ232" i="40"/>
  <c r="AJ231" i="40"/>
  <c r="AJ230" i="40"/>
  <c r="AJ150" i="40"/>
  <c r="AJ127" i="40"/>
  <c r="AJ126" i="40"/>
  <c r="AJ125" i="40"/>
  <c r="AJ124" i="40"/>
  <c r="AJ123" i="40"/>
  <c r="AJ122" i="40"/>
  <c r="AJ121" i="40"/>
  <c r="AJ120" i="40"/>
  <c r="AJ119" i="40"/>
  <c r="AJ118" i="40"/>
  <c r="AJ117" i="40"/>
  <c r="AJ116" i="40"/>
  <c r="AJ56" i="40"/>
  <c r="AJ32" i="40"/>
  <c r="AI150" i="40"/>
  <c r="AI127" i="40"/>
  <c r="AI126" i="40"/>
  <c r="AI125" i="40"/>
  <c r="AI124" i="40"/>
  <c r="AI123" i="40"/>
  <c r="AI122" i="40"/>
  <c r="AI121" i="40"/>
  <c r="AI120" i="40"/>
  <c r="AI119" i="40"/>
  <c r="AI118" i="40"/>
  <c r="AI117" i="40"/>
  <c r="AI116" i="40"/>
  <c r="AI56" i="40"/>
  <c r="AI32" i="40"/>
  <c r="AF150" i="40"/>
  <c r="AF127" i="40"/>
  <c r="AF126" i="40"/>
  <c r="AF125" i="40"/>
  <c r="AF124" i="40"/>
  <c r="AF123" i="40"/>
  <c r="AF122" i="40"/>
  <c r="AF121" i="40"/>
  <c r="AF120" i="40"/>
  <c r="AF119" i="40"/>
  <c r="AF118" i="40"/>
  <c r="AF117" i="40"/>
  <c r="AF116" i="40"/>
  <c r="AF56" i="40"/>
  <c r="AF32" i="40"/>
  <c r="AB150" i="40"/>
  <c r="AB127" i="40"/>
  <c r="AB126" i="40"/>
  <c r="AB125" i="40"/>
  <c r="AB124" i="40"/>
  <c r="AB123" i="40"/>
  <c r="AB122" i="40"/>
  <c r="AB121" i="40"/>
  <c r="AB120" i="40"/>
  <c r="AB119" i="40"/>
  <c r="AB118" i="40"/>
  <c r="AB117" i="40"/>
  <c r="AB116" i="40"/>
  <c r="AB56" i="40"/>
  <c r="AB32" i="40"/>
  <c r="AG127" i="40"/>
  <c r="AC127" i="40"/>
  <c r="AA127" i="40"/>
  <c r="AG126" i="40"/>
  <c r="AC126" i="40"/>
  <c r="AA126" i="40"/>
  <c r="AG125" i="40"/>
  <c r="AC125" i="40"/>
  <c r="AA125" i="40"/>
  <c r="AG124" i="40"/>
  <c r="AC124" i="40"/>
  <c r="AA124" i="40"/>
  <c r="AG123" i="40"/>
  <c r="AC123" i="40"/>
  <c r="AA123" i="40"/>
  <c r="AG122" i="40"/>
  <c r="AC122" i="40"/>
  <c r="AA122" i="40"/>
  <c r="AG121" i="40"/>
  <c r="AC121" i="40"/>
  <c r="AA121" i="40"/>
  <c r="AG120" i="40"/>
  <c r="AC120" i="40"/>
  <c r="AA120" i="40"/>
  <c r="AG119" i="40"/>
  <c r="AC119" i="40"/>
  <c r="AA119" i="40"/>
  <c r="AG118" i="40"/>
  <c r="AC118" i="40"/>
  <c r="AA118" i="40"/>
  <c r="AG117" i="40"/>
  <c r="AC117" i="40"/>
  <c r="AA117" i="40"/>
  <c r="AG116" i="40"/>
  <c r="AC116" i="40"/>
  <c r="AA116" i="40"/>
  <c r="AA232" i="40"/>
  <c r="AC232" i="40"/>
  <c r="AG232" i="40"/>
  <c r="AG240" i="40"/>
  <c r="AC240" i="40"/>
  <c r="AA240" i="40"/>
  <c r="AG239" i="40"/>
  <c r="AC239" i="40"/>
  <c r="AA239" i="40"/>
  <c r="AG238" i="40"/>
  <c r="AC238" i="40"/>
  <c r="AA238" i="40"/>
  <c r="AG237" i="40"/>
  <c r="AC237" i="40"/>
  <c r="AA237" i="40"/>
  <c r="AG236" i="40"/>
  <c r="AC236" i="40"/>
  <c r="AA236" i="40"/>
  <c r="AG235" i="40"/>
  <c r="AC235" i="40"/>
  <c r="AA235" i="40"/>
  <c r="AG234" i="40"/>
  <c r="AC234" i="40"/>
  <c r="AA234" i="40"/>
  <c r="AG233" i="40"/>
  <c r="AC233" i="40"/>
  <c r="AA233" i="40"/>
  <c r="AG231" i="40"/>
  <c r="AC231" i="40"/>
  <c r="AA231" i="40"/>
  <c r="AI230" i="40"/>
  <c r="AG230" i="40"/>
  <c r="AF230" i="40"/>
  <c r="AC230" i="40"/>
  <c r="AB230" i="40"/>
  <c r="AA230" i="40"/>
  <c r="AG246" i="40"/>
  <c r="AC32" i="40"/>
  <c r="AC56" i="40"/>
  <c r="AC150" i="40"/>
  <c r="AC246" i="40"/>
  <c r="AI246" i="40"/>
  <c r="AF246" i="40"/>
  <c r="AA246" i="40"/>
  <c r="AG32" i="40"/>
  <c r="AG56" i="40"/>
  <c r="AG150" i="40"/>
  <c r="H3" i="35"/>
  <c r="G3" i="35"/>
  <c r="F3" i="35"/>
  <c r="H3" i="41"/>
  <c r="G3" i="41"/>
  <c r="F3" i="41"/>
  <c r="H3" i="45"/>
  <c r="G3" i="45"/>
  <c r="F3" i="45"/>
  <c r="H3" i="46"/>
  <c r="G3" i="46"/>
  <c r="F3" i="46"/>
  <c r="H3" i="43"/>
  <c r="H3" i="44"/>
  <c r="F3" i="44"/>
  <c r="G3" i="44"/>
  <c r="G3" i="43"/>
  <c r="F3" i="43"/>
  <c r="AA150" i="40"/>
  <c r="AA56" i="40"/>
  <c r="AA32" i="40"/>
  <c r="N61" i="46"/>
  <c r="M61" i="46"/>
  <c r="L61" i="46"/>
  <c r="N91" i="41"/>
  <c r="M91" i="41"/>
  <c r="L91" i="41"/>
  <c r="N87" i="45"/>
  <c r="S91" i="41"/>
  <c r="Q91" i="41"/>
  <c r="M87" i="45"/>
  <c r="S87" i="45"/>
  <c r="Q87" i="45"/>
  <c r="N61" i="44"/>
  <c r="M61" i="44"/>
  <c r="L61" i="44"/>
  <c r="N49" i="42"/>
  <c r="M49" i="42"/>
  <c r="L49" i="42"/>
  <c r="H3" i="42"/>
  <c r="G3" i="42"/>
  <c r="F3" i="42"/>
  <c r="AG247" i="40"/>
  <c r="AI247" i="40"/>
  <c r="AF247" i="40"/>
  <c r="AC247" i="40"/>
  <c r="AA247" i="40"/>
  <c r="S69" i="35"/>
  <c r="Q69" i="35"/>
  <c r="N69" i="35"/>
  <c r="M69" i="35"/>
  <c r="L69" i="35"/>
  <c r="D32" i="40"/>
  <c r="D56" i="40"/>
  <c r="D116" i="40"/>
  <c r="D117" i="40"/>
  <c r="D118" i="40"/>
  <c r="D119" i="40"/>
  <c r="D120" i="40"/>
  <c r="D121" i="40"/>
  <c r="D122" i="40"/>
  <c r="D123" i="40"/>
  <c r="D124" i="40"/>
  <c r="D125" i="40"/>
  <c r="D126" i="40"/>
  <c r="D127" i="40"/>
  <c r="D150" i="40"/>
  <c r="D230" i="40"/>
  <c r="R230" i="40" s="1"/>
  <c r="D231" i="40"/>
  <c r="L231" i="40" s="1"/>
  <c r="D232" i="40"/>
  <c r="CQ232" i="40" s="1"/>
  <c r="D233" i="40"/>
  <c r="P233" i="40" s="1"/>
  <c r="D234" i="40"/>
  <c r="L234" i="40" s="1"/>
  <c r="D235" i="40"/>
  <c r="AV235" i="40" s="1"/>
  <c r="I235" i="40" s="1"/>
  <c r="D236" i="40"/>
  <c r="L236" i="40" s="1"/>
  <c r="D237" i="40"/>
  <c r="BC237" i="40" s="1"/>
  <c r="BH237" i="40" s="1"/>
  <c r="D238" i="40"/>
  <c r="L238" i="40" s="1"/>
  <c r="D239" i="40"/>
  <c r="L239" i="40" s="1"/>
  <c r="D240" i="40"/>
  <c r="P240" i="40" s="1"/>
  <c r="D246" i="40"/>
  <c r="Q246" i="40" s="1"/>
  <c r="D247" i="40"/>
  <c r="S247" i="40" s="1"/>
  <c r="G122" i="40" l="1"/>
  <c r="I122" i="40"/>
  <c r="P32" i="40"/>
  <c r="I32" i="40"/>
  <c r="L144" i="40"/>
  <c r="I144" i="40"/>
  <c r="L143" i="40"/>
  <c r="I143" i="40"/>
  <c r="L139" i="40"/>
  <c r="I139" i="40"/>
  <c r="L138" i="40"/>
  <c r="I138" i="40"/>
  <c r="L135" i="40"/>
  <c r="I135" i="40"/>
  <c r="L134" i="40"/>
  <c r="I134" i="40"/>
  <c r="L130" i="40"/>
  <c r="I130" i="40"/>
  <c r="L129" i="40"/>
  <c r="I129" i="40"/>
  <c r="L128" i="40"/>
  <c r="I128" i="40"/>
  <c r="CQ127" i="40"/>
  <c r="I127" i="40"/>
  <c r="L150" i="40"/>
  <c r="I150" i="40"/>
  <c r="Q124" i="40"/>
  <c r="I124" i="40"/>
  <c r="P120" i="40"/>
  <c r="I120" i="40"/>
  <c r="S116" i="40"/>
  <c r="I116" i="40"/>
  <c r="L126" i="40"/>
  <c r="I126" i="40"/>
  <c r="G118" i="40"/>
  <c r="I118" i="40"/>
  <c r="L145" i="40"/>
  <c r="I145" i="40"/>
  <c r="L142" i="40"/>
  <c r="I142" i="40"/>
  <c r="L141" i="40"/>
  <c r="I141" i="40"/>
  <c r="L140" i="40"/>
  <c r="I140" i="40"/>
  <c r="L137" i="40"/>
  <c r="I137" i="40"/>
  <c r="L136" i="40"/>
  <c r="I136" i="40"/>
  <c r="L133" i="40"/>
  <c r="I133" i="40"/>
  <c r="L132" i="40"/>
  <c r="I132" i="40"/>
  <c r="L131" i="40"/>
  <c r="I131" i="40"/>
  <c r="G123" i="40"/>
  <c r="I123" i="40"/>
  <c r="Y119" i="40"/>
  <c r="I119" i="40"/>
  <c r="P56" i="40"/>
  <c r="I56" i="40"/>
  <c r="R125" i="40"/>
  <c r="I125" i="40"/>
  <c r="R121" i="40"/>
  <c r="I121" i="40"/>
  <c r="L117" i="40"/>
  <c r="I117" i="40"/>
  <c r="BJ57" i="40"/>
  <c r="I57" i="40"/>
  <c r="DN58" i="40"/>
  <c r="I58" i="40"/>
  <c r="AL59" i="40"/>
  <c r="I59" i="40"/>
  <c r="BJ60" i="40"/>
  <c r="I60" i="40"/>
  <c r="BJ61" i="40"/>
  <c r="I61" i="40"/>
  <c r="DN62" i="40"/>
  <c r="I62" i="40"/>
  <c r="AL63" i="40"/>
  <c r="I63" i="40"/>
  <c r="BJ64" i="40"/>
  <c r="I64" i="40"/>
  <c r="BJ65" i="40"/>
  <c r="I65" i="40"/>
  <c r="DN66" i="40"/>
  <c r="I66" i="40"/>
  <c r="AL67" i="40"/>
  <c r="I67" i="40"/>
  <c r="BJ68" i="40"/>
  <c r="I68" i="40"/>
  <c r="BJ69" i="40"/>
  <c r="I69" i="40"/>
  <c r="DN70" i="40"/>
  <c r="I70" i="40"/>
  <c r="AL71" i="40"/>
  <c r="I71" i="40"/>
  <c r="AL33" i="40"/>
  <c r="I33" i="40"/>
  <c r="BJ34" i="40"/>
  <c r="I34" i="40"/>
  <c r="BO35" i="40"/>
  <c r="I35" i="40"/>
  <c r="DN36" i="40"/>
  <c r="I36" i="40"/>
  <c r="AL37" i="40"/>
  <c r="I37" i="40"/>
  <c r="BJ38" i="40"/>
  <c r="I38" i="40"/>
  <c r="BO39" i="40"/>
  <c r="I39" i="40"/>
  <c r="DN40" i="40"/>
  <c r="I40" i="40"/>
  <c r="AL41" i="40"/>
  <c r="I41" i="40"/>
  <c r="CQ151" i="40"/>
  <c r="I151" i="40"/>
  <c r="CQ152" i="40"/>
  <c r="I152" i="40"/>
  <c r="CQ153" i="40"/>
  <c r="I153" i="40"/>
  <c r="CQ154" i="40"/>
  <c r="I154" i="40"/>
  <c r="CQ155" i="40"/>
  <c r="I155" i="40"/>
  <c r="CQ156" i="40"/>
  <c r="I156" i="40"/>
  <c r="CQ157" i="40"/>
  <c r="I157" i="40"/>
  <c r="CQ158" i="40"/>
  <c r="I158" i="40"/>
  <c r="CQ159" i="40"/>
  <c r="I159" i="40"/>
  <c r="CQ160" i="40"/>
  <c r="I160" i="40"/>
  <c r="CQ161" i="40"/>
  <c r="I161" i="40"/>
  <c r="CQ162" i="40"/>
  <c r="I162" i="40"/>
  <c r="CQ163" i="40"/>
  <c r="I163" i="40"/>
  <c r="CQ164" i="40"/>
  <c r="I164" i="40"/>
  <c r="CQ165" i="40"/>
  <c r="I165" i="40"/>
  <c r="CQ166" i="40"/>
  <c r="I166" i="40"/>
  <c r="CQ167" i="40"/>
  <c r="I167" i="40"/>
  <c r="CQ168" i="40"/>
  <c r="I168" i="40"/>
  <c r="CQ169" i="40"/>
  <c r="I169" i="40"/>
  <c r="CQ170" i="40"/>
  <c r="I170" i="40"/>
  <c r="CQ171" i="40"/>
  <c r="I171" i="40"/>
  <c r="CQ172" i="40"/>
  <c r="I172" i="40"/>
  <c r="CQ173" i="40"/>
  <c r="I173" i="40"/>
  <c r="CQ174" i="40"/>
  <c r="I174" i="40"/>
  <c r="CQ175" i="40"/>
  <c r="I175" i="40"/>
  <c r="R161" i="40"/>
  <c r="S174" i="40"/>
  <c r="AL174" i="40"/>
  <c r="L175" i="40"/>
  <c r="R169" i="40"/>
  <c r="R175" i="40"/>
  <c r="CJ175" i="40"/>
  <c r="R153" i="40"/>
  <c r="S157" i="40"/>
  <c r="AL157" i="40"/>
  <c r="S165" i="40"/>
  <c r="AL165" i="40"/>
  <c r="S173" i="40"/>
  <c r="AL173" i="40"/>
  <c r="CO174" i="40"/>
  <c r="DN175" i="40"/>
  <c r="CJ157" i="40"/>
  <c r="CJ165" i="40"/>
  <c r="CO173" i="40"/>
  <c r="CJ155" i="40"/>
  <c r="CJ163" i="40"/>
  <c r="CJ171" i="40"/>
  <c r="R174" i="40"/>
  <c r="CJ174" i="40"/>
  <c r="BC175" i="40"/>
  <c r="BH175" i="40" s="1"/>
  <c r="DB175" i="40"/>
  <c r="S155" i="40"/>
  <c r="AL155" i="40"/>
  <c r="L158" i="40"/>
  <c r="DN158" i="40"/>
  <c r="S163" i="40"/>
  <c r="AL163" i="40"/>
  <c r="L166" i="40"/>
  <c r="DN166" i="40"/>
  <c r="S171" i="40"/>
  <c r="AL171" i="40"/>
  <c r="L174" i="40"/>
  <c r="DN174" i="40"/>
  <c r="S175" i="40"/>
  <c r="AL175" i="40"/>
  <c r="CO175" i="40"/>
  <c r="R155" i="40"/>
  <c r="L156" i="40"/>
  <c r="DN156" i="40"/>
  <c r="R163" i="40"/>
  <c r="L164" i="40"/>
  <c r="DN164" i="40"/>
  <c r="R171" i="40"/>
  <c r="L172" i="40"/>
  <c r="DN172" i="40"/>
  <c r="BC174" i="40"/>
  <c r="BH174" i="40" s="1"/>
  <c r="DB174" i="40"/>
  <c r="G174" i="40"/>
  <c r="Q174" i="40"/>
  <c r="Y174" i="40"/>
  <c r="AE174" i="40"/>
  <c r="AV174" i="40"/>
  <c r="BO174" i="40"/>
  <c r="CT174" i="40"/>
  <c r="G175" i="40"/>
  <c r="Q175" i="40"/>
  <c r="Y175" i="40"/>
  <c r="AE175" i="40"/>
  <c r="AV175" i="40"/>
  <c r="BO175" i="40"/>
  <c r="CT175" i="40"/>
  <c r="P174" i="40"/>
  <c r="T174" i="40"/>
  <c r="AH174" i="40"/>
  <c r="AM174" i="40"/>
  <c r="BJ174" i="40"/>
  <c r="P175" i="40"/>
  <c r="T175" i="40"/>
  <c r="AH175" i="40"/>
  <c r="AM175" i="40"/>
  <c r="BJ175" i="40"/>
  <c r="CO151" i="40"/>
  <c r="CJ151" i="40"/>
  <c r="CJ159" i="40"/>
  <c r="CO161" i="40"/>
  <c r="CJ167" i="40"/>
  <c r="CO169" i="40"/>
  <c r="S151" i="40"/>
  <c r="AL151" i="40"/>
  <c r="L152" i="40"/>
  <c r="DN152" i="40"/>
  <c r="CJ153" i="40"/>
  <c r="CO155" i="40"/>
  <c r="R157" i="40"/>
  <c r="S159" i="40"/>
  <c r="AL159" i="40"/>
  <c r="L160" i="40"/>
  <c r="DN160" i="40"/>
  <c r="CJ161" i="40"/>
  <c r="CO163" i="40"/>
  <c r="R165" i="40"/>
  <c r="S167" i="40"/>
  <c r="AL167" i="40"/>
  <c r="L168" i="40"/>
  <c r="DN168" i="40"/>
  <c r="CJ169" i="40"/>
  <c r="CO171" i="40"/>
  <c r="R173" i="40"/>
  <c r="CO159" i="40"/>
  <c r="CO167" i="40"/>
  <c r="CO153" i="40"/>
  <c r="R151" i="40"/>
  <c r="S153" i="40"/>
  <c r="AL153" i="40"/>
  <c r="L154" i="40"/>
  <c r="DN154" i="40"/>
  <c r="CO157" i="40"/>
  <c r="R159" i="40"/>
  <c r="S161" i="40"/>
  <c r="AL161" i="40"/>
  <c r="L162" i="40"/>
  <c r="DN162" i="40"/>
  <c r="CO165" i="40"/>
  <c r="R167" i="40"/>
  <c r="S169" i="40"/>
  <c r="AL169" i="40"/>
  <c r="L170" i="40"/>
  <c r="DN170" i="40"/>
  <c r="L151" i="40"/>
  <c r="DN151" i="40"/>
  <c r="S152" i="40"/>
  <c r="AL152" i="40"/>
  <c r="CO152" i="40"/>
  <c r="L153" i="40"/>
  <c r="DN153" i="40"/>
  <c r="S154" i="40"/>
  <c r="AL154" i="40"/>
  <c r="CO154" i="40"/>
  <c r="L155" i="40"/>
  <c r="DN155" i="40"/>
  <c r="S156" i="40"/>
  <c r="AL156" i="40"/>
  <c r="CO156" i="40"/>
  <c r="L157" i="40"/>
  <c r="DN157" i="40"/>
  <c r="S158" i="40"/>
  <c r="AL158" i="40"/>
  <c r="CO158" i="40"/>
  <c r="L159" i="40"/>
  <c r="DN159" i="40"/>
  <c r="S160" i="40"/>
  <c r="AL160" i="40"/>
  <c r="CO160" i="40"/>
  <c r="L161" i="40"/>
  <c r="DN161" i="40"/>
  <c r="S162" i="40"/>
  <c r="AL162" i="40"/>
  <c r="CO162" i="40"/>
  <c r="L163" i="40"/>
  <c r="DN163" i="40"/>
  <c r="S164" i="40"/>
  <c r="AL164" i="40"/>
  <c r="CO164" i="40"/>
  <c r="L165" i="40"/>
  <c r="DN165" i="40"/>
  <c r="S166" i="40"/>
  <c r="AL166" i="40"/>
  <c r="CO166" i="40"/>
  <c r="L167" i="40"/>
  <c r="DN167" i="40"/>
  <c r="S168" i="40"/>
  <c r="AL168" i="40"/>
  <c r="CO168" i="40"/>
  <c r="L169" i="40"/>
  <c r="DN169" i="40"/>
  <c r="S170" i="40"/>
  <c r="AL170" i="40"/>
  <c r="CO170" i="40"/>
  <c r="L171" i="40"/>
  <c r="DN171" i="40"/>
  <c r="S172" i="40"/>
  <c r="AL172" i="40"/>
  <c r="CO172" i="40"/>
  <c r="L173" i="40"/>
  <c r="DN173" i="40"/>
  <c r="BC151" i="40"/>
  <c r="BH151" i="40" s="1"/>
  <c r="DB151" i="40"/>
  <c r="R152" i="40"/>
  <c r="CJ152" i="40"/>
  <c r="BC153" i="40"/>
  <c r="BH153" i="40" s="1"/>
  <c r="DB153" i="40"/>
  <c r="R154" i="40"/>
  <c r="CJ154" i="40"/>
  <c r="BC155" i="40"/>
  <c r="BH155" i="40" s="1"/>
  <c r="DB155" i="40"/>
  <c r="R156" i="40"/>
  <c r="CJ156" i="40"/>
  <c r="BC157" i="40"/>
  <c r="BH157" i="40" s="1"/>
  <c r="DB157" i="40"/>
  <c r="R158" i="40"/>
  <c r="CJ158" i="40"/>
  <c r="BC159" i="40"/>
  <c r="BH159" i="40" s="1"/>
  <c r="DB159" i="40"/>
  <c r="R160" i="40"/>
  <c r="CJ160" i="40"/>
  <c r="BC161" i="40"/>
  <c r="BH161" i="40" s="1"/>
  <c r="DB161" i="40"/>
  <c r="R162" i="40"/>
  <c r="CJ162" i="40"/>
  <c r="BC163" i="40"/>
  <c r="BH163" i="40" s="1"/>
  <c r="DB163" i="40"/>
  <c r="R164" i="40"/>
  <c r="CJ164" i="40"/>
  <c r="BC165" i="40"/>
  <c r="BH165" i="40" s="1"/>
  <c r="DB165" i="40"/>
  <c r="R166" i="40"/>
  <c r="CJ166" i="40"/>
  <c r="BC167" i="40"/>
  <c r="BH167" i="40" s="1"/>
  <c r="DB167" i="40"/>
  <c r="R168" i="40"/>
  <c r="CJ168" i="40"/>
  <c r="BC169" i="40"/>
  <c r="BH169" i="40" s="1"/>
  <c r="DB169" i="40"/>
  <c r="R170" i="40"/>
  <c r="CJ170" i="40"/>
  <c r="BC171" i="40"/>
  <c r="BH171" i="40" s="1"/>
  <c r="DB171" i="40"/>
  <c r="R172" i="40"/>
  <c r="CJ172" i="40"/>
  <c r="BC173" i="40"/>
  <c r="BH173" i="40" s="1"/>
  <c r="DB173" i="40"/>
  <c r="BC152" i="40"/>
  <c r="BH152" i="40" s="1"/>
  <c r="DB152" i="40"/>
  <c r="BC154" i="40"/>
  <c r="BH154" i="40" s="1"/>
  <c r="DB154" i="40"/>
  <c r="BC156" i="40"/>
  <c r="BH156" i="40" s="1"/>
  <c r="DB156" i="40"/>
  <c r="BC158" i="40"/>
  <c r="BH158" i="40" s="1"/>
  <c r="DB158" i="40"/>
  <c r="BC160" i="40"/>
  <c r="BH160" i="40" s="1"/>
  <c r="DB160" i="40"/>
  <c r="BC162" i="40"/>
  <c r="BH162" i="40" s="1"/>
  <c r="DB162" i="40"/>
  <c r="BC164" i="40"/>
  <c r="BH164" i="40" s="1"/>
  <c r="DB164" i="40"/>
  <c r="BC166" i="40"/>
  <c r="BH166" i="40" s="1"/>
  <c r="DB166" i="40"/>
  <c r="BC168" i="40"/>
  <c r="BH168" i="40" s="1"/>
  <c r="DB168" i="40"/>
  <c r="BC170" i="40"/>
  <c r="BH170" i="40" s="1"/>
  <c r="DB170" i="40"/>
  <c r="BC172" i="40"/>
  <c r="BH172" i="40" s="1"/>
  <c r="DB172" i="40"/>
  <c r="CJ173" i="40"/>
  <c r="G151" i="40"/>
  <c r="Q151" i="40"/>
  <c r="Y151" i="40"/>
  <c r="AE151" i="40"/>
  <c r="AV151" i="40"/>
  <c r="BO151" i="40"/>
  <c r="CT151" i="40"/>
  <c r="G152" i="40"/>
  <c r="Q152" i="40"/>
  <c r="Y152" i="40"/>
  <c r="AE152" i="40"/>
  <c r="AV152" i="40"/>
  <c r="BO152" i="40"/>
  <c r="CT152" i="40"/>
  <c r="G153" i="40"/>
  <c r="Q153" i="40"/>
  <c r="Y153" i="40"/>
  <c r="AE153" i="40"/>
  <c r="AV153" i="40"/>
  <c r="BO153" i="40"/>
  <c r="CT153" i="40"/>
  <c r="G154" i="40"/>
  <c r="Q154" i="40"/>
  <c r="Y154" i="40"/>
  <c r="AE154" i="40"/>
  <c r="AV154" i="40"/>
  <c r="BO154" i="40"/>
  <c r="CT154" i="40"/>
  <c r="G155" i="40"/>
  <c r="Q155" i="40"/>
  <c r="Y155" i="40"/>
  <c r="AE155" i="40"/>
  <c r="AV155" i="40"/>
  <c r="BO155" i="40"/>
  <c r="CT155" i="40"/>
  <c r="G156" i="40"/>
  <c r="Q156" i="40"/>
  <c r="Y156" i="40"/>
  <c r="AE156" i="40"/>
  <c r="AV156" i="40"/>
  <c r="BO156" i="40"/>
  <c r="CT156" i="40"/>
  <c r="G157" i="40"/>
  <c r="Q157" i="40"/>
  <c r="Y157" i="40"/>
  <c r="AE157" i="40"/>
  <c r="AV157" i="40"/>
  <c r="BO157" i="40"/>
  <c r="CT157" i="40"/>
  <c r="G158" i="40"/>
  <c r="Q158" i="40"/>
  <c r="Y158" i="40"/>
  <c r="AE158" i="40"/>
  <c r="AV158" i="40"/>
  <c r="BO158" i="40"/>
  <c r="CT158" i="40"/>
  <c r="G159" i="40"/>
  <c r="Q159" i="40"/>
  <c r="Y159" i="40"/>
  <c r="AE159" i="40"/>
  <c r="AV159" i="40"/>
  <c r="BO159" i="40"/>
  <c r="CT159" i="40"/>
  <c r="G160" i="40"/>
  <c r="Q160" i="40"/>
  <c r="Y160" i="40"/>
  <c r="AE160" i="40"/>
  <c r="AV160" i="40"/>
  <c r="BO160" i="40"/>
  <c r="CT160" i="40"/>
  <c r="G161" i="40"/>
  <c r="Q161" i="40"/>
  <c r="Y161" i="40"/>
  <c r="AE161" i="40"/>
  <c r="AV161" i="40"/>
  <c r="BO161" i="40"/>
  <c r="CT161" i="40"/>
  <c r="G162" i="40"/>
  <c r="Q162" i="40"/>
  <c r="Y162" i="40"/>
  <c r="AE162" i="40"/>
  <c r="AV162" i="40"/>
  <c r="BO162" i="40"/>
  <c r="CT162" i="40"/>
  <c r="G163" i="40"/>
  <c r="Q163" i="40"/>
  <c r="Y163" i="40"/>
  <c r="AE163" i="40"/>
  <c r="AV163" i="40"/>
  <c r="BO163" i="40"/>
  <c r="CT163" i="40"/>
  <c r="G164" i="40"/>
  <c r="Q164" i="40"/>
  <c r="Y164" i="40"/>
  <c r="AE164" i="40"/>
  <c r="AV164" i="40"/>
  <c r="BO164" i="40"/>
  <c r="CT164" i="40"/>
  <c r="G165" i="40"/>
  <c r="Q165" i="40"/>
  <c r="Y165" i="40"/>
  <c r="AE165" i="40"/>
  <c r="AV165" i="40"/>
  <c r="BO165" i="40"/>
  <c r="CT165" i="40"/>
  <c r="G166" i="40"/>
  <c r="Q166" i="40"/>
  <c r="Y166" i="40"/>
  <c r="AE166" i="40"/>
  <c r="AV166" i="40"/>
  <c r="BO166" i="40"/>
  <c r="CT166" i="40"/>
  <c r="G167" i="40"/>
  <c r="Q167" i="40"/>
  <c r="Y167" i="40"/>
  <c r="AE167" i="40"/>
  <c r="AV167" i="40"/>
  <c r="BO167" i="40"/>
  <c r="CT167" i="40"/>
  <c r="G168" i="40"/>
  <c r="Q168" i="40"/>
  <c r="Y168" i="40"/>
  <c r="AE168" i="40"/>
  <c r="AV168" i="40"/>
  <c r="BO168" i="40"/>
  <c r="CT168" i="40"/>
  <c r="G169" i="40"/>
  <c r="Q169" i="40"/>
  <c r="Y169" i="40"/>
  <c r="AE169" i="40"/>
  <c r="AV169" i="40"/>
  <c r="BO169" i="40"/>
  <c r="CT169" i="40"/>
  <c r="G170" i="40"/>
  <c r="Q170" i="40"/>
  <c r="Y170" i="40"/>
  <c r="AE170" i="40"/>
  <c r="AV170" i="40"/>
  <c r="BO170" i="40"/>
  <c r="CT170" i="40"/>
  <c r="G171" i="40"/>
  <c r="Q171" i="40"/>
  <c r="Y171" i="40"/>
  <c r="AE171" i="40"/>
  <c r="AV171" i="40"/>
  <c r="BO171" i="40"/>
  <c r="CT171" i="40"/>
  <c r="G172" i="40"/>
  <c r="Q172" i="40"/>
  <c r="Y172" i="40"/>
  <c r="AE172" i="40"/>
  <c r="AV172" i="40"/>
  <c r="BO172" i="40"/>
  <c r="CT172" i="40"/>
  <c r="G173" i="40"/>
  <c r="Q173" i="40"/>
  <c r="Y173" i="40"/>
  <c r="AE173" i="40"/>
  <c r="AV173" i="40"/>
  <c r="BO173" i="40"/>
  <c r="CT173" i="40"/>
  <c r="P151" i="40"/>
  <c r="T151" i="40"/>
  <c r="AH151" i="40"/>
  <c r="AM151" i="40"/>
  <c r="BJ151" i="40"/>
  <c r="P152" i="40"/>
  <c r="T152" i="40"/>
  <c r="AH152" i="40"/>
  <c r="AM152" i="40"/>
  <c r="BJ152" i="40"/>
  <c r="P153" i="40"/>
  <c r="T153" i="40"/>
  <c r="AH153" i="40"/>
  <c r="AM153" i="40"/>
  <c r="BJ153" i="40"/>
  <c r="P154" i="40"/>
  <c r="T154" i="40"/>
  <c r="AH154" i="40"/>
  <c r="AM154" i="40"/>
  <c r="BJ154" i="40"/>
  <c r="P155" i="40"/>
  <c r="T155" i="40"/>
  <c r="AH155" i="40"/>
  <c r="AM155" i="40"/>
  <c r="BJ155" i="40"/>
  <c r="P156" i="40"/>
  <c r="T156" i="40"/>
  <c r="AH156" i="40"/>
  <c r="AM156" i="40"/>
  <c r="BJ156" i="40"/>
  <c r="P157" i="40"/>
  <c r="T157" i="40"/>
  <c r="AH157" i="40"/>
  <c r="AM157" i="40"/>
  <c r="BJ157" i="40"/>
  <c r="P158" i="40"/>
  <c r="T158" i="40"/>
  <c r="AH158" i="40"/>
  <c r="AM158" i="40"/>
  <c r="BJ158" i="40"/>
  <c r="P159" i="40"/>
  <c r="T159" i="40"/>
  <c r="AH159" i="40"/>
  <c r="AM159" i="40"/>
  <c r="BJ159" i="40"/>
  <c r="P160" i="40"/>
  <c r="T160" i="40"/>
  <c r="AH160" i="40"/>
  <c r="AM160" i="40"/>
  <c r="BJ160" i="40"/>
  <c r="P161" i="40"/>
  <c r="T161" i="40"/>
  <c r="AH161" i="40"/>
  <c r="AM161" i="40"/>
  <c r="BJ161" i="40"/>
  <c r="P162" i="40"/>
  <c r="T162" i="40"/>
  <c r="AH162" i="40"/>
  <c r="AM162" i="40"/>
  <c r="BJ162" i="40"/>
  <c r="P163" i="40"/>
  <c r="T163" i="40"/>
  <c r="AH163" i="40"/>
  <c r="AM163" i="40"/>
  <c r="BJ163" i="40"/>
  <c r="P164" i="40"/>
  <c r="T164" i="40"/>
  <c r="AH164" i="40"/>
  <c r="AM164" i="40"/>
  <c r="BJ164" i="40"/>
  <c r="P165" i="40"/>
  <c r="T165" i="40"/>
  <c r="AH165" i="40"/>
  <c r="AM165" i="40"/>
  <c r="BJ165" i="40"/>
  <c r="P166" i="40"/>
  <c r="T166" i="40"/>
  <c r="AH166" i="40"/>
  <c r="AM166" i="40"/>
  <c r="BJ166" i="40"/>
  <c r="P167" i="40"/>
  <c r="T167" i="40"/>
  <c r="AH167" i="40"/>
  <c r="AM167" i="40"/>
  <c r="BJ167" i="40"/>
  <c r="P168" i="40"/>
  <c r="T168" i="40"/>
  <c r="AH168" i="40"/>
  <c r="AM168" i="40"/>
  <c r="BJ168" i="40"/>
  <c r="P169" i="40"/>
  <c r="T169" i="40"/>
  <c r="AH169" i="40"/>
  <c r="AM169" i="40"/>
  <c r="BJ169" i="40"/>
  <c r="P170" i="40"/>
  <c r="T170" i="40"/>
  <c r="AH170" i="40"/>
  <c r="AM170" i="40"/>
  <c r="BJ170" i="40"/>
  <c r="P171" i="40"/>
  <c r="T171" i="40"/>
  <c r="AH171" i="40"/>
  <c r="AM171" i="40"/>
  <c r="BJ171" i="40"/>
  <c r="P172" i="40"/>
  <c r="T172" i="40"/>
  <c r="AH172" i="40"/>
  <c r="AM172" i="40"/>
  <c r="BJ172" i="40"/>
  <c r="P173" i="40"/>
  <c r="T173" i="40"/>
  <c r="AH173" i="40"/>
  <c r="AM173" i="40"/>
  <c r="BJ173" i="40"/>
  <c r="G33" i="40"/>
  <c r="G36" i="40"/>
  <c r="BO36" i="40"/>
  <c r="Y33" i="40"/>
  <c r="AE33" i="40"/>
  <c r="Q40" i="40"/>
  <c r="L34" i="40"/>
  <c r="G38" i="40"/>
  <c r="S34" i="40"/>
  <c r="DN33" i="40"/>
  <c r="Y34" i="40"/>
  <c r="AE34" i="40"/>
  <c r="Q37" i="40"/>
  <c r="AV37" i="40"/>
  <c r="R38" i="40"/>
  <c r="AV38" i="40"/>
  <c r="Y40" i="40"/>
  <c r="AE40" i="40"/>
  <c r="BC37" i="40"/>
  <c r="BH37" i="40" s="1"/>
  <c r="DN38" i="40"/>
  <c r="DN41" i="40"/>
  <c r="Y41" i="40"/>
  <c r="AE41" i="40"/>
  <c r="BC34" i="40"/>
  <c r="BH34" i="40" s="1"/>
  <c r="G41" i="40"/>
  <c r="BO33" i="40"/>
  <c r="Q38" i="40"/>
  <c r="R41" i="40"/>
  <c r="BO41" i="40"/>
  <c r="Q33" i="40"/>
  <c r="BC33" i="40"/>
  <c r="BH33" i="40" s="1"/>
  <c r="G34" i="40"/>
  <c r="R34" i="40"/>
  <c r="AV34" i="40"/>
  <c r="DN34" i="40"/>
  <c r="Y36" i="40"/>
  <c r="AE36" i="40"/>
  <c r="G37" i="40"/>
  <c r="Y37" i="40"/>
  <c r="AE37" i="40"/>
  <c r="DN37" i="40"/>
  <c r="L38" i="40"/>
  <c r="Y38" i="40"/>
  <c r="AE38" i="40"/>
  <c r="G40" i="40"/>
  <c r="BO40" i="40"/>
  <c r="Q41" i="40"/>
  <c r="BC41" i="40"/>
  <c r="BH41" i="40" s="1"/>
  <c r="R33" i="40"/>
  <c r="AV36" i="40"/>
  <c r="AL38" i="40"/>
  <c r="BO38" i="40"/>
  <c r="AV33" i="40"/>
  <c r="Q34" i="40"/>
  <c r="AL34" i="40"/>
  <c r="BO34" i="40"/>
  <c r="Q36" i="40"/>
  <c r="R37" i="40"/>
  <c r="BO37" i="40"/>
  <c r="S38" i="40"/>
  <c r="BC38" i="40"/>
  <c r="BH38" i="40" s="1"/>
  <c r="AV40" i="40"/>
  <c r="AV41" i="40"/>
  <c r="P35" i="40"/>
  <c r="T35" i="40"/>
  <c r="AH35" i="40"/>
  <c r="AM36" i="40"/>
  <c r="BJ36" i="40"/>
  <c r="L39" i="40"/>
  <c r="P33" i="40"/>
  <c r="T33" i="40"/>
  <c r="BJ37" i="40"/>
  <c r="P41" i="40"/>
  <c r="AH41" i="40"/>
  <c r="AM41" i="40"/>
  <c r="BJ41" i="40"/>
  <c r="AM35" i="40"/>
  <c r="BJ35" i="40"/>
  <c r="P39" i="40"/>
  <c r="T39" i="40"/>
  <c r="AH39" i="40"/>
  <c r="AM39" i="40"/>
  <c r="BJ39" i="40"/>
  <c r="L35" i="40"/>
  <c r="S35" i="40"/>
  <c r="AL35" i="40"/>
  <c r="P36" i="40"/>
  <c r="T36" i="40"/>
  <c r="AH36" i="40"/>
  <c r="S39" i="40"/>
  <c r="AL39" i="40"/>
  <c r="P40" i="40"/>
  <c r="T40" i="40"/>
  <c r="AH40" i="40"/>
  <c r="AM40" i="40"/>
  <c r="BJ40" i="40"/>
  <c r="AH33" i="40"/>
  <c r="AM33" i="40"/>
  <c r="BJ33" i="40"/>
  <c r="R35" i="40"/>
  <c r="BC35" i="40"/>
  <c r="BH35" i="40" s="1"/>
  <c r="DN35" i="40"/>
  <c r="L36" i="40"/>
  <c r="S36" i="40"/>
  <c r="AL36" i="40"/>
  <c r="P37" i="40"/>
  <c r="T37" i="40"/>
  <c r="AH37" i="40"/>
  <c r="AM37" i="40"/>
  <c r="R39" i="40"/>
  <c r="BC39" i="40"/>
  <c r="BH39" i="40" s="1"/>
  <c r="DN39" i="40"/>
  <c r="L40" i="40"/>
  <c r="S40" i="40"/>
  <c r="AL40" i="40"/>
  <c r="T41" i="40"/>
  <c r="L33" i="40"/>
  <c r="S33" i="40"/>
  <c r="P34" i="40"/>
  <c r="T34" i="40"/>
  <c r="AH34" i="40"/>
  <c r="AM34" i="40"/>
  <c r="G35" i="40"/>
  <c r="Q35" i="40"/>
  <c r="Y35" i="40"/>
  <c r="AE35" i="40"/>
  <c r="AV35" i="40"/>
  <c r="R36" i="40"/>
  <c r="BC36" i="40"/>
  <c r="BH36" i="40" s="1"/>
  <c r="L37" i="40"/>
  <c r="S37" i="40"/>
  <c r="P38" i="40"/>
  <c r="T38" i="40"/>
  <c r="AH38" i="40"/>
  <c r="AM38" i="40"/>
  <c r="G39" i="40"/>
  <c r="Q39" i="40"/>
  <c r="Y39" i="40"/>
  <c r="AE39" i="40"/>
  <c r="AV39" i="40"/>
  <c r="R40" i="40"/>
  <c r="BC40" i="40"/>
  <c r="BH40" i="40" s="1"/>
  <c r="L41" i="40"/>
  <c r="S41" i="40"/>
  <c r="CQ141" i="40"/>
  <c r="G63" i="40"/>
  <c r="BO63" i="40"/>
  <c r="AH141" i="40"/>
  <c r="L61" i="40"/>
  <c r="BJ142" i="40"/>
  <c r="BJ130" i="40"/>
  <c r="G57" i="40"/>
  <c r="Y69" i="40"/>
  <c r="AE69" i="40"/>
  <c r="AH142" i="40"/>
  <c r="AH130" i="40"/>
  <c r="BJ138" i="40"/>
  <c r="BJ134" i="40"/>
  <c r="T142" i="40"/>
  <c r="AH138" i="40"/>
  <c r="AH134" i="40"/>
  <c r="R57" i="40"/>
  <c r="AV57" i="40"/>
  <c r="AH144" i="40"/>
  <c r="AM142" i="40"/>
  <c r="BJ141" i="40"/>
  <c r="AM137" i="40"/>
  <c r="T137" i="40"/>
  <c r="AM133" i="40"/>
  <c r="T133" i="40"/>
  <c r="AH131" i="40"/>
  <c r="AM130" i="40"/>
  <c r="Y67" i="40"/>
  <c r="AE67" i="40"/>
  <c r="G71" i="40"/>
  <c r="BO71" i="40"/>
  <c r="AH139" i="40"/>
  <c r="AH135" i="40"/>
  <c r="BJ139" i="40"/>
  <c r="BJ137" i="40"/>
  <c r="AH137" i="40"/>
  <c r="BJ135" i="40"/>
  <c r="BJ133" i="40"/>
  <c r="AH133" i="40"/>
  <c r="T145" i="40"/>
  <c r="BJ132" i="40"/>
  <c r="BJ129" i="40"/>
  <c r="BC64" i="40"/>
  <c r="BH64" i="40" s="1"/>
  <c r="AM145" i="40"/>
  <c r="BJ140" i="40"/>
  <c r="T139" i="40"/>
  <c r="BJ136" i="40"/>
  <c r="T135" i="40"/>
  <c r="CQ132" i="40"/>
  <c r="AH132" i="40"/>
  <c r="AH129" i="40"/>
  <c r="AM128" i="40"/>
  <c r="G60" i="40"/>
  <c r="Q64" i="40"/>
  <c r="AV64" i="40"/>
  <c r="BJ145" i="40"/>
  <c r="AH145" i="40"/>
  <c r="BJ144" i="40"/>
  <c r="AH140" i="40"/>
  <c r="AM139" i="40"/>
  <c r="AH136" i="40"/>
  <c r="AM135" i="40"/>
  <c r="BJ131" i="40"/>
  <c r="T130" i="40"/>
  <c r="BJ128" i="40"/>
  <c r="AH128" i="40"/>
  <c r="CQ144" i="40"/>
  <c r="P144" i="40"/>
  <c r="AM143" i="40"/>
  <c r="CQ140" i="40"/>
  <c r="P140" i="40"/>
  <c r="CQ138" i="40"/>
  <c r="P138" i="40"/>
  <c r="CQ136" i="40"/>
  <c r="P136" i="40"/>
  <c r="CQ134" i="40"/>
  <c r="P134" i="40"/>
  <c r="CQ131" i="40"/>
  <c r="P131" i="40"/>
  <c r="CQ129" i="40"/>
  <c r="P129" i="40"/>
  <c r="Y59" i="40"/>
  <c r="AE59" i="40"/>
  <c r="DN60" i="40"/>
  <c r="Y61" i="40"/>
  <c r="AE61" i="40"/>
  <c r="DN65" i="40"/>
  <c r="T144" i="40"/>
  <c r="BJ143" i="40"/>
  <c r="AH143" i="40"/>
  <c r="T140" i="40"/>
  <c r="T138" i="40"/>
  <c r="T136" i="40"/>
  <c r="T134" i="40"/>
  <c r="T131" i="40"/>
  <c r="T129" i="40"/>
  <c r="Q59" i="40"/>
  <c r="Y60" i="40"/>
  <c r="AE60" i="40"/>
  <c r="S61" i="40"/>
  <c r="R65" i="40"/>
  <c r="AV65" i="40"/>
  <c r="CQ145" i="40"/>
  <c r="P145" i="40"/>
  <c r="AM144" i="40"/>
  <c r="CQ143" i="40"/>
  <c r="CQ142" i="40"/>
  <c r="P142" i="40"/>
  <c r="AM141" i="40"/>
  <c r="AM140" i="40"/>
  <c r="CQ139" i="40"/>
  <c r="P139" i="40"/>
  <c r="AM138" i="40"/>
  <c r="CQ137" i="40"/>
  <c r="P137" i="40"/>
  <c r="AM136" i="40"/>
  <c r="CQ135" i="40"/>
  <c r="P135" i="40"/>
  <c r="AM134" i="40"/>
  <c r="CQ133" i="40"/>
  <c r="P133" i="40"/>
  <c r="AM132" i="40"/>
  <c r="AM131" i="40"/>
  <c r="CQ130" i="40"/>
  <c r="P130" i="40"/>
  <c r="AM129" i="40"/>
  <c r="CQ128" i="40"/>
  <c r="T143" i="40"/>
  <c r="P143" i="40"/>
  <c r="T141" i="40"/>
  <c r="P141" i="40"/>
  <c r="T132" i="40"/>
  <c r="P132" i="40"/>
  <c r="BO145" i="40"/>
  <c r="AV145" i="40"/>
  <c r="AE145" i="40"/>
  <c r="Q145" i="40"/>
  <c r="CT144" i="40"/>
  <c r="Y144" i="40"/>
  <c r="G144" i="40"/>
  <c r="BO143" i="40"/>
  <c r="AV143" i="40"/>
  <c r="AE143" i="40"/>
  <c r="Q143" i="40"/>
  <c r="CT142" i="40"/>
  <c r="Y142" i="40"/>
  <c r="G142" i="40"/>
  <c r="Y141" i="40"/>
  <c r="G141" i="40"/>
  <c r="BO140" i="40"/>
  <c r="AV140" i="40"/>
  <c r="AE140" i="40"/>
  <c r="Q140" i="40"/>
  <c r="CT139" i="40"/>
  <c r="BO139" i="40"/>
  <c r="AV139" i="40"/>
  <c r="AE139" i="40"/>
  <c r="Q139" i="40"/>
  <c r="CT138" i="40"/>
  <c r="Y138" i="40"/>
  <c r="G138" i="40"/>
  <c r="BO137" i="40"/>
  <c r="AV137" i="40"/>
  <c r="AE137" i="40"/>
  <c r="Q137" i="40"/>
  <c r="CT136" i="40"/>
  <c r="Y136" i="40"/>
  <c r="G136" i="40"/>
  <c r="CT135" i="40"/>
  <c r="BO135" i="40"/>
  <c r="AV135" i="40"/>
  <c r="AE135" i="40"/>
  <c r="Y135" i="40"/>
  <c r="Q135" i="40"/>
  <c r="G135" i="40"/>
  <c r="BO134" i="40"/>
  <c r="AV134" i="40"/>
  <c r="AE134" i="40"/>
  <c r="Y134" i="40"/>
  <c r="Q134" i="40"/>
  <c r="G134" i="40"/>
  <c r="CT133" i="40"/>
  <c r="BO133" i="40"/>
  <c r="AV133" i="40"/>
  <c r="AE133" i="40"/>
  <c r="Y133" i="40"/>
  <c r="Q133" i="40"/>
  <c r="G133" i="40"/>
  <c r="CT132" i="40"/>
  <c r="BO132" i="40"/>
  <c r="AV132" i="40"/>
  <c r="AE132" i="40"/>
  <c r="Y132" i="40"/>
  <c r="Q132" i="40"/>
  <c r="G132" i="40"/>
  <c r="CT131" i="40"/>
  <c r="BO131" i="40"/>
  <c r="AV131" i="40"/>
  <c r="AE131" i="40"/>
  <c r="Y131" i="40"/>
  <c r="Q131" i="40"/>
  <c r="G131" i="40"/>
  <c r="CT130" i="40"/>
  <c r="BO130" i="40"/>
  <c r="AV130" i="40"/>
  <c r="AE130" i="40"/>
  <c r="Y130" i="40"/>
  <c r="Q130" i="40"/>
  <c r="G130" i="40"/>
  <c r="CT129" i="40"/>
  <c r="BO129" i="40"/>
  <c r="AV129" i="40"/>
  <c r="AE129" i="40"/>
  <c r="Y129" i="40"/>
  <c r="Q129" i="40"/>
  <c r="G129" i="40"/>
  <c r="CT128" i="40"/>
  <c r="BO128" i="40"/>
  <c r="AV128" i="40"/>
  <c r="AE128" i="40"/>
  <c r="Y128" i="40"/>
  <c r="Q128" i="40"/>
  <c r="G128" i="40"/>
  <c r="DB145" i="40"/>
  <c r="CJ145" i="40"/>
  <c r="BC145" i="40"/>
  <c r="BH145" i="40" s="1"/>
  <c r="R145" i="40"/>
  <c r="DB144" i="40"/>
  <c r="CJ144" i="40"/>
  <c r="BC144" i="40"/>
  <c r="BH144" i="40" s="1"/>
  <c r="R144" i="40"/>
  <c r="DB143" i="40"/>
  <c r="CJ143" i="40"/>
  <c r="BC143" i="40"/>
  <c r="BH143" i="40" s="1"/>
  <c r="R143" i="40"/>
  <c r="DB142" i="40"/>
  <c r="CJ142" i="40"/>
  <c r="BC142" i="40"/>
  <c r="BH142" i="40" s="1"/>
  <c r="R142" i="40"/>
  <c r="DB141" i="40"/>
  <c r="CJ141" i="40"/>
  <c r="BC141" i="40"/>
  <c r="BH141" i="40" s="1"/>
  <c r="R141" i="40"/>
  <c r="DB140" i="40"/>
  <c r="CJ140" i="40"/>
  <c r="BC140" i="40"/>
  <c r="BH140" i="40" s="1"/>
  <c r="R140" i="40"/>
  <c r="DB139" i="40"/>
  <c r="CJ139" i="40"/>
  <c r="BC139" i="40"/>
  <c r="BH139" i="40" s="1"/>
  <c r="R139" i="40"/>
  <c r="DB138" i="40"/>
  <c r="CJ138" i="40"/>
  <c r="BC138" i="40"/>
  <c r="BH138" i="40" s="1"/>
  <c r="R138" i="40"/>
  <c r="DB137" i="40"/>
  <c r="CJ137" i="40"/>
  <c r="BC137" i="40"/>
  <c r="BH137" i="40" s="1"/>
  <c r="R137" i="40"/>
  <c r="DB136" i="40"/>
  <c r="CJ136" i="40"/>
  <c r="BC136" i="40"/>
  <c r="BH136" i="40" s="1"/>
  <c r="R136" i="40"/>
  <c r="DB135" i="40"/>
  <c r="CJ135" i="40"/>
  <c r="BC135" i="40"/>
  <c r="BH135" i="40" s="1"/>
  <c r="R135" i="40"/>
  <c r="DB134" i="40"/>
  <c r="CJ134" i="40"/>
  <c r="BC134" i="40"/>
  <c r="BH134" i="40" s="1"/>
  <c r="R134" i="40"/>
  <c r="DB133" i="40"/>
  <c r="CJ133" i="40"/>
  <c r="BC133" i="40"/>
  <c r="BH133" i="40" s="1"/>
  <c r="R133" i="40"/>
  <c r="DB132" i="40"/>
  <c r="CJ132" i="40"/>
  <c r="BC132" i="40"/>
  <c r="BH132" i="40" s="1"/>
  <c r="R132" i="40"/>
  <c r="DB131" i="40"/>
  <c r="CJ131" i="40"/>
  <c r="BC131" i="40"/>
  <c r="BH131" i="40" s="1"/>
  <c r="R131" i="40"/>
  <c r="DB130" i="40"/>
  <c r="CJ130" i="40"/>
  <c r="BC130" i="40"/>
  <c r="BH130" i="40" s="1"/>
  <c r="R130" i="40"/>
  <c r="DB129" i="40"/>
  <c r="CJ129" i="40"/>
  <c r="BC129" i="40"/>
  <c r="BH129" i="40" s="1"/>
  <c r="R129" i="40"/>
  <c r="DB128" i="40"/>
  <c r="CJ128" i="40"/>
  <c r="BC128" i="40"/>
  <c r="BH128" i="40" s="1"/>
  <c r="R128" i="40"/>
  <c r="T128" i="40"/>
  <c r="P128" i="40"/>
  <c r="CT145" i="40"/>
  <c r="Y145" i="40"/>
  <c r="G145" i="40"/>
  <c r="BO144" i="40"/>
  <c r="AV144" i="40"/>
  <c r="AE144" i="40"/>
  <c r="Q144" i="40"/>
  <c r="CT143" i="40"/>
  <c r="Y143" i="40"/>
  <c r="G143" i="40"/>
  <c r="BO142" i="40"/>
  <c r="AV142" i="40"/>
  <c r="AE142" i="40"/>
  <c r="Q142" i="40"/>
  <c r="CT141" i="40"/>
  <c r="BO141" i="40"/>
  <c r="AV141" i="40"/>
  <c r="AE141" i="40"/>
  <c r="Q141" i="40"/>
  <c r="CT140" i="40"/>
  <c r="Y140" i="40"/>
  <c r="G140" i="40"/>
  <c r="Y139" i="40"/>
  <c r="G139" i="40"/>
  <c r="BO138" i="40"/>
  <c r="AV138" i="40"/>
  <c r="AE138" i="40"/>
  <c r="Q138" i="40"/>
  <c r="CT137" i="40"/>
  <c r="Y137" i="40"/>
  <c r="G137" i="40"/>
  <c r="BO136" i="40"/>
  <c r="AV136" i="40"/>
  <c r="AE136" i="40"/>
  <c r="Q136" i="40"/>
  <c r="CT134" i="40"/>
  <c r="DN145" i="40"/>
  <c r="CO145" i="40"/>
  <c r="AL145" i="40"/>
  <c r="S145" i="40"/>
  <c r="DN144" i="40"/>
  <c r="CO144" i="40"/>
  <c r="AL144" i="40"/>
  <c r="S144" i="40"/>
  <c r="DN143" i="40"/>
  <c r="CO143" i="40"/>
  <c r="AL143" i="40"/>
  <c r="S143" i="40"/>
  <c r="DN142" i="40"/>
  <c r="CO142" i="40"/>
  <c r="AL142" i="40"/>
  <c r="S142" i="40"/>
  <c r="DN141" i="40"/>
  <c r="CO141" i="40"/>
  <c r="AL141" i="40"/>
  <c r="S141" i="40"/>
  <c r="DN140" i="40"/>
  <c r="CO140" i="40"/>
  <c r="AL140" i="40"/>
  <c r="S140" i="40"/>
  <c r="DN139" i="40"/>
  <c r="CO139" i="40"/>
  <c r="AL139" i="40"/>
  <c r="S139" i="40"/>
  <c r="DN138" i="40"/>
  <c r="CO138" i="40"/>
  <c r="AL138" i="40"/>
  <c r="S138" i="40"/>
  <c r="DN137" i="40"/>
  <c r="CO137" i="40"/>
  <c r="AL137" i="40"/>
  <c r="S137" i="40"/>
  <c r="DN136" i="40"/>
  <c r="CO136" i="40"/>
  <c r="AL136" i="40"/>
  <c r="S136" i="40"/>
  <c r="DN135" i="40"/>
  <c r="CO135" i="40"/>
  <c r="AL135" i="40"/>
  <c r="S135" i="40"/>
  <c r="DN134" i="40"/>
  <c r="CO134" i="40"/>
  <c r="AL134" i="40"/>
  <c r="S134" i="40"/>
  <c r="DN133" i="40"/>
  <c r="CO133" i="40"/>
  <c r="AL133" i="40"/>
  <c r="S133" i="40"/>
  <c r="DN132" i="40"/>
  <c r="CO132" i="40"/>
  <c r="AL132" i="40"/>
  <c r="S132" i="40"/>
  <c r="DN131" i="40"/>
  <c r="CO131" i="40"/>
  <c r="AL131" i="40"/>
  <c r="S131" i="40"/>
  <c r="DN130" i="40"/>
  <c r="CO130" i="40"/>
  <c r="AL130" i="40"/>
  <c r="S130" i="40"/>
  <c r="DN129" i="40"/>
  <c r="CO129" i="40"/>
  <c r="AL129" i="40"/>
  <c r="S129" i="40"/>
  <c r="DN128" i="40"/>
  <c r="CO128" i="40"/>
  <c r="AL128" i="40"/>
  <c r="S128" i="40"/>
  <c r="Y68" i="40"/>
  <c r="AE68" i="40"/>
  <c r="S69" i="40"/>
  <c r="DN68" i="40"/>
  <c r="G65" i="40"/>
  <c r="Q67" i="40"/>
  <c r="R68" i="40"/>
  <c r="L69" i="40"/>
  <c r="DN57" i="40"/>
  <c r="BC61" i="40"/>
  <c r="BH61" i="40" s="1"/>
  <c r="G68" i="40"/>
  <c r="BC69" i="40"/>
  <c r="BH69" i="40" s="1"/>
  <c r="AL57" i="40"/>
  <c r="BO60" i="40"/>
  <c r="Q65" i="40"/>
  <c r="AL65" i="40"/>
  <c r="BO65" i="40"/>
  <c r="BO68" i="40"/>
  <c r="AV71" i="40"/>
  <c r="L57" i="40"/>
  <c r="Y57" i="40"/>
  <c r="AE57" i="40"/>
  <c r="G59" i="40"/>
  <c r="BO59" i="40"/>
  <c r="Q60" i="40"/>
  <c r="BC60" i="40"/>
  <c r="BH60" i="40" s="1"/>
  <c r="G61" i="40"/>
  <c r="R61" i="40"/>
  <c r="AV61" i="40"/>
  <c r="DN61" i="40"/>
  <c r="Y63" i="40"/>
  <c r="AE63" i="40"/>
  <c r="G64" i="40"/>
  <c r="Y64" i="40"/>
  <c r="AE64" i="40"/>
  <c r="DN64" i="40"/>
  <c r="L65" i="40"/>
  <c r="Y65" i="40"/>
  <c r="AE65" i="40"/>
  <c r="G67" i="40"/>
  <c r="BO67" i="40"/>
  <c r="Q68" i="40"/>
  <c r="BC68" i="40"/>
  <c r="BH68" i="40" s="1"/>
  <c r="G69" i="40"/>
  <c r="R69" i="40"/>
  <c r="AV69" i="40"/>
  <c r="DN69" i="40"/>
  <c r="Y71" i="40"/>
  <c r="AE71" i="40"/>
  <c r="Q57" i="40"/>
  <c r="BO57" i="40"/>
  <c r="R60" i="40"/>
  <c r="AV63" i="40"/>
  <c r="S57" i="40"/>
  <c r="BC57" i="40"/>
  <c r="BH57" i="40" s="1"/>
  <c r="AV59" i="40"/>
  <c r="AV60" i="40"/>
  <c r="Q61" i="40"/>
  <c r="AL61" i="40"/>
  <c r="BO61" i="40"/>
  <c r="Q63" i="40"/>
  <c r="R64" i="40"/>
  <c r="BO64" i="40"/>
  <c r="S65" i="40"/>
  <c r="BC65" i="40"/>
  <c r="BH65" i="40" s="1"/>
  <c r="AV67" i="40"/>
  <c r="AV68" i="40"/>
  <c r="Q69" i="40"/>
  <c r="AL69" i="40"/>
  <c r="BO69" i="40"/>
  <c r="Q71" i="40"/>
  <c r="BJ58" i="40"/>
  <c r="AM66" i="40"/>
  <c r="P70" i="40"/>
  <c r="T70" i="40"/>
  <c r="BJ70" i="40"/>
  <c r="L58" i="40"/>
  <c r="AM59" i="40"/>
  <c r="BJ59" i="40"/>
  <c r="L62" i="40"/>
  <c r="AM63" i="40"/>
  <c r="BJ63" i="40"/>
  <c r="AH67" i="40"/>
  <c r="BJ67" i="40"/>
  <c r="S70" i="40"/>
  <c r="AH71" i="40"/>
  <c r="BJ71" i="40"/>
  <c r="P57" i="40"/>
  <c r="T57" i="40"/>
  <c r="AH57" i="40"/>
  <c r="AM57" i="40"/>
  <c r="G58" i="40"/>
  <c r="Q58" i="40"/>
  <c r="Y58" i="40"/>
  <c r="AE58" i="40"/>
  <c r="AV58" i="40"/>
  <c r="BO58" i="40"/>
  <c r="R59" i="40"/>
  <c r="BC59" i="40"/>
  <c r="BH59" i="40" s="1"/>
  <c r="DN59" i="40"/>
  <c r="L60" i="40"/>
  <c r="S60" i="40"/>
  <c r="AL60" i="40"/>
  <c r="P61" i="40"/>
  <c r="T61" i="40"/>
  <c r="AH61" i="40"/>
  <c r="AM61" i="40"/>
  <c r="G62" i="40"/>
  <c r="Q62" i="40"/>
  <c r="Y62" i="40"/>
  <c r="AE62" i="40"/>
  <c r="AV62" i="40"/>
  <c r="BO62" i="40"/>
  <c r="R63" i="40"/>
  <c r="BC63" i="40"/>
  <c r="BH63" i="40" s="1"/>
  <c r="DN63" i="40"/>
  <c r="L64" i="40"/>
  <c r="S64" i="40"/>
  <c r="AL64" i="40"/>
  <c r="P65" i="40"/>
  <c r="T65" i="40"/>
  <c r="AH65" i="40"/>
  <c r="AM65" i="40"/>
  <c r="G66" i="40"/>
  <c r="Q66" i="40"/>
  <c r="Y66" i="40"/>
  <c r="AE66" i="40"/>
  <c r="AV66" i="40"/>
  <c r="BO66" i="40"/>
  <c r="R67" i="40"/>
  <c r="BC67" i="40"/>
  <c r="BH67" i="40" s="1"/>
  <c r="DN67" i="40"/>
  <c r="L68" i="40"/>
  <c r="S68" i="40"/>
  <c r="AL68" i="40"/>
  <c r="P69" i="40"/>
  <c r="T69" i="40"/>
  <c r="AH69" i="40"/>
  <c r="AM69" i="40"/>
  <c r="G70" i="40"/>
  <c r="Q70" i="40"/>
  <c r="Y70" i="40"/>
  <c r="AE70" i="40"/>
  <c r="AV70" i="40"/>
  <c r="BO70" i="40"/>
  <c r="R71" i="40"/>
  <c r="BC71" i="40"/>
  <c r="BH71" i="40" s="1"/>
  <c r="DN71" i="40"/>
  <c r="P58" i="40"/>
  <c r="T58" i="40"/>
  <c r="AH58" i="40"/>
  <c r="AM58" i="40"/>
  <c r="P62" i="40"/>
  <c r="T62" i="40"/>
  <c r="AH62" i="40"/>
  <c r="AM62" i="40"/>
  <c r="BJ62" i="40"/>
  <c r="P66" i="40"/>
  <c r="T66" i="40"/>
  <c r="AH66" i="40"/>
  <c r="BJ66" i="40"/>
  <c r="AH70" i="40"/>
  <c r="AM70" i="40"/>
  <c r="S58" i="40"/>
  <c r="AL58" i="40"/>
  <c r="P59" i="40"/>
  <c r="T59" i="40"/>
  <c r="AH59" i="40"/>
  <c r="S62" i="40"/>
  <c r="AL62" i="40"/>
  <c r="P63" i="40"/>
  <c r="T63" i="40"/>
  <c r="AH63" i="40"/>
  <c r="L66" i="40"/>
  <c r="S66" i="40"/>
  <c r="AL66" i="40"/>
  <c r="P67" i="40"/>
  <c r="T67" i="40"/>
  <c r="AM67" i="40"/>
  <c r="L70" i="40"/>
  <c r="AL70" i="40"/>
  <c r="P71" i="40"/>
  <c r="T71" i="40"/>
  <c r="AM71" i="40"/>
  <c r="R58" i="40"/>
  <c r="BC58" i="40"/>
  <c r="BH58" i="40" s="1"/>
  <c r="L59" i="40"/>
  <c r="S59" i="40"/>
  <c r="P60" i="40"/>
  <c r="T60" i="40"/>
  <c r="AH60" i="40"/>
  <c r="AM60" i="40"/>
  <c r="R62" i="40"/>
  <c r="BC62" i="40"/>
  <c r="BH62" i="40" s="1"/>
  <c r="L63" i="40"/>
  <c r="S63" i="40"/>
  <c r="P64" i="40"/>
  <c r="T64" i="40"/>
  <c r="AH64" i="40"/>
  <c r="AM64" i="40"/>
  <c r="R66" i="40"/>
  <c r="BC66" i="40"/>
  <c r="BH66" i="40" s="1"/>
  <c r="L67" i="40"/>
  <c r="S67" i="40"/>
  <c r="P68" i="40"/>
  <c r="T68" i="40"/>
  <c r="AH68" i="40"/>
  <c r="AM68" i="40"/>
  <c r="R70" i="40"/>
  <c r="BC70" i="40"/>
  <c r="BH70" i="40" s="1"/>
  <c r="L71" i="40"/>
  <c r="S71" i="40"/>
  <c r="BO238" i="40"/>
  <c r="AL56" i="40"/>
  <c r="BC247" i="40"/>
  <c r="Y239" i="40"/>
  <c r="T238" i="40"/>
  <c r="Y238" i="40"/>
  <c r="T247" i="40"/>
  <c r="BO239" i="40"/>
  <c r="AM238" i="40"/>
  <c r="DN122" i="40"/>
  <c r="AH120" i="40"/>
  <c r="BJ118" i="40"/>
  <c r="AV247" i="40"/>
  <c r="I247" i="40" s="1"/>
  <c r="CO120" i="40"/>
  <c r="BO118" i="40"/>
  <c r="BJ239" i="40"/>
  <c r="T239" i="40"/>
  <c r="AH150" i="40"/>
  <c r="P150" i="40"/>
  <c r="Y235" i="40"/>
  <c r="BJ150" i="40"/>
  <c r="Q150" i="40"/>
  <c r="BO126" i="40"/>
  <c r="T118" i="40"/>
  <c r="DB150" i="40"/>
  <c r="BO231" i="40"/>
  <c r="BC150" i="40"/>
  <c r="BH150" i="40" s="1"/>
  <c r="BJ126" i="40"/>
  <c r="BO235" i="40"/>
  <c r="CQ150" i="40"/>
  <c r="Y150" i="40"/>
  <c r="Y118" i="40"/>
  <c r="CQ116" i="40"/>
  <c r="AM237" i="40"/>
  <c r="AL235" i="40"/>
  <c r="P235" i="40"/>
  <c r="T234" i="40"/>
  <c r="T231" i="40"/>
  <c r="S122" i="40"/>
  <c r="CQ239" i="40"/>
  <c r="AL239" i="40"/>
  <c r="P239" i="40"/>
  <c r="Y236" i="40"/>
  <c r="AM235" i="40"/>
  <c r="Q235" i="40"/>
  <c r="CO234" i="40"/>
  <c r="Y231" i="40"/>
  <c r="CT125" i="40"/>
  <c r="AM123" i="40"/>
  <c r="AL122" i="40"/>
  <c r="CQ120" i="40"/>
  <c r="Q120" i="40"/>
  <c r="DB117" i="40"/>
  <c r="R247" i="40"/>
  <c r="CT239" i="40"/>
  <c r="AM239" i="40"/>
  <c r="Q239" i="40"/>
  <c r="BJ238" i="40"/>
  <c r="Q238" i="40"/>
  <c r="BO236" i="40"/>
  <c r="BJ235" i="40"/>
  <c r="T235" i="40"/>
  <c r="CT234" i="40"/>
  <c r="DB233" i="40"/>
  <c r="BJ231" i="40"/>
  <c r="CT230" i="40"/>
  <c r="AV123" i="40"/>
  <c r="BO122" i="40"/>
  <c r="Y120" i="40"/>
  <c r="BC116" i="40"/>
  <c r="BH116" i="40" s="1"/>
  <c r="Y240" i="40"/>
  <c r="P236" i="40"/>
  <c r="AH234" i="40"/>
  <c r="CO122" i="40"/>
  <c r="AE247" i="40"/>
  <c r="DB239" i="40"/>
  <c r="AV239" i="40"/>
  <c r="I239" i="40" s="1"/>
  <c r="R239" i="40"/>
  <c r="G239" i="40"/>
  <c r="Q237" i="40"/>
  <c r="AM236" i="40"/>
  <c r="Q236" i="40"/>
  <c r="DN234" i="40"/>
  <c r="AV234" i="40"/>
  <c r="I234" i="40" s="1"/>
  <c r="P234" i="40"/>
  <c r="AH233" i="40"/>
  <c r="CQ231" i="40"/>
  <c r="AL231" i="40"/>
  <c r="P231" i="40"/>
  <c r="AE230" i="40"/>
  <c r="T126" i="40"/>
  <c r="DN124" i="40"/>
  <c r="CQ123" i="40"/>
  <c r="Q123" i="40"/>
  <c r="CQ122" i="40"/>
  <c r="BC122" i="40"/>
  <c r="BH122" i="40" s="1"/>
  <c r="Y122" i="40"/>
  <c r="P122" i="40"/>
  <c r="AH121" i="40"/>
  <c r="CQ119" i="40"/>
  <c r="CQ118" i="40"/>
  <c r="AL118" i="40"/>
  <c r="P118" i="40"/>
  <c r="BO237" i="40"/>
  <c r="AL236" i="40"/>
  <c r="BC124" i="40"/>
  <c r="BH124" i="40" s="1"/>
  <c r="AM122" i="40"/>
  <c r="T122" i="40"/>
  <c r="L122" i="40"/>
  <c r="AE119" i="40"/>
  <c r="BH247" i="40"/>
  <c r="L247" i="40"/>
  <c r="AE240" i="40"/>
  <c r="CJ239" i="40"/>
  <c r="AE239" i="40"/>
  <c r="AH247" i="40"/>
  <c r="P247" i="40"/>
  <c r="CO240" i="40"/>
  <c r="DN239" i="40"/>
  <c r="CO239" i="40"/>
  <c r="BC239" i="40"/>
  <c r="BH239" i="40" s="1"/>
  <c r="AH239" i="40"/>
  <c r="S239" i="40"/>
  <c r="Y237" i="40"/>
  <c r="BJ236" i="40"/>
  <c r="T236" i="40"/>
  <c r="BC234" i="40"/>
  <c r="BH234" i="40" s="1"/>
  <c r="R234" i="40"/>
  <c r="BJ233" i="40"/>
  <c r="CT231" i="40"/>
  <c r="AM231" i="40"/>
  <c r="Q231" i="40"/>
  <c r="AH230" i="40"/>
  <c r="Y126" i="40"/>
  <c r="CT123" i="40"/>
  <c r="T123" i="40"/>
  <c r="CT122" i="40"/>
  <c r="BJ122" i="40"/>
  <c r="AH122" i="40"/>
  <c r="Q122" i="40"/>
  <c r="CT121" i="40"/>
  <c r="CT118" i="40"/>
  <c r="AM118" i="40"/>
  <c r="Q118" i="40"/>
  <c r="AH117" i="40"/>
  <c r="T116" i="40"/>
  <c r="AH246" i="40"/>
  <c r="DN237" i="40"/>
  <c r="AE237" i="40"/>
  <c r="R237" i="40"/>
  <c r="G237" i="40"/>
  <c r="DN119" i="40"/>
  <c r="AM119" i="40"/>
  <c r="P119" i="40"/>
  <c r="BC117" i="40"/>
  <c r="BH117" i="40" s="1"/>
  <c r="P117" i="40"/>
  <c r="Q32" i="40"/>
  <c r="CQ246" i="40"/>
  <c r="AH237" i="40"/>
  <c r="S237" i="40"/>
  <c r="L237" i="40"/>
  <c r="DN235" i="40"/>
  <c r="AE235" i="40"/>
  <c r="R235" i="40"/>
  <c r="G235" i="40"/>
  <c r="CQ240" i="40"/>
  <c r="Q240" i="40"/>
  <c r="AL238" i="40"/>
  <c r="P238" i="40"/>
  <c r="BJ237" i="40"/>
  <c r="AL237" i="40"/>
  <c r="T237" i="40"/>
  <c r="P237" i="40"/>
  <c r="BC235" i="40"/>
  <c r="BH235" i="40" s="1"/>
  <c r="AH235" i="40"/>
  <c r="S235" i="40"/>
  <c r="L235" i="40"/>
  <c r="CT126" i="40"/>
  <c r="AM126" i="40"/>
  <c r="Q126" i="40"/>
  <c r="AE125" i="40"/>
  <c r="T124" i="40"/>
  <c r="CO123" i="40"/>
  <c r="AE123" i="40"/>
  <c r="P123" i="40"/>
  <c r="DB122" i="40"/>
  <c r="CJ122" i="40"/>
  <c r="AV122" i="40"/>
  <c r="AE122" i="40"/>
  <c r="R122" i="40"/>
  <c r="BC120" i="40"/>
  <c r="BH120" i="40" s="1"/>
  <c r="CO119" i="40"/>
  <c r="T119" i="40"/>
  <c r="DN118" i="40"/>
  <c r="CO118" i="40"/>
  <c r="BC118" i="40"/>
  <c r="BH118" i="40" s="1"/>
  <c r="AH118" i="40"/>
  <c r="S118" i="40"/>
  <c r="L118" i="40"/>
  <c r="CT117" i="40"/>
  <c r="AE117" i="40"/>
  <c r="DB116" i="40"/>
  <c r="T56" i="40"/>
  <c r="AL32" i="40"/>
  <c r="AV237" i="40"/>
  <c r="I237" i="40" s="1"/>
  <c r="CQ126" i="40"/>
  <c r="AL126" i="40"/>
  <c r="P126" i="40"/>
  <c r="BJ123" i="40"/>
  <c r="Y123" i="40"/>
  <c r="AV119" i="40"/>
  <c r="Q119" i="40"/>
  <c r="DB118" i="40"/>
  <c r="CJ118" i="40"/>
  <c r="AV118" i="40"/>
  <c r="AE118" i="40"/>
  <c r="R118" i="40"/>
  <c r="BO117" i="40"/>
  <c r="R117" i="40"/>
  <c r="Q56" i="40"/>
  <c r="T32" i="40"/>
  <c r="Q233" i="40"/>
  <c r="DN233" i="40"/>
  <c r="S233" i="40"/>
  <c r="Q127" i="40"/>
  <c r="AH125" i="40"/>
  <c r="CJ124" i="40"/>
  <c r="Y124" i="40"/>
  <c r="L124" i="40"/>
  <c r="AE238" i="40"/>
  <c r="DN236" i="40"/>
  <c r="AE236" i="40"/>
  <c r="R236" i="40"/>
  <c r="G236" i="40"/>
  <c r="AM233" i="40"/>
  <c r="AE232" i="40"/>
  <c r="CJ231" i="40"/>
  <c r="AE231" i="40"/>
  <c r="G231" i="40"/>
  <c r="BC230" i="40"/>
  <c r="BH230" i="40" s="1"/>
  <c r="DN150" i="40"/>
  <c r="CJ150" i="40"/>
  <c r="AL150" i="40"/>
  <c r="S150" i="40"/>
  <c r="G150" i="40"/>
  <c r="AE127" i="40"/>
  <c r="DB126" i="40"/>
  <c r="CJ126" i="40"/>
  <c r="AV126" i="40"/>
  <c r="AE126" i="40"/>
  <c r="R126" i="40"/>
  <c r="G126" i="40"/>
  <c r="BC125" i="40"/>
  <c r="BH125" i="40" s="1"/>
  <c r="P125" i="40"/>
  <c r="CO124" i="40"/>
  <c r="AH124" i="40"/>
  <c r="P124" i="40"/>
  <c r="DN117" i="40"/>
  <c r="CJ117" i="40"/>
  <c r="AL117" i="40"/>
  <c r="S117" i="40"/>
  <c r="CJ233" i="40"/>
  <c r="AL233" i="40"/>
  <c r="G233" i="40"/>
  <c r="Q232" i="40"/>
  <c r="DN238" i="40"/>
  <c r="AV238" i="40"/>
  <c r="I238" i="40" s="1"/>
  <c r="R238" i="40"/>
  <c r="G238" i="40"/>
  <c r="AV236" i="40"/>
  <c r="I236" i="40" s="1"/>
  <c r="CO233" i="40"/>
  <c r="T233" i="40"/>
  <c r="L233" i="40"/>
  <c r="DB231" i="40"/>
  <c r="AV231" i="40"/>
  <c r="I231" i="40" s="1"/>
  <c r="R231" i="40"/>
  <c r="P230" i="40"/>
  <c r="BO247" i="40"/>
  <c r="AL247" i="40"/>
  <c r="AV240" i="40"/>
  <c r="I240" i="40" s="1"/>
  <c r="BC238" i="40"/>
  <c r="BH238" i="40" s="1"/>
  <c r="AH238" i="40"/>
  <c r="S238" i="40"/>
  <c r="BC236" i="40"/>
  <c r="BH236" i="40" s="1"/>
  <c r="AH236" i="40"/>
  <c r="S236" i="40"/>
  <c r="CJ234" i="40"/>
  <c r="AE234" i="40"/>
  <c r="CQ233" i="40"/>
  <c r="BC233" i="40"/>
  <c r="BH233" i="40" s="1"/>
  <c r="Y233" i="40"/>
  <c r="DN231" i="40"/>
  <c r="CO231" i="40"/>
  <c r="BC231" i="40"/>
  <c r="BH231" i="40" s="1"/>
  <c r="AH231" i="40"/>
  <c r="S231" i="40"/>
  <c r="CO230" i="40"/>
  <c r="CO150" i="40"/>
  <c r="AM150" i="40"/>
  <c r="T150" i="40"/>
  <c r="DN126" i="40"/>
  <c r="CO126" i="40"/>
  <c r="BC126" i="40"/>
  <c r="BH126" i="40" s="1"/>
  <c r="AH126" i="40"/>
  <c r="S126" i="40"/>
  <c r="CO125" i="40"/>
  <c r="CQ124" i="40"/>
  <c r="AM124" i="40"/>
  <c r="DN123" i="40"/>
  <c r="BO123" i="40"/>
  <c r="AL123" i="40"/>
  <c r="R123" i="40"/>
  <c r="BO119" i="40"/>
  <c r="CO117" i="40"/>
  <c r="AV117" i="40"/>
  <c r="T117" i="40"/>
  <c r="AM56" i="40"/>
  <c r="AM32" i="40"/>
  <c r="R246" i="40"/>
  <c r="AE246" i="40"/>
  <c r="AV246" i="40"/>
  <c r="I246" i="40" s="1"/>
  <c r="BO246" i="40"/>
  <c r="CT246" i="40"/>
  <c r="L232" i="40"/>
  <c r="S232" i="40"/>
  <c r="AH232" i="40"/>
  <c r="BC232" i="40"/>
  <c r="BH232" i="40" s="1"/>
  <c r="CJ232" i="40"/>
  <c r="DB232" i="40"/>
  <c r="L127" i="40"/>
  <c r="S127" i="40"/>
  <c r="AH127" i="40"/>
  <c r="BC127" i="40"/>
  <c r="BH127" i="40" s="1"/>
  <c r="CJ127" i="40"/>
  <c r="DB127" i="40"/>
  <c r="G121" i="40"/>
  <c r="Q121" i="40"/>
  <c r="Y121" i="40"/>
  <c r="AM121" i="40"/>
  <c r="BJ121" i="40"/>
  <c r="CQ121" i="40"/>
  <c r="L240" i="40"/>
  <c r="S240" i="40"/>
  <c r="AH240" i="40"/>
  <c r="BC240" i="40"/>
  <c r="BH240" i="40" s="1"/>
  <c r="CJ240" i="40"/>
  <c r="DB240" i="40"/>
  <c r="G230" i="40"/>
  <c r="Q230" i="40"/>
  <c r="Y230" i="40"/>
  <c r="AM230" i="40"/>
  <c r="BJ230" i="40"/>
  <c r="CQ230" i="40"/>
  <c r="G125" i="40"/>
  <c r="Q125" i="40"/>
  <c r="Y125" i="40"/>
  <c r="AM125" i="40"/>
  <c r="BJ125" i="40"/>
  <c r="CQ125" i="40"/>
  <c r="R120" i="40"/>
  <c r="AE120" i="40"/>
  <c r="AV120" i="40"/>
  <c r="BO120" i="40"/>
  <c r="CT120" i="40"/>
  <c r="R116" i="40"/>
  <c r="AE116" i="40"/>
  <c r="AV116" i="40"/>
  <c r="BO116" i="40"/>
  <c r="CT116" i="40"/>
  <c r="G116" i="40"/>
  <c r="Q116" i="40"/>
  <c r="Y116" i="40"/>
  <c r="AM116" i="40"/>
  <c r="BJ116" i="40"/>
  <c r="G234" i="40"/>
  <c r="Q234" i="40"/>
  <c r="Y234" i="40"/>
  <c r="AM234" i="40"/>
  <c r="BJ234" i="40"/>
  <c r="CQ234" i="40"/>
  <c r="R124" i="40"/>
  <c r="AE124" i="40"/>
  <c r="AV124" i="40"/>
  <c r="BO124" i="40"/>
  <c r="CT124" i="40"/>
  <c r="L119" i="40"/>
  <c r="S119" i="40"/>
  <c r="AH119" i="40"/>
  <c r="BC119" i="40"/>
  <c r="BH119" i="40" s="1"/>
  <c r="CJ119" i="40"/>
  <c r="DB119" i="40"/>
  <c r="L56" i="40"/>
  <c r="S56" i="40"/>
  <c r="AH56" i="40"/>
  <c r="BC56" i="40"/>
  <c r="BH56" i="40" s="1"/>
  <c r="DN56" i="40"/>
  <c r="R56" i="40"/>
  <c r="AE56" i="40"/>
  <c r="AV56" i="40"/>
  <c r="BO56" i="40"/>
  <c r="L32" i="40"/>
  <c r="S32" i="40"/>
  <c r="AH32" i="40"/>
  <c r="BC32" i="40"/>
  <c r="BH32" i="40" s="1"/>
  <c r="DN32" i="40"/>
  <c r="R32" i="40"/>
  <c r="AE32" i="40"/>
  <c r="AV32" i="40"/>
  <c r="BO32" i="40"/>
  <c r="G247" i="40"/>
  <c r="Q247" i="40"/>
  <c r="Y247" i="40"/>
  <c r="AM247" i="40"/>
  <c r="BJ247" i="40"/>
  <c r="R233" i="40"/>
  <c r="AE233" i="40"/>
  <c r="AV233" i="40"/>
  <c r="I233" i="40" s="1"/>
  <c r="BO233" i="40"/>
  <c r="CT233" i="40"/>
  <c r="R150" i="40"/>
  <c r="AE150" i="40"/>
  <c r="AV150" i="40"/>
  <c r="BO150" i="40"/>
  <c r="CT150" i="40"/>
  <c r="L123" i="40"/>
  <c r="S123" i="40"/>
  <c r="AH123" i="40"/>
  <c r="BC123" i="40"/>
  <c r="BH123" i="40" s="1"/>
  <c r="CJ123" i="40"/>
  <c r="DB123" i="40"/>
  <c r="G117" i="40"/>
  <c r="Q117" i="40"/>
  <c r="Y117" i="40"/>
  <c r="AM117" i="40"/>
  <c r="BJ117" i="40"/>
  <c r="CQ117" i="40"/>
  <c r="DB246" i="40"/>
  <c r="BJ246" i="40"/>
  <c r="AL246" i="40"/>
  <c r="S246" i="40"/>
  <c r="G246" i="40"/>
  <c r="CT232" i="40"/>
  <c r="BJ232" i="40"/>
  <c r="AL232" i="40"/>
  <c r="R232" i="40"/>
  <c r="G232" i="40"/>
  <c r="CT127" i="40"/>
  <c r="BJ127" i="40"/>
  <c r="AL127" i="40"/>
  <c r="R127" i="40"/>
  <c r="G127" i="40"/>
  <c r="DB121" i="40"/>
  <c r="BO121" i="40"/>
  <c r="AL121" i="40"/>
  <c r="S121" i="40"/>
  <c r="DN246" i="40"/>
  <c r="CJ246" i="40"/>
  <c r="AM246" i="40"/>
  <c r="T246" i="40"/>
  <c r="L246" i="40"/>
  <c r="CT240" i="40"/>
  <c r="BJ240" i="40"/>
  <c r="AL240" i="40"/>
  <c r="R240" i="40"/>
  <c r="G240" i="40"/>
  <c r="DN232" i="40"/>
  <c r="BO232" i="40"/>
  <c r="AM232" i="40"/>
  <c r="T232" i="40"/>
  <c r="DB230" i="40"/>
  <c r="BO230" i="40"/>
  <c r="AL230" i="40"/>
  <c r="S230" i="40"/>
  <c r="DN127" i="40"/>
  <c r="BO127" i="40"/>
  <c r="AM127" i="40"/>
  <c r="T127" i="40"/>
  <c r="DB125" i="40"/>
  <c r="BO125" i="40"/>
  <c r="AL125" i="40"/>
  <c r="S125" i="40"/>
  <c r="DN121" i="40"/>
  <c r="CJ121" i="40"/>
  <c r="AV121" i="40"/>
  <c r="T121" i="40"/>
  <c r="L121" i="40"/>
  <c r="DB120" i="40"/>
  <c r="BJ120" i="40"/>
  <c r="AL120" i="40"/>
  <c r="S120" i="40"/>
  <c r="G120" i="40"/>
  <c r="DN116" i="40"/>
  <c r="CJ116" i="40"/>
  <c r="AH116" i="40"/>
  <c r="L116" i="40"/>
  <c r="CO246" i="40"/>
  <c r="BC246" i="40"/>
  <c r="BH246" i="40" s="1"/>
  <c r="Y246" i="40"/>
  <c r="P246" i="40"/>
  <c r="DN240" i="40"/>
  <c r="BO240" i="40"/>
  <c r="AM240" i="40"/>
  <c r="T240" i="40"/>
  <c r="DB234" i="40"/>
  <c r="BO234" i="40"/>
  <c r="AL234" i="40"/>
  <c r="S234" i="40"/>
  <c r="CO232" i="40"/>
  <c r="AV232" i="40"/>
  <c r="I232" i="40" s="1"/>
  <c r="Y232" i="40"/>
  <c r="P232" i="40"/>
  <c r="DN230" i="40"/>
  <c r="CJ230" i="40"/>
  <c r="AV230" i="40"/>
  <c r="I230" i="40" s="1"/>
  <c r="T230" i="40"/>
  <c r="L230" i="40"/>
  <c r="CO127" i="40"/>
  <c r="AV127" i="40"/>
  <c r="Y127" i="40"/>
  <c r="P127" i="40"/>
  <c r="DN125" i="40"/>
  <c r="CJ125" i="40"/>
  <c r="AV125" i="40"/>
  <c r="T125" i="40"/>
  <c r="L125" i="40"/>
  <c r="DB124" i="40"/>
  <c r="BJ124" i="40"/>
  <c r="AL124" i="40"/>
  <c r="S124" i="40"/>
  <c r="G124" i="40"/>
  <c r="CO121" i="40"/>
  <c r="BC121" i="40"/>
  <c r="BH121" i="40" s="1"/>
  <c r="AE121" i="40"/>
  <c r="P121" i="40"/>
  <c r="DN120" i="40"/>
  <c r="CJ120" i="40"/>
  <c r="AM120" i="40"/>
  <c r="T120" i="40"/>
  <c r="L120" i="40"/>
  <c r="CT119" i="40"/>
  <c r="BJ119" i="40"/>
  <c r="AL119" i="40"/>
  <c r="R119" i="40"/>
  <c r="G119" i="40"/>
  <c r="CO116" i="40"/>
  <c r="AL116" i="40"/>
  <c r="P116" i="40"/>
  <c r="BJ56" i="40"/>
  <c r="Y56" i="40"/>
  <c r="G56" i="40"/>
  <c r="BJ32" i="40"/>
  <c r="Y32" i="40"/>
  <c r="G32" i="40"/>
  <c r="F65" i="41"/>
  <c r="R33" i="44"/>
  <c r="I13" i="44"/>
  <c r="G9" i="44"/>
  <c r="Z7" i="41"/>
  <c r="F49" i="35"/>
  <c r="K5" i="45"/>
  <c r="M5" i="45"/>
  <c r="R33" i="41"/>
  <c r="F5" i="43"/>
  <c r="I61" i="46"/>
  <c r="N57" i="46"/>
  <c r="K9" i="46"/>
  <c r="M93" i="41"/>
  <c r="H5" i="35"/>
  <c r="I5" i="43"/>
  <c r="Q7" i="35"/>
  <c r="T7" i="45"/>
  <c r="Q47" i="35"/>
  <c r="X7" i="42"/>
  <c r="L25" i="43"/>
  <c r="N47" i="42"/>
  <c r="L9" i="45"/>
  <c r="I15" i="46"/>
  <c r="L7" i="41"/>
  <c r="H9" i="41"/>
  <c r="J49" i="42"/>
  <c r="K7" i="44"/>
  <c r="G9" i="45"/>
  <c r="G11" i="43"/>
  <c r="R7" i="35"/>
  <c r="O33" i="45"/>
  <c r="I11" i="45"/>
  <c r="I5" i="41"/>
  <c r="H15" i="41"/>
  <c r="F11" i="44"/>
  <c r="P11" i="35"/>
  <c r="F31" i="42"/>
  <c r="N13" i="42"/>
  <c r="N5" i="42"/>
  <c r="K7" i="46"/>
  <c r="O5" i="43"/>
  <c r="F11" i="35"/>
  <c r="K91" i="41"/>
  <c r="I65" i="41"/>
  <c r="J11" i="41"/>
  <c r="N5" i="46"/>
  <c r="N9" i="35"/>
  <c r="W7" i="43"/>
  <c r="F13" i="42"/>
  <c r="L5" i="46"/>
  <c r="W7" i="41"/>
  <c r="Q23" i="35"/>
  <c r="G13" i="35"/>
  <c r="J9" i="44"/>
  <c r="H9" i="44"/>
  <c r="N5" i="35"/>
  <c r="G7" i="42"/>
  <c r="J91" i="41"/>
  <c r="O7" i="42"/>
  <c r="I9" i="42"/>
  <c r="R33" i="45"/>
  <c r="N7" i="45"/>
  <c r="P59" i="45"/>
  <c r="F35" i="41"/>
  <c r="K9" i="43"/>
  <c r="J15" i="41"/>
  <c r="Q33" i="46"/>
  <c r="G87" i="45"/>
  <c r="S33" i="41"/>
  <c r="K5" i="46"/>
  <c r="F13" i="46"/>
  <c r="I15" i="35"/>
  <c r="J5" i="44"/>
  <c r="K11" i="41"/>
  <c r="P87" i="45"/>
  <c r="K7" i="43"/>
  <c r="F35" i="45"/>
  <c r="I5" i="44"/>
  <c r="P33" i="46"/>
  <c r="J7" i="45"/>
  <c r="L17" i="45"/>
  <c r="K11" i="46"/>
  <c r="I11" i="46"/>
  <c r="I13" i="35"/>
  <c r="U7" i="42"/>
  <c r="G61" i="44"/>
  <c r="J13" i="44"/>
  <c r="O47" i="35"/>
  <c r="S23" i="35"/>
  <c r="Q7" i="46"/>
  <c r="H13" i="45"/>
  <c r="L13" i="44"/>
  <c r="M11" i="35"/>
  <c r="Y7" i="35"/>
  <c r="N29" i="42"/>
  <c r="X7" i="46"/>
  <c r="T7" i="42"/>
  <c r="O13" i="35"/>
  <c r="G15" i="44"/>
  <c r="H11" i="35"/>
  <c r="BB59" i="45"/>
  <c r="N25" i="43"/>
  <c r="M5" i="41"/>
  <c r="J5" i="45"/>
  <c r="F7" i="35"/>
  <c r="M33" i="41"/>
  <c r="M7" i="45"/>
  <c r="H7" i="35"/>
  <c r="L17" i="44"/>
  <c r="G9" i="43"/>
  <c r="G35" i="46"/>
  <c r="H9" i="46"/>
  <c r="N9" i="41"/>
  <c r="K9" i="41"/>
  <c r="F13" i="41"/>
  <c r="R7" i="46"/>
  <c r="F45" i="46"/>
  <c r="N13" i="45"/>
  <c r="F5" i="45"/>
  <c r="Y7" i="41"/>
  <c r="F45" i="44"/>
  <c r="I7" i="35"/>
  <c r="H9" i="35"/>
  <c r="G35" i="41"/>
  <c r="U33" i="45"/>
  <c r="S7" i="44"/>
  <c r="P25" i="43"/>
  <c r="M9" i="35"/>
  <c r="O33" i="44"/>
  <c r="G35" i="45"/>
  <c r="I11" i="35"/>
  <c r="O27" i="35"/>
  <c r="I15" i="44"/>
  <c r="L7" i="43"/>
  <c r="F11" i="43"/>
  <c r="K11" i="35"/>
  <c r="W7" i="35"/>
  <c r="I13" i="45"/>
  <c r="M11" i="41"/>
  <c r="H5" i="45"/>
  <c r="I9" i="44"/>
  <c r="F13" i="43"/>
  <c r="M13" i="45"/>
  <c r="H15" i="42"/>
  <c r="G31" i="42"/>
  <c r="G61" i="45"/>
  <c r="I7" i="41"/>
  <c r="V63" i="41"/>
  <c r="O13" i="45"/>
  <c r="Q33" i="44"/>
  <c r="K9" i="44"/>
  <c r="Y7" i="46"/>
  <c r="F15" i="41"/>
  <c r="Z7" i="35"/>
  <c r="I11" i="42"/>
  <c r="P11" i="41"/>
  <c r="N5" i="45"/>
  <c r="R7" i="42"/>
  <c r="L17" i="43"/>
  <c r="G13" i="42"/>
  <c r="F5" i="46"/>
  <c r="F11" i="46"/>
  <c r="J11" i="43"/>
  <c r="I9" i="35"/>
  <c r="R25" i="43"/>
  <c r="Q33" i="45"/>
  <c r="I7" i="43"/>
  <c r="F15" i="43"/>
  <c r="M63" i="44"/>
  <c r="G15" i="43"/>
  <c r="F9" i="41"/>
  <c r="P7" i="46"/>
  <c r="M7" i="46"/>
  <c r="J5" i="46"/>
  <c r="P7" i="43"/>
  <c r="N13" i="35"/>
  <c r="H11" i="45"/>
  <c r="I5" i="35"/>
  <c r="F9" i="46"/>
  <c r="G15" i="45"/>
  <c r="O7" i="41"/>
  <c r="J11" i="35"/>
  <c r="V7" i="44"/>
  <c r="J13" i="41"/>
  <c r="R33" i="46"/>
  <c r="H15" i="35"/>
  <c r="N13" i="41"/>
  <c r="R29" i="42"/>
  <c r="H49" i="35"/>
  <c r="Q25" i="43"/>
  <c r="I13" i="46"/>
  <c r="J13" i="46"/>
  <c r="L7" i="42"/>
  <c r="S7" i="46"/>
  <c r="L9" i="35"/>
  <c r="F45" i="45"/>
  <c r="H11" i="41"/>
  <c r="U7" i="43"/>
  <c r="BB47" i="35"/>
  <c r="H33" i="43"/>
  <c r="Y7" i="42"/>
  <c r="L17" i="42"/>
  <c r="K13" i="42"/>
  <c r="J15" i="35"/>
  <c r="F9" i="44"/>
  <c r="X7" i="45"/>
  <c r="Q7" i="43"/>
  <c r="K13" i="45"/>
  <c r="F7" i="41"/>
  <c r="G9" i="35"/>
  <c r="G11" i="45"/>
  <c r="K11" i="44"/>
  <c r="L9" i="41"/>
  <c r="X7" i="43"/>
  <c r="P23" i="35"/>
  <c r="V7" i="46"/>
  <c r="I49" i="35"/>
  <c r="M5" i="46"/>
  <c r="G11" i="41"/>
  <c r="I9" i="41"/>
  <c r="I15" i="42"/>
  <c r="J9" i="35"/>
  <c r="F7" i="45"/>
  <c r="Y7" i="45"/>
  <c r="M9" i="41"/>
  <c r="F35" i="46"/>
  <c r="M5" i="35"/>
  <c r="G13" i="44"/>
  <c r="O13" i="41"/>
  <c r="O7" i="35"/>
  <c r="U7" i="45"/>
  <c r="X7" i="44"/>
  <c r="G11" i="42"/>
  <c r="H13" i="35"/>
  <c r="J5" i="41"/>
  <c r="F13" i="44"/>
  <c r="M7" i="44"/>
  <c r="L11" i="35"/>
  <c r="F9" i="45"/>
  <c r="K5" i="44"/>
  <c r="F15" i="45"/>
  <c r="H5" i="44"/>
  <c r="S7" i="41"/>
  <c r="R23" i="35"/>
  <c r="K43" i="46"/>
  <c r="N7" i="42"/>
  <c r="M43" i="35"/>
  <c r="I13" i="41"/>
  <c r="K13" i="41"/>
  <c r="N31" i="43"/>
  <c r="G9" i="41"/>
  <c r="O59" i="45"/>
  <c r="W7" i="46"/>
  <c r="H15" i="45"/>
  <c r="J43" i="35"/>
  <c r="F5" i="41"/>
  <c r="P69" i="35"/>
  <c r="F35" i="44"/>
  <c r="M25" i="43"/>
  <c r="G15" i="41"/>
  <c r="N11" i="35"/>
  <c r="J7" i="46"/>
  <c r="L17" i="35"/>
  <c r="K61" i="46"/>
  <c r="L13" i="43"/>
  <c r="L7" i="46"/>
  <c r="O87" i="45"/>
  <c r="K13" i="43"/>
  <c r="X7" i="35"/>
  <c r="H11" i="44"/>
  <c r="F7" i="46"/>
  <c r="L5" i="45"/>
  <c r="H9" i="42"/>
  <c r="J13" i="45"/>
  <c r="K61" i="44"/>
  <c r="G33" i="43"/>
  <c r="F13" i="45"/>
  <c r="M13" i="44"/>
  <c r="G11" i="44"/>
  <c r="X7" i="41"/>
  <c r="K43" i="41"/>
  <c r="J7" i="44"/>
  <c r="I7" i="46"/>
  <c r="K69" i="35"/>
  <c r="G35" i="44"/>
  <c r="Y7" i="43"/>
  <c r="Q33" i="41"/>
  <c r="S7" i="43"/>
  <c r="J13" i="35"/>
  <c r="I11" i="44"/>
  <c r="J5" i="43"/>
  <c r="I13" i="43"/>
  <c r="H91" i="41"/>
  <c r="H65" i="41"/>
  <c r="N7" i="43"/>
  <c r="H7" i="44"/>
  <c r="Z7" i="45"/>
  <c r="H7" i="42"/>
  <c r="K5" i="35"/>
  <c r="I61" i="45"/>
  <c r="H49" i="42"/>
  <c r="H61" i="46"/>
  <c r="S7" i="45"/>
  <c r="Q7" i="45"/>
  <c r="R7" i="45"/>
  <c r="Y19" i="35"/>
  <c r="F61" i="46"/>
  <c r="O11" i="35"/>
  <c r="F9" i="42"/>
  <c r="H61" i="44"/>
  <c r="I9" i="45"/>
  <c r="F5" i="42"/>
  <c r="P7" i="41"/>
  <c r="F15" i="42"/>
  <c r="I13" i="42"/>
  <c r="K7" i="42"/>
  <c r="P29" i="42"/>
  <c r="N7" i="41"/>
  <c r="I15" i="41"/>
  <c r="Q63" i="41"/>
  <c r="I61" i="44"/>
  <c r="G15" i="35"/>
  <c r="J7" i="42"/>
  <c r="N5" i="44"/>
  <c r="J87" i="45"/>
  <c r="H15" i="44"/>
  <c r="AG21" i="35"/>
  <c r="K9" i="45"/>
  <c r="F33" i="43"/>
  <c r="M29" i="42"/>
  <c r="F11" i="41"/>
  <c r="N83" i="45"/>
  <c r="F69" i="35"/>
  <c r="R47" i="35"/>
  <c r="M13" i="41"/>
  <c r="G9" i="42"/>
  <c r="F13" i="35"/>
  <c r="N7" i="44"/>
  <c r="I11" i="43"/>
  <c r="I69" i="35"/>
  <c r="R7" i="44"/>
  <c r="N5" i="43"/>
  <c r="N11" i="41"/>
  <c r="AB21" i="35"/>
  <c r="W7" i="45"/>
  <c r="H13" i="46"/>
  <c r="G13" i="41"/>
  <c r="J7" i="43"/>
  <c r="N13" i="44"/>
  <c r="S29" i="42"/>
  <c r="AI19" i="35"/>
  <c r="M89" i="45"/>
  <c r="L11" i="41"/>
  <c r="M5" i="42"/>
  <c r="G13" i="43"/>
  <c r="H7" i="41"/>
  <c r="P47" i="35"/>
  <c r="G7" i="44"/>
  <c r="Q59" i="45"/>
  <c r="G11" i="35"/>
  <c r="R63" i="41"/>
  <c r="I11" i="41"/>
  <c r="F15" i="44"/>
  <c r="U7" i="46"/>
  <c r="O11" i="45"/>
  <c r="U7" i="41"/>
  <c r="K33" i="43"/>
  <c r="G15" i="46"/>
  <c r="M7" i="42"/>
  <c r="V7" i="41"/>
  <c r="G25" i="35"/>
  <c r="M13" i="46"/>
  <c r="T33" i="45"/>
  <c r="J9" i="43"/>
  <c r="L5" i="44"/>
  <c r="V7" i="43"/>
  <c r="M7" i="35"/>
  <c r="L13" i="35"/>
  <c r="F91" i="41"/>
  <c r="T7" i="44"/>
  <c r="L13" i="46"/>
  <c r="G45" i="35"/>
  <c r="F5" i="35"/>
  <c r="F25" i="35"/>
  <c r="T7" i="35"/>
  <c r="T7" i="46"/>
  <c r="G69" i="35"/>
  <c r="G15" i="42"/>
  <c r="J7" i="41"/>
  <c r="J11" i="44"/>
  <c r="I91" i="41"/>
  <c r="F15" i="46"/>
  <c r="H61" i="45"/>
  <c r="O33" i="41"/>
  <c r="S7" i="35"/>
  <c r="H13" i="43"/>
  <c r="G61" i="46"/>
  <c r="P63" i="41"/>
  <c r="H13" i="42"/>
  <c r="M7" i="43"/>
  <c r="F11" i="45"/>
  <c r="M9" i="45"/>
  <c r="K43" i="44"/>
  <c r="O23" i="35"/>
  <c r="I5" i="46"/>
  <c r="N33" i="44"/>
  <c r="N13" i="46"/>
  <c r="G91" i="41"/>
  <c r="U7" i="44"/>
  <c r="P33" i="41"/>
  <c r="W7" i="42"/>
  <c r="G49" i="35"/>
  <c r="L13" i="41"/>
  <c r="R7" i="41"/>
  <c r="K49" i="42"/>
  <c r="L17" i="41"/>
  <c r="P7" i="45"/>
  <c r="F7" i="42"/>
  <c r="S33" i="46"/>
  <c r="F41" i="42"/>
  <c r="M5" i="43"/>
  <c r="I7" i="45"/>
  <c r="F9" i="35"/>
  <c r="N67" i="35"/>
  <c r="T7" i="43"/>
  <c r="Q29" i="42"/>
  <c r="H15" i="43"/>
  <c r="L7" i="44"/>
  <c r="K13" i="46"/>
  <c r="K11" i="43"/>
  <c r="O7" i="45"/>
  <c r="O29" i="42"/>
  <c r="J11" i="45"/>
  <c r="J9" i="41"/>
  <c r="M11" i="45"/>
  <c r="Q7" i="42"/>
  <c r="K11" i="42"/>
  <c r="J9" i="45"/>
  <c r="K9" i="35"/>
  <c r="F7" i="43"/>
  <c r="L11" i="46"/>
  <c r="K35" i="35"/>
  <c r="P7" i="35"/>
  <c r="H5" i="46"/>
  <c r="F15" i="35"/>
  <c r="G9" i="46"/>
  <c r="J5" i="35"/>
  <c r="V7" i="35"/>
  <c r="K13" i="35"/>
  <c r="L11" i="43"/>
  <c r="K5" i="43"/>
  <c r="N57" i="44"/>
  <c r="P11" i="45"/>
  <c r="M63" i="46"/>
  <c r="K13" i="44"/>
  <c r="J11" i="46"/>
  <c r="M35" i="43"/>
  <c r="G65" i="41"/>
  <c r="Q7" i="44"/>
  <c r="J11" i="42"/>
  <c r="G49" i="42"/>
  <c r="P7" i="42"/>
  <c r="I9" i="43"/>
  <c r="J69" i="35"/>
  <c r="H13" i="41"/>
  <c r="O7" i="44"/>
  <c r="V7" i="42"/>
  <c r="O63" i="41"/>
  <c r="H9" i="43"/>
  <c r="N5" i="41"/>
  <c r="K5" i="42"/>
  <c r="I15" i="43"/>
  <c r="N13" i="43"/>
  <c r="L11" i="42"/>
  <c r="K9" i="42"/>
  <c r="F49" i="42"/>
  <c r="J9" i="42"/>
  <c r="H5" i="41"/>
  <c r="L87" i="45"/>
  <c r="T23" i="35"/>
  <c r="I9" i="46"/>
  <c r="L11" i="45"/>
  <c r="G57" i="41"/>
  <c r="F61" i="44"/>
  <c r="K5" i="41"/>
  <c r="N11" i="45"/>
  <c r="J61" i="46"/>
  <c r="I7" i="42"/>
  <c r="S7" i="42"/>
  <c r="O69" i="35"/>
  <c r="W7" i="44"/>
  <c r="K7" i="41"/>
  <c r="X19" i="35"/>
  <c r="J13" i="43"/>
  <c r="I15" i="45"/>
  <c r="H13" i="44"/>
  <c r="F11" i="42"/>
  <c r="L17" i="46"/>
  <c r="N7" i="35"/>
  <c r="BB63" i="41"/>
  <c r="N63" i="41"/>
  <c r="M13" i="43"/>
  <c r="I33" i="43"/>
  <c r="J15" i="45"/>
  <c r="N47" i="35"/>
  <c r="L5" i="35"/>
  <c r="R59" i="45"/>
  <c r="L13" i="42"/>
  <c r="H15" i="46"/>
  <c r="O7" i="43"/>
  <c r="V7" i="45"/>
  <c r="L5" i="41"/>
  <c r="U7" i="35"/>
  <c r="V47" i="35"/>
  <c r="H87" i="45"/>
  <c r="O91" i="41"/>
  <c r="O25" i="43"/>
  <c r="H7" i="46"/>
  <c r="F61" i="45"/>
  <c r="M33" i="46"/>
  <c r="H11" i="43"/>
  <c r="I87" i="45"/>
  <c r="J9" i="46"/>
  <c r="G7" i="45"/>
  <c r="V59" i="45"/>
  <c r="S43" i="35"/>
  <c r="K7" i="35"/>
  <c r="T7" i="41"/>
  <c r="I49" i="42"/>
  <c r="N59" i="45"/>
  <c r="H69" i="35"/>
  <c r="J13" i="42"/>
  <c r="P7" i="44"/>
  <c r="I5" i="42"/>
  <c r="H11" i="42"/>
  <c r="S33" i="45"/>
  <c r="F9" i="43"/>
  <c r="M5" i="44"/>
  <c r="L13" i="45"/>
  <c r="H7" i="45"/>
  <c r="P91" i="41"/>
  <c r="M33" i="44"/>
  <c r="J7" i="35"/>
  <c r="F45" i="41"/>
  <c r="Q7" i="41"/>
  <c r="H11" i="46"/>
  <c r="F7" i="44"/>
  <c r="L5" i="43"/>
  <c r="O7" i="46"/>
  <c r="O11" i="41"/>
  <c r="K7" i="45"/>
  <c r="H7" i="43"/>
  <c r="G7" i="41"/>
  <c r="R7" i="43"/>
  <c r="G13" i="46"/>
  <c r="L7" i="45"/>
  <c r="I5" i="45"/>
  <c r="M13" i="35"/>
  <c r="J61" i="44"/>
  <c r="J5" i="42"/>
  <c r="K11" i="45"/>
  <c r="I7" i="44"/>
  <c r="L7" i="35"/>
  <c r="G53" i="45"/>
  <c r="O33" i="46"/>
  <c r="G7" i="46"/>
  <c r="K87" i="45"/>
  <c r="G7" i="43"/>
  <c r="F5" i="44"/>
  <c r="P43" i="35"/>
  <c r="G11" i="46"/>
  <c r="G7" i="35"/>
  <c r="N23" i="35"/>
  <c r="F87" i="45"/>
  <c r="N87" i="41"/>
  <c r="L11" i="44"/>
  <c r="M13" i="42"/>
  <c r="K43" i="45"/>
  <c r="O5" i="42"/>
  <c r="M7" i="41"/>
  <c r="L33" i="44"/>
  <c r="L5" i="42"/>
  <c r="N9" i="45"/>
  <c r="P33" i="44"/>
  <c r="N7" i="46"/>
  <c r="H9" i="45"/>
  <c r="J33" i="43"/>
  <c r="Y7" i="44"/>
  <c r="G13" i="45"/>
  <c r="F67" i="45" l="1"/>
  <c r="R87" i="45" s="1"/>
  <c r="F71" i="41"/>
  <c r="R91" i="41" s="1"/>
  <c r="F57" i="35"/>
  <c r="R69" i="35" s="1"/>
  <c r="P5" i="42"/>
  <c r="O5" i="46"/>
  <c r="O5" i="41"/>
  <c r="O5" i="45"/>
  <c r="O5" i="35"/>
  <c r="P5" i="43"/>
  <c r="O5"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17" authorId="0" shapeId="0" xr:uid="{00000000-0006-0000-0200-000001000000}">
      <text>
        <r>
          <rPr>
            <b/>
            <sz val="9"/>
            <color indexed="81"/>
            <rFont val="Tahoma"/>
            <family val="2"/>
          </rPr>
          <t>Arnab Roy:</t>
        </r>
        <r>
          <rPr>
            <sz val="9"/>
            <color indexed="81"/>
            <rFont val="Tahoma"/>
            <family val="2"/>
          </rPr>
          <t xml:space="preserve">
Initial Risk (New Risk Id) Capture -  not required</t>
        </r>
      </text>
    </comment>
    <comment ref="B19" authorId="0" shapeId="0" xr:uid="{00000000-0006-0000-0200-000002000000}">
      <text>
        <r>
          <rPr>
            <b/>
            <sz val="9"/>
            <color indexed="81"/>
            <rFont val="Tahoma"/>
            <family val="2"/>
          </rPr>
          <t>Arnab Roy:</t>
        </r>
        <r>
          <rPr>
            <sz val="9"/>
            <color indexed="81"/>
            <rFont val="Tahoma"/>
            <family val="2"/>
          </rPr>
          <t xml:space="preserve">
Risk Assessment only Pass is enough. All risk capture not required.</t>
        </r>
      </text>
    </comment>
    <comment ref="B21" authorId="0" shapeId="0" xr:uid="{00000000-0006-0000-0200-000003000000}">
      <text>
        <r>
          <rPr>
            <b/>
            <sz val="9"/>
            <color indexed="81"/>
            <rFont val="Tahoma"/>
            <family val="2"/>
          </rPr>
          <t>Arnab Roy:</t>
        </r>
        <r>
          <rPr>
            <sz val="9"/>
            <color indexed="81"/>
            <rFont val="Tahoma"/>
            <family val="2"/>
          </rPr>
          <t xml:space="preserve">
Risk Assessment only Pass is enough. All risk capture not required.</t>
        </r>
      </text>
    </comment>
    <comment ref="B23" authorId="0" shapeId="0" xr:uid="{00000000-0006-0000-0200-000004000000}">
      <text>
        <r>
          <rPr>
            <b/>
            <sz val="9"/>
            <color indexed="81"/>
            <rFont val="Tahoma"/>
            <family val="2"/>
          </rPr>
          <t>Arnab Roy:</t>
        </r>
        <r>
          <rPr>
            <sz val="9"/>
            <color indexed="81"/>
            <rFont val="Tahoma"/>
            <family val="2"/>
          </rPr>
          <t xml:space="preserve">
Risk Assessment only Pass is enough. All risk capture not required.</t>
        </r>
      </text>
    </comment>
    <comment ref="B25" authorId="0" shapeId="0" xr:uid="{00000000-0006-0000-0200-000005000000}">
      <text>
        <r>
          <rPr>
            <b/>
            <sz val="9"/>
            <color indexed="81"/>
            <rFont val="Tahoma"/>
            <family val="2"/>
          </rPr>
          <t>Arnab Roy:</t>
        </r>
        <r>
          <rPr>
            <sz val="9"/>
            <color indexed="81"/>
            <rFont val="Tahoma"/>
            <family val="2"/>
          </rPr>
          <t xml:space="preserve">
Polarity check only Pass will do</t>
        </r>
      </text>
    </comment>
    <comment ref="B27" authorId="0" shapeId="0" xr:uid="{00000000-0006-0000-0200-00000600000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27" authorId="0" shapeId="0" xr:uid="{00000000-0006-0000-0400-000001000000}">
      <text>
        <r>
          <rPr>
            <b/>
            <sz val="9"/>
            <color indexed="81"/>
            <rFont val="Tahoma"/>
            <family val="2"/>
          </rPr>
          <t>Arnab Roy:</t>
        </r>
        <r>
          <rPr>
            <sz val="9"/>
            <color indexed="81"/>
            <rFont val="Tahoma"/>
            <family val="2"/>
          </rPr>
          <t xml:space="preserve">
Polarity check only Pass will do</t>
        </r>
      </text>
    </comment>
    <comment ref="B29" authorId="0" shapeId="0" xr:uid="{00000000-0006-0000-0400-00000200000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27" authorId="0" shapeId="0" xr:uid="{00000000-0006-0000-0500-000001000000}">
      <text>
        <r>
          <rPr>
            <b/>
            <sz val="9"/>
            <color indexed="81"/>
            <rFont val="Tahoma"/>
            <family val="2"/>
          </rPr>
          <t>Arnab Roy:</t>
        </r>
        <r>
          <rPr>
            <sz val="9"/>
            <color indexed="81"/>
            <rFont val="Tahoma"/>
            <family val="2"/>
          </rPr>
          <t xml:space="preserve">
Polarity check only Pass will do</t>
        </r>
      </text>
    </comment>
    <comment ref="B29" authorId="0" shapeId="0" xr:uid="{00000000-0006-0000-0500-00000200000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27" authorId="0" shapeId="0" xr:uid="{00000000-0006-0000-0600-000001000000}">
      <text>
        <r>
          <rPr>
            <b/>
            <sz val="9"/>
            <color indexed="81"/>
            <rFont val="Tahoma"/>
            <family val="2"/>
          </rPr>
          <t>Arnab Roy:</t>
        </r>
        <r>
          <rPr>
            <sz val="9"/>
            <color indexed="81"/>
            <rFont val="Tahoma"/>
            <family val="2"/>
          </rPr>
          <t xml:space="preserve">
Polarity check only Pass will do</t>
        </r>
      </text>
    </comment>
    <comment ref="B29" authorId="0" shapeId="0" xr:uid="{00000000-0006-0000-0600-000002000000}">
      <text>
        <r>
          <rPr>
            <b/>
            <sz val="9"/>
            <color indexed="81"/>
            <rFont val="Tahoma"/>
            <family val="2"/>
          </rPr>
          <t>Arnab Roy:</t>
        </r>
        <r>
          <rPr>
            <sz val="9"/>
            <color indexed="81"/>
            <rFont val="Tahoma"/>
            <family val="2"/>
          </rPr>
          <t xml:space="preserve">
Polarity check only Pass will do</t>
        </r>
      </text>
    </comment>
    <comment ref="B51" authorId="0" shapeId="0" xr:uid="{00000000-0006-0000-0600-000003000000}">
      <text>
        <r>
          <rPr>
            <b/>
            <sz val="9"/>
            <color indexed="81"/>
            <rFont val="Tahoma"/>
            <family val="2"/>
          </rPr>
          <t>Arnab Roy:</t>
        </r>
        <r>
          <rPr>
            <sz val="9"/>
            <color indexed="81"/>
            <rFont val="Tahoma"/>
            <family val="2"/>
          </rPr>
          <t xml:space="preserve">
Risk Assessment only Pass is enough. All risk capture not required.</t>
        </r>
      </text>
    </comment>
    <comment ref="B53" authorId="0" shapeId="0" xr:uid="{00000000-0006-0000-0600-00000400000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29" authorId="0" shapeId="0" xr:uid="{00000000-0006-0000-0700-000001000000}">
      <text>
        <r>
          <rPr>
            <b/>
            <sz val="9"/>
            <color indexed="81"/>
            <rFont val="Tahoma"/>
            <family val="2"/>
          </rPr>
          <t>Arnab Roy:</t>
        </r>
        <r>
          <rPr>
            <sz val="9"/>
            <color indexed="81"/>
            <rFont val="Tahoma"/>
            <family val="2"/>
          </rPr>
          <t xml:space="preserve">
Polarity check only Pass will do</t>
        </r>
      </text>
    </comment>
    <comment ref="B31" authorId="0" shapeId="0" xr:uid="{00000000-0006-0000-0700-000002000000}">
      <text>
        <r>
          <rPr>
            <b/>
            <sz val="9"/>
            <color indexed="81"/>
            <rFont val="Tahoma"/>
            <family val="2"/>
          </rPr>
          <t>Arnab Roy:</t>
        </r>
        <r>
          <rPr>
            <sz val="9"/>
            <color indexed="81"/>
            <rFont val="Tahoma"/>
            <family val="2"/>
          </rPr>
          <t xml:space="preserve">
Polarity check only Pass will do</t>
        </r>
      </text>
    </comment>
    <comment ref="B51" authorId="0" shapeId="0" xr:uid="{00000000-0006-0000-0700-000003000000}">
      <text>
        <r>
          <rPr>
            <b/>
            <sz val="9"/>
            <color indexed="81"/>
            <rFont val="Tahoma"/>
            <family val="2"/>
          </rPr>
          <t>Arnab Roy:</t>
        </r>
        <r>
          <rPr>
            <sz val="9"/>
            <color indexed="81"/>
            <rFont val="Tahoma"/>
            <family val="2"/>
          </rPr>
          <t xml:space="preserve">
Risk Assessment only Pass is enough. All risk capture not required.</t>
        </r>
      </text>
    </comment>
    <comment ref="B57" authorId="0" shapeId="0" xr:uid="{00000000-0006-0000-0700-00000400000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Arnab Roy</author>
  </authors>
  <commentList>
    <comment ref="B17" authorId="0" shapeId="0" xr:uid="{00000000-0006-0000-0800-000001000000}">
      <text>
        <r>
          <rPr>
            <b/>
            <sz val="9"/>
            <color indexed="81"/>
            <rFont val="Tahoma"/>
            <family val="2"/>
          </rPr>
          <t>Arnab Roy:</t>
        </r>
        <r>
          <rPr>
            <sz val="9"/>
            <color indexed="81"/>
            <rFont val="Tahoma"/>
            <family val="2"/>
          </rPr>
          <t xml:space="preserve">
Initial Risk (New Risk Id) Capture -  not required</t>
        </r>
      </text>
    </comment>
    <comment ref="B19" authorId="0" shapeId="0" xr:uid="{00000000-0006-0000-0800-000002000000}">
      <text>
        <r>
          <rPr>
            <b/>
            <sz val="9"/>
            <color indexed="81"/>
            <rFont val="Tahoma"/>
            <family val="2"/>
          </rPr>
          <t>Arnab Roy:</t>
        </r>
        <r>
          <rPr>
            <sz val="9"/>
            <color indexed="81"/>
            <rFont val="Tahoma"/>
            <family val="2"/>
          </rPr>
          <t xml:space="preserve">
Risk Assessment only Pass is enough. All risk capture not required.</t>
        </r>
      </text>
    </comment>
    <comment ref="B21" authorId="0" shapeId="0" xr:uid="{00000000-0006-0000-0800-000003000000}">
      <text>
        <r>
          <rPr>
            <b/>
            <sz val="9"/>
            <color indexed="81"/>
            <rFont val="Tahoma"/>
            <family val="2"/>
          </rPr>
          <t>Arnab Roy:</t>
        </r>
        <r>
          <rPr>
            <sz val="9"/>
            <color indexed="81"/>
            <rFont val="Tahoma"/>
            <family val="2"/>
          </rPr>
          <t xml:space="preserve">
Polarity check only Pass will do</t>
        </r>
      </text>
    </comment>
    <comment ref="B43" authorId="0" shapeId="0" xr:uid="{00000000-0006-0000-0800-000004000000}">
      <text>
        <r>
          <rPr>
            <b/>
            <sz val="9"/>
            <color indexed="81"/>
            <rFont val="Tahoma"/>
            <family val="2"/>
          </rPr>
          <t>Arnab Roy:</t>
        </r>
        <r>
          <rPr>
            <sz val="9"/>
            <color indexed="81"/>
            <rFont val="Tahoma"/>
            <family val="2"/>
          </rPr>
          <t xml:space="preserve">
Risk Assessment only Pass is enough. All risk capture not required.</t>
        </r>
      </text>
    </comment>
    <comment ref="B45" authorId="0" shapeId="0" xr:uid="{00000000-0006-0000-0800-00000500000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<sst xmlns="http://schemas.openxmlformats.org/spreadsheetml/2006/main" count="18909" uniqueCount="1168">
  <si>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</si>
  <si>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</si>
  <si>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</si>
  <si>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</si>
  <si>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</si>
  <si>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</si>
  <si>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</si>
  <si>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</si>
  <si>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</si>
  <si>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</si>
  <si>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</si>
  <si>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</si>
  <si>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</si>
  <si>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</si>
  <si>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</si>
  <si>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</si>
  <si>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</si>
  <si>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</si>
  <si>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</si>
  <si>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</si>
  <si>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</si>
  <si>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</si>
  <si>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</si>
  <si>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</si>
  <si>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</si>
  <si>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</si>
  <si>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</si>
  <si>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</si>
  <si>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</si>
  <si>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</si>
  <si>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</si>
  <si>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</si>
  <si>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</si>
  <si>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</si>
  <si>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</si>
  <si>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</si>
  <si>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</si>
  <si>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</si>
  <si>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</si>
  <si>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</si>
  <si>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</si>
  <si>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</si>
  <si>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</si>
  <si>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</si>
  <si>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</si>
  <si>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</si>
  <si>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</si>
  <si>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</si>
  <si>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</si>
  <si>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</si>
  <si>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</si>
  <si>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</si>
  <si>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</si>
  <si>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</si>
  <si>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</si>
  <si>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</si>
  <si>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</si>
  <si>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</si>
  <si>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</si>
  <si>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</si>
  <si>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</si>
  <si>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</si>
  <si>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</si>
  <si>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</si>
  <si>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</si>
  <si>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</si>
  <si>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</si>
  <si>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</si>
  <si>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</si>
  <si>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</si>
  <si>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</si>
  <si>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</si>
  <si>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</si>
  <si>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</si>
  <si>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</si>
  <si>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</si>
  <si>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</si>
  <si>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</si>
  <si>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</si>
  <si>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</si>
  <si>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</si>
  <si>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</si>
  <si>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</si>
  <si>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</si>
  <si>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</si>
  <si>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</si>
  <si>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</si>
  <si>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</si>
  <si>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</si>
  <si>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</si>
  <si>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</si>
  <si>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</si>
  <si>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</si>
  <si>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</si>
  <si>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</si>
  <si>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</si>
  <si>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</si>
  <si>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</si>
  <si>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</si>
  <si>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</si>
  <si>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</si>
  <si>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</si>
  <si>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</si>
  <si>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</si>
  <si>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</si>
  <si>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</si>
  <si>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</si>
  <si>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</si>
  <si>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</si>
  <si>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</si>
  <si>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</si>
  <si>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</si>
  <si>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</si>
  <si>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</si>
  <si>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</si>
  <si>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</si>
  <si>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</si>
  <si>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</si>
  <si>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</si>
  <si>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</si>
  <si>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</si>
  <si>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</si>
  <si>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</si>
  <si>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</si>
  <si>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</si>
  <si>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</si>
  <si>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</si>
  <si>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</si>
  <si>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</si>
  <si>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</si>
  <si>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</si>
  <si>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</si>
  <si>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</si>
  <si>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</si>
  <si>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</si>
  <si>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</si>
  <si>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</si>
  <si>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</si>
  <si>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</si>
  <si>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</si>
  <si>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</si>
  <si>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</si>
  <si>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</si>
  <si>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</si>
  <si>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</si>
  <si>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</si>
  <si>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</si>
  <si>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</si>
  <si>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</si>
  <si>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</si>
  <si>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</si>
  <si>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</si>
  <si>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</si>
  <si>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</si>
  <si>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</si>
  <si>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</si>
  <si>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</si>
  <si>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</si>
  <si>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</si>
  <si>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</si>
  <si>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</si>
  <si>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</si>
  <si>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</si>
  <si>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</si>
  <si>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</si>
  <si>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</si>
  <si>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</si>
  <si>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</si>
  <si>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</si>
  <si>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</si>
  <si>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</si>
  <si>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</si>
  <si>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</si>
  <si>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</si>
  <si>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</si>
  <si>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</si>
  <si>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</si>
  <si>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</si>
  <si>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</si>
  <si>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</si>
  <si>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</si>
  <si>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</si>
  <si>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</si>
  <si>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</si>
  <si>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</si>
  <si>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</si>
  <si>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</si>
  <si>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</si>
  <si>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</si>
  <si>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</si>
  <si>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</si>
  <si>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</si>
  <si>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</si>
  <si>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</si>
  <si>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</si>
  <si>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</si>
  <si>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</si>
  <si>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</si>
  <si>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</si>
  <si>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</si>
  <si>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</si>
  <si>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</si>
  <si>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</si>
  <si>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</si>
  <si>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</si>
  <si>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</si>
  <si>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</si>
  <si>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</si>
  <si>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</si>
  <si>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</si>
  <si>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</si>
  <si>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</si>
  <si>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</si>
  <si>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</si>
  <si>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</si>
  <si>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</si>
  <si>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</si>
  <si>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</si>
  <si>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</si>
  <si>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</si>
  <si>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</si>
  <si>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</si>
  <si>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</si>
  <si>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</si>
  <si>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</si>
  <si>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</si>
  <si>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</si>
  <si>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</si>
  <si>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</si>
  <si>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</si>
  <si>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</si>
  <si>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</si>
  <si>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</si>
  <si>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</si>
  <si>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</si>
  <si>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</si>
  <si>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</si>
  <si>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</si>
  <si>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</si>
  <si>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</si>
  <si>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</si>
  <si>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</si>
  <si>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</si>
  <si>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</si>
  <si>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</si>
  <si>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</si>
  <si>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</si>
  <si>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</si>
  <si>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</si>
  <si>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</si>
  <si>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</si>
  <si>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</si>
  <si>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</si>
  <si>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</si>
  <si>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</si>
  <si>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</si>
  <si>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</si>
  <si>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</si>
  <si>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</si>
  <si>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</si>
  <si>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</si>
  <si>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</si>
  <si>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</si>
  <si>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</si>
  <si>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</si>
  <si>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</si>
  <si>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</si>
  <si>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</si>
  <si>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</si>
  <si>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</si>
  <si>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</si>
  <si>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</si>
  <si>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</si>
  <si>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</si>
  <si>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</si>
  <si>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</si>
  <si>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</si>
  <si>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</si>
  <si>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</si>
  <si>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</si>
  <si>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</si>
  <si>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</si>
  <si>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</si>
  <si>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</si>
  <si>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</si>
  <si>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</si>
  <si>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</si>
  <si>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</si>
  <si>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</si>
  <si>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</si>
  <si>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</si>
  <si>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</si>
  <si>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</si>
  <si>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</si>
  <si>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</si>
  <si>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</si>
  <si>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</si>
  <si>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</si>
  <si>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</si>
  <si>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</si>
  <si>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</si>
  <si>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</si>
  <si>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</si>
  <si>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</si>
  <si>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</si>
  <si>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</si>
  <si>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</si>
  <si>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</si>
  <si>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</si>
  <si>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</si>
  <si>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</si>
  <si>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</si>
  <si>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</si>
  <si>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</si>
  <si>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</si>
  <si>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</si>
  <si>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</si>
  <si>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</si>
  <si>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</si>
  <si>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</si>
  <si>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</si>
  <si>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</si>
  <si>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</si>
  <si>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</si>
  <si>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</si>
  <si>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</si>
  <si>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</si>
  <si>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</si>
  <si>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</si>
  <si>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</si>
  <si>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</si>
  <si>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</si>
  <si>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</si>
  <si>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</si>
  <si>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</si>
  <si>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</si>
  <si>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</si>
  <si>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</si>
  <si>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</si>
  <si>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</si>
  <si>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</si>
  <si>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</si>
  <si>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</si>
  <si>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</si>
  <si>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</si>
  <si>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</si>
  <si>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</si>
  <si>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</si>
  <si>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</si>
  <si>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</si>
  <si>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</si>
  <si>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</si>
  <si>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</si>
  <si>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</si>
  <si>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</si>
  <si>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</si>
  <si>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</si>
  <si>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</si>
  <si>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</si>
  <si>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</si>
  <si>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</si>
  <si>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</si>
  <si>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</si>
  <si>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</si>
  <si>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</si>
  <si>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</si>
  <si>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</si>
  <si>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</si>
  <si>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</si>
  <si>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</si>
  <si>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</si>
  <si>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</si>
  <si>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</si>
  <si>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</si>
  <si>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</si>
  <si>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</si>
  <si>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</si>
  <si>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</si>
  <si>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</si>
  <si>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</si>
  <si>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</si>
  <si>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</si>
  <si>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</si>
  <si>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</si>
  <si>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</si>
  <si>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</si>
  <si>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</si>
  <si>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</si>
  <si>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</si>
  <si>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</si>
  <si>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</si>
  <si>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</si>
  <si>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</si>
  <si>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</si>
  <si>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</si>
  <si>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</si>
  <si>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</si>
  <si>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</si>
  <si>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</si>
  <si>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</si>
  <si>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</si>
  <si>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</si>
  <si>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</si>
  <si>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</si>
  <si>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</si>
  <si>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</si>
  <si>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</si>
  <si>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</si>
  <si>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</si>
  <si>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</si>
  <si>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</si>
  <si>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</si>
  <si>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</si>
  <si>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</si>
  <si>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</si>
  <si>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</si>
  <si>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</si>
  <si>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</si>
  <si>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</si>
  <si>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</si>
  <si>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</si>
  <si>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</si>
  <si>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</si>
  <si>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</si>
  <si>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</si>
  <si>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</si>
  <si>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</si>
  <si>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</si>
  <si>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</si>
  <si>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</si>
  <si>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</si>
  <si>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</si>
  <si>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</si>
  <si>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</si>
  <si>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</si>
  <si>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</si>
  <si>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</si>
  <si>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</si>
  <si>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</si>
  <si>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</si>
  <si>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</si>
  <si>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</si>
  <si>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</si>
  <si>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</si>
  <si>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</si>
  <si>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</si>
  <si>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</si>
  <si>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</si>
  <si>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</si>
  <si>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</si>
  <si>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</si>
  <si>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</si>
  <si>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</si>
  <si>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</si>
  <si>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</si>
  <si>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</si>
  <si>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</si>
  <si>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</si>
  <si>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</si>
  <si>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</si>
  <si>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</si>
  <si>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</si>
  <si>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</si>
  <si>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</si>
  <si>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</si>
  <si>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</si>
  <si>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</si>
  <si>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</si>
  <si>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</si>
  <si>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</si>
  <si>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</si>
  <si>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</si>
  <si>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</si>
  <si>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</si>
  <si>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</si>
  <si>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</si>
  <si>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</si>
  <si>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</si>
  <si>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</si>
  <si>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</si>
  <si>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</si>
  <si>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</si>
  <si>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</si>
  <si>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</si>
  <si>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</si>
  <si>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</si>
  <si>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</si>
  <si>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</si>
  <si>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</si>
  <si>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</si>
  <si>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</si>
  <si>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</si>
  <si>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</si>
  <si>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</si>
  <si>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</si>
  <si>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</si>
  <si>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</si>
  <si>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</si>
  <si>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</si>
  <si>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</si>
  <si>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</si>
  <si>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</si>
  <si>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</si>
  <si>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</si>
  <si>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</si>
  <si>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</si>
  <si>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</si>
  <si>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</si>
  <si>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</si>
  <si>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</si>
  <si>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</si>
  <si>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</si>
  <si>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</si>
  <si>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</si>
  <si>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</si>
  <si>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</si>
  <si>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</si>
  <si>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</si>
  <si>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</si>
  <si>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</si>
  <si>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</si>
  <si>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</si>
  <si>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</si>
  <si>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</si>
  <si>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</si>
  <si>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</si>
  <si>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</si>
  <si>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</si>
  <si>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</si>
  <si>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</si>
  <si>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</si>
  <si>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</si>
  <si>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</si>
  <si>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</si>
  <si>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</si>
  <si>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</si>
  <si>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</si>
  <si>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</si>
  <si>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</si>
  <si>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</si>
  <si>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</si>
  <si>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</si>
  <si>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</si>
  <si>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</si>
  <si>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</si>
  <si>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</si>
  <si>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</si>
  <si>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</si>
  <si>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</si>
  <si>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</si>
  <si>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</si>
  <si>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</si>
  <si>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</si>
  <si>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</si>
  <si>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</si>
  <si>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</si>
  <si>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</si>
  <si>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</si>
  <si>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</si>
  <si>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</si>
  <si>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</si>
  <si>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</si>
  <si>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</si>
  <si>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</si>
  <si>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</si>
  <si>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</si>
  <si>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</si>
  <si>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</si>
  <si>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</si>
  <si>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</si>
  <si>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</si>
  <si>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</si>
  <si>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</si>
  <si>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</si>
  <si>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</si>
  <si>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</si>
  <si>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</si>
  <si>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</si>
  <si>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</si>
  <si>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</si>
  <si>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</si>
  <si>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</si>
  <si>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</si>
  <si>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</si>
  <si>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</si>
  <si>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</si>
  <si>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</si>
  <si>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</si>
  <si>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</si>
  <si>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</si>
  <si>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</si>
  <si>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</si>
  <si>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</si>
  <si>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</si>
  <si>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</si>
  <si>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</si>
  <si>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</si>
  <si>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</si>
  <si>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</si>
  <si>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</si>
  <si>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</si>
  <si>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</si>
  <si>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</si>
  <si>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</si>
  <si>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</si>
  <si>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</si>
  <si>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</si>
  <si>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</si>
  <si>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</si>
  <si>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</si>
  <si>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</si>
  <si>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</si>
  <si>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</si>
  <si>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</si>
  <si>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</si>
  <si>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</si>
  <si>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</si>
  <si>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</si>
  <si>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</si>
  <si>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</si>
  <si>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</si>
  <si>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</si>
  <si>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</si>
  <si>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</si>
  <si>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</si>
  <si>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</si>
  <si>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</si>
  <si>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</si>
  <si>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</si>
  <si>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</si>
  <si>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</si>
  <si>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</si>
  <si>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</si>
  <si>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</si>
  <si>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</si>
  <si>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</si>
  <si>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</si>
  <si>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</si>
  <si>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</si>
  <si>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</si>
  <si>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</si>
  <si>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</si>
  <si>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</si>
  <si>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</si>
  <si>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</si>
  <si>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</si>
  <si>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</si>
  <si>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</si>
  <si>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</si>
  <si>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</si>
  <si>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</si>
  <si>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</si>
  <si>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</si>
  <si>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</si>
  <si>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</si>
  <si>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</si>
  <si>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</si>
  <si>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</si>
  <si>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</si>
  <si>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</si>
  <si>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</si>
  <si>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</si>
  <si>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</si>
  <si>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</si>
  <si>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</si>
  <si>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</si>
  <si>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</si>
  <si>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</si>
  <si>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</si>
  <si>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</si>
  <si>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</si>
  <si>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</si>
  <si>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</si>
  <si>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</si>
  <si>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</si>
  <si>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</si>
  <si>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</si>
  <si>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</si>
  <si>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</si>
  <si>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</si>
  <si>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</si>
  <si>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</si>
  <si>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</si>
  <si>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</si>
  <si>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</si>
  <si>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</si>
  <si>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</si>
  <si>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</si>
  <si>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</si>
  <si>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</si>
  <si>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</si>
  <si>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</si>
  <si>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</si>
  <si>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</si>
  <si>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</si>
  <si>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</si>
  <si>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</si>
  <si>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</si>
  <si>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</si>
  <si>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</si>
  <si>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</si>
  <si>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</si>
  <si>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</si>
  <si>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</si>
  <si>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</si>
  <si>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</si>
  <si>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</si>
  <si>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</si>
  <si>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</si>
  <si>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</si>
  <si>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</si>
  <si>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</si>
  <si>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</si>
  <si>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</si>
  <si>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</si>
  <si>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</si>
  <si>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</si>
  <si>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</si>
  <si>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</si>
  <si>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</si>
  <si>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</si>
  <si>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</si>
  <si>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</si>
  <si>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</si>
  <si>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</si>
  <si>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</si>
  <si>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</si>
  <si>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</si>
  <si>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</si>
  <si>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</si>
  <si>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</si>
  <si>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</si>
  <si>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</si>
  <si>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</si>
  <si>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</si>
  <si>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</si>
  <si>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</si>
  <si>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</si>
  <si>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</si>
  <si>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</si>
  <si>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</si>
  <si>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</si>
  <si>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</si>
  <si>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</si>
  <si>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</si>
  <si>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</si>
  <si>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</si>
  <si>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</si>
  <si>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</si>
  <si>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</si>
  <si>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</si>
  <si>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</si>
  <si>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</si>
  <si>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</si>
  <si>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</si>
  <si>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</si>
  <si>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</si>
  <si>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</si>
  <si>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</si>
  <si>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</si>
  <si>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</si>
  <si>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</si>
  <si>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</si>
  <si>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</si>
  <si>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</si>
  <si>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</si>
  <si>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</si>
  <si>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</si>
  <si>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</si>
  <si>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</si>
  <si>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</si>
  <si>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</si>
  <si>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</si>
  <si>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</si>
  <si>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</si>
  <si>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</si>
  <si>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</si>
  <si>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</si>
  <si>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</si>
  <si>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</si>
  <si>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</si>
  <si>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</si>
  <si>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</si>
  <si>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</si>
  <si>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</si>
  <si>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</si>
  <si>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</si>
  <si>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</si>
  <si>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</si>
  <si>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</si>
  <si>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</si>
  <si>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</si>
  <si>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</si>
  <si>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</si>
  <si>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</si>
  <si>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</si>
  <si>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</si>
  <si>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</si>
  <si>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</si>
  <si>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</si>
  <si>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</si>
  <si>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</si>
  <si>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</si>
  <si>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</si>
  <si>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</si>
  <si>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</si>
  <si>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</si>
  <si>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</si>
  <si>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</si>
  <si>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</si>
  <si>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</si>
  <si>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</si>
  <si>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</si>
  <si>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</si>
  <si>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</si>
  <si>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</si>
  <si>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</si>
  <si>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</si>
  <si>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</si>
  <si>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</si>
  <si>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</si>
  <si>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</si>
  <si>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</si>
  <si>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</si>
  <si>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</si>
  <si>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</si>
  <si>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</si>
  <si>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</si>
  <si>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</si>
  <si>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</si>
  <si>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</si>
  <si>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</si>
  <si>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</si>
  <si>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</si>
  <si>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</si>
  <si>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</si>
  <si>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</si>
  <si>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</si>
  <si>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</si>
  <si>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</si>
  <si>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</si>
  <si>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</si>
  <si>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</si>
  <si>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</si>
  <si>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</si>
  <si>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</si>
  <si>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</si>
  <si>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</si>
  <si>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</si>
  <si>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</si>
  <si>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</si>
  <si>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</si>
  <si>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</si>
  <si>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</si>
  <si>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</si>
  <si>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</si>
  <si>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</si>
  <si>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</si>
  <si>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</si>
  <si>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</si>
  <si>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</si>
  <si>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</si>
  <si>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</si>
  <si>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</si>
  <si>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</si>
  <si>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</si>
  <si>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</si>
  <si>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</si>
  <si>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</si>
  <si>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</si>
  <si>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</si>
  <si>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</si>
  <si>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</si>
  <si>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</si>
  <si>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</si>
  <si>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</si>
  <si>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</si>
  <si>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</si>
  <si>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</si>
  <si>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</si>
  <si>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</si>
  <si>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</si>
  <si>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</si>
  <si>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</si>
  <si>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</si>
  <si>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</si>
  <si>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</si>
  <si>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</si>
  <si>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</si>
  <si>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</si>
  <si>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</si>
  <si>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</si>
  <si>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</si>
  <si>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</si>
  <si>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</si>
  <si>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</si>
  <si>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</si>
  <si>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</si>
  <si>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</si>
  <si>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</si>
  <si>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</si>
  <si>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</si>
  <si>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</si>
  <si>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</si>
  <si>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</si>
  <si>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</si>
  <si>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</si>
  <si>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</si>
  <si>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</si>
  <si>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</si>
  <si>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</si>
  <si>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</si>
  <si>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</si>
  <si>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</si>
  <si>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</si>
  <si>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</si>
  <si>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</si>
  <si>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</si>
  <si>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</si>
  <si>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</si>
  <si>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</si>
  <si>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</si>
  <si>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</si>
  <si>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</si>
  <si>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</si>
  <si>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</si>
  <si>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</si>
  <si>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</si>
  <si>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</si>
  <si>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</si>
  <si>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</si>
  <si>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</si>
  <si>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</si>
  <si>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</si>
  <si>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</si>
  <si>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</si>
  <si>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</si>
  <si>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</si>
  <si>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</si>
  <si>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</si>
  <si>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</si>
  <si>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</si>
  <si>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</si>
  <si>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</si>
  <si>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</si>
  <si>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</si>
  <si>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</si>
  <si>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</si>
  <si>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</si>
  <si>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</si>
  <si>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</si>
  <si>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</si>
  <si>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</si>
  <si>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</si>
  <si>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</si>
  <si>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</si>
  <si>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</si>
  <si>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</si>
  <si>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</si>
  <si>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</si>
  <si>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</si>
  <si>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</si>
  <si>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</si>
  <si>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</si>
  <si>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</si>
  <si>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</si>
  <si>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</si>
  <si>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</si>
  <si>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</si>
  <si>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</si>
  <si>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</si>
  <si>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</si>
  <si>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</si>
  <si>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</si>
  <si>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</si>
  <si>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</si>
  <si>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</si>
  <si>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</si>
  <si>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</si>
  <si>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</si>
  <si>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</si>
  <si>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</si>
  <si>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</si>
  <si>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</si>
  <si>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</si>
  <si>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</si>
  <si>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</si>
  <si>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</si>
  <si>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</si>
  <si>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</si>
  <si>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</si>
  <si>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</si>
  <si>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</si>
  <si>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</si>
  <si>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</si>
  <si>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</si>
  <si>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</si>
  <si>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</si>
  <si>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</si>
  <si>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</si>
  <si>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</si>
  <si>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</si>
  <si>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</si>
  <si>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</si>
  <si>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</si>
  <si>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</si>
  <si>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</si>
  <si>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</si>
  <si>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</si>
  <si>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</si>
  <si>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</si>
  <si>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</si>
  <si>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</si>
  <si>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</si>
  <si>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</si>
  <si>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</si>
  <si>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</si>
  <si>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</si>
  <si>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</si>
  <si>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</si>
  <si>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</si>
  <si>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</si>
  <si>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</si>
  <si>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</si>
  <si>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</si>
  <si>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</si>
  <si>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</si>
  <si>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</si>
  <si>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</si>
  <si>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</si>
  <si>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</si>
  <si>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</si>
  <si>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</si>
  <si>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</si>
  <si>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</si>
  <si>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</si>
  <si>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</si>
  <si>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EXCHANGE_1_APPOINTMENT_DETAILS_PAGE_ABORT_NO_ACCESS_CHROME</t>
  </si>
  <si>
    <t>EXCHANGE_1_DOORSTEP_PROTOCOL_PAGE_ABORT_DOORSTEP_PROCEDURE_FAIL_CHROME</t>
  </si>
  <si>
    <t>EXCHANGE_1_DOORSTEP_PROTOCOL_PAGE_ABORT_DOORSTEP_PROCEDURE_FAIL_IE</t>
  </si>
  <si>
    <t>EXCHANGE_1_END_TO_END_CHROME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</si>
  <si>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</si>
  <si>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</si>
  <si>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</si>
  <si>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</si>
  <si>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</si>
  <si>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</si>
  <si>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</si>
  <si>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</si>
  <si>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</si>
  <si>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</si>
  <si>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</si>
  <si>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</si>
  <si>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</si>
  <si>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</si>
  <si>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</si>
  <si>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</si>
  <si>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</si>
  <si>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</si>
  <si>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</si>
  <si>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</si>
  <si>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</si>
  <si>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</si>
  <si>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</si>
  <si>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</si>
  <si>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</si>
  <si>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</si>
  <si>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</si>
  <si>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</si>
  <si>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</si>
  <si>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</si>
  <si>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</si>
  <si>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</si>
  <si>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</si>
  <si>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</si>
  <si>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</si>
  <si>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</si>
  <si>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</si>
  <si>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</si>
  <si>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</si>
  <si>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</si>
  <si>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</si>
  <si>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</si>
  <si>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</si>
  <si>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</si>
  <si>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</si>
  <si>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</si>
  <si>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</si>
  <si>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</si>
  <si>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EXCHANGE_1_END_TO_END_SPARK_CHROME</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</si>
  <si>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</si>
  <si>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</si>
  <si>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</si>
  <si>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</si>
  <si>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</si>
  <si>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</si>
  <si>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</si>
  <si>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</si>
  <si>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</si>
  <si>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EXCHANGE_1_APPOINTMENT_DETAILS_PAGE_ABORT_NO_ACCESS_SPARK_CHROME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</si>
  <si>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</si>
  <si>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</si>
  <si>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</si>
  <si>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</si>
  <si>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</si>
  <si>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</si>
  <si>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</si>
  <si>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</si>
  <si>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</si>
  <si>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</si>
  <si>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</si>
  <si>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</si>
  <si>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</si>
  <si>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</si>
  <si>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</si>
  <si>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</si>
  <si>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</si>
  <si>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</si>
  <si>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</si>
  <si>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</si>
  <si>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</si>
  <si>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</si>
  <si>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</si>
  <si>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</si>
  <si>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</si>
  <si>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</si>
  <si>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</si>
  <si>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</si>
  <si>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</si>
  <si>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</si>
  <si>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</si>
  <si>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</si>
  <si>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</si>
  <si>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</si>
  <si>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</si>
  <si>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</si>
  <si>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</si>
  <si>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</si>
  <si>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</si>
  <si>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</si>
  <si>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</si>
  <si>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</si>
  <si>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</si>
  <si>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</si>
  <si>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</si>
  <si>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</si>
  <si>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</si>
  <si>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</si>
  <si>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</si>
  <si>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</si>
  <si>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</si>
  <si>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</si>
  <si>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</si>
  <si>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</si>
  <si>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INST_12_DOORSTEP_PROTOCOL_PAGE_ABORT_DOORSTEP_PROCEDURE_FAIL_ECOT_CHROME</t>
  </si>
  <si>
    <t>INST_12_ELEC_HAN_WAN_CHECKS_PAGE_ABORT_ECOT_CHROME</t>
  </si>
  <si>
    <t>INST_8_ELEC_FOUND_METER_DETAILS_END_TO_END_ECOT_CHROME</t>
  </si>
  <si>
    <t>INST_12_ELEC_INITIAL_POLARITY_CHECK_AT_METER_PAGE_ABORT_ECOT_CHROME</t>
  </si>
  <si>
    <t>INST_12_ELEC_INITIAL_RISK_ASSESSMENT_PAGE_ABORT_ECOT_CHROME</t>
  </si>
  <si>
    <t>INST_12_ELEC_RISK_ASSESSMENT_PAGE_ABORT_ECOT_CHROME</t>
  </si>
  <si>
    <t>INST_12_ELEC_SUITABLE_FOR_SMART_INSTALLATION_PAGE_ABORT_ECOT_CHROME</t>
  </si>
  <si>
    <t>INST_12_APPOINTMENT_DETAILS_PAGE_ABORT_NO_ACCESS_ECOT_CHROME</t>
  </si>
  <si>
    <t>INST_12_END_TO_END_FOUND_METER_ECOT_CHROME</t>
  </si>
  <si>
    <t>INST_3_DOORSTEP_PROTOCOL_PAGE_ABORT_DOORSTEP_PROCEDURE_FAIL_ECOT_CHROME</t>
  </si>
  <si>
    <t>INST_3_ELEC_HAN_WAN_CHECKS_PAGE_ABORT_ECOT_CHROME</t>
  </si>
  <si>
    <t>https://siemens-og-bykrw4fcu3rstavmq2kialtm-sdg1-dev.mbaas1.sdg.feedhenry.com/#/login</t>
  </si>
  <si>
    <t>2019-04-26 08:00</t>
  </si>
  <si>
    <t>2019-04-26 18:00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</si>
</sst>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hh:mm"/>
    <numFmt numFmtId="165" formatCode="yyyy\-mm\-dd"/>
    <numFmt numFmtId="166" formatCode="yyyy\-mm\-dd\ &quot;08:00&quot;"/>
    <numFmt numFmtId="167" formatCode="yyyy\-mm\-dd\ &quot;18:00&quot;"/>
  </numFmts>
  <fonts count="43" x14ac:knownFonts="1">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xf numFmtId="49" fontId="10" fillId="0" borderId="0" xfId="0" applyNumberFormat="1" applyFont="1"/>
    <xf numFmtId="0" fontId="10" fillId="0" borderId="0" xfId="0" applyFont="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Font="1" applyFill="1" applyBorder="1"/>
    <xf numFmtId="0" fontId="8" fillId="2" borderId="14" xfId="0"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49" fontId="6" fillId="2" borderId="0" xfId="0" applyNumberFormat="1" applyFont="1" applyFill="1"/>
    <xf numFmtId="49" fontId="2" fillId="10" borderId="15" xfId="0" applyNumberFormat="1" applyFont="1" applyFill="1" applyBorder="1"/>
    <xf numFmtId="49" fontId="2" fillId="10" borderId="9" xfId="0" applyNumberFormat="1" applyFont="1" applyFill="1" applyBorder="1"/>
    <xf numFmtId="0" fontId="2" fillId="10" borderId="2" xfId="0" applyFont="1" applyFill="1" applyBorder="1"/>
    <xf numFmtId="0" fontId="0" fillId="2" borderId="0" xfId="0" applyFill="1"/>
    <xf numFmtId="0" fontId="5" fillId="0" borderId="14" xfId="0" applyFont="1" applyBorder="1"/>
    <xf numFmtId="49" fontId="6" fillId="7" borderId="14" xfId="1" applyNumberFormat="1" applyFont="1" applyFill="1" applyBorder="1" applyAlignment="1" applyProtection="1"/>
    <xf numFmtId="49" fontId="7" fillId="0" borderId="14" xfId="0" applyNumberFormat="1" applyFont="1" applyBorder="1"/>
    <xf numFmtId="1" fontId="8" fillId="0" borderId="14" xfId="0" applyNumberFormat="1" applyFont="1" applyBorder="1"/>
    <xf numFmtId="49" fontId="8" fillId="0" borderId="14" xfId="0" applyNumberFormat="1" applyFont="1" applyBorder="1"/>
    <xf numFmtId="0" fontId="8" fillId="0" borderId="14" xfId="0" applyFont="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xf numFmtId="49" fontId="7" fillId="13" borderId="14" xfId="0" applyNumberFormat="1" applyFont="1" applyFill="1" applyBorder="1"/>
    <xf numFmtId="0" fontId="5" fillId="13" borderId="14" xfId="0"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Font="1" applyFill="1"/>
    <xf numFmtId="0" fontId="6" fillId="0" borderId="14" xfId="0" applyFont="1" applyBorder="1"/>
    <xf numFmtId="1" fontId="6" fillId="0" borderId="14" xfId="0" applyNumberFormat="1" applyFont="1" applyBorder="1"/>
    <xf numFmtId="49" fontId="6" fillId="0" borderId="14" xfId="0" applyNumberFormat="1" applyFont="1" applyBorder="1"/>
    <xf numFmtId="0" fontId="21" fillId="0" borderId="14" xfId="0" applyFont="1" applyBorder="1"/>
    <xf numFmtId="2" fontId="2" fillId="2" borderId="0" xfId="0" applyNumberFormat="1" applyFont="1" applyFill="1"/>
    <xf numFmtId="49" fontId="21" fillId="0" borderId="14" xfId="0" applyNumberFormat="1" applyFont="1" applyBorder="1"/>
    <xf numFmtId="49" fontId="5" fillId="0" borderId="14" xfId="0" applyNumberFormat="1" applyFont="1" applyBorder="1"/>
    <xf numFmtId="49" fontId="12" fillId="14" borderId="14" xfId="0" applyNumberFormat="1" applyFont="1" applyFill="1" applyBorder="1"/>
    <xf numFmtId="0" fontId="12" fillId="14" borderId="14" xfId="0" applyFont="1" applyFill="1" applyBorder="1"/>
    <xf numFmtId="1" fontId="5" fillId="0" borderId="14" xfId="0" applyNumberFormat="1" applyFont="1" applyBorder="1"/>
    <xf numFmtId="1" fontId="12" fillId="0" borderId="14" xfId="0" applyNumberFormat="1" applyFont="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Font="1" applyBorder="1"/>
    <xf numFmtId="0" fontId="16" fillId="8" borderId="14" xfId="0" applyFont="1" applyFill="1" applyBorder="1"/>
    <xf numFmtId="49" fontId="15" fillId="0" borderId="14" xfId="0" applyNumberFormat="1" applyFont="1" applyBorder="1"/>
    <xf numFmtId="1" fontId="6" fillId="0" borderId="14" xfId="0" quotePrefix="1" applyNumberFormat="1" applyFont="1" applyBorder="1"/>
    <xf numFmtId="49" fontId="7" fillId="6" borderId="14" xfId="0" applyNumberFormat="1" applyFont="1" applyFill="1" applyBorder="1"/>
    <xf numFmtId="0" fontId="8" fillId="6" borderId="14" xfId="0" applyFont="1" applyFill="1" applyBorder="1"/>
    <xf numFmtId="0" fontId="12" fillId="13" borderId="14" xfId="0" applyFont="1" applyFill="1" applyBorder="1"/>
    <xf numFmtId="49" fontId="13" fillId="12" borderId="14" xfId="0" applyNumberFormat="1" applyFont="1" applyFill="1" applyBorder="1"/>
    <xf numFmtId="0" fontId="28" fillId="2" borderId="14" xfId="0" applyFont="1" applyFill="1" applyBorder="1"/>
    <xf numFmtId="0" fontId="28" fillId="0" borderId="14" xfId="0" applyFont="1" applyBorder="1"/>
    <xf numFmtId="0" fontId="30" fillId="0" borderId="14" xfId="0" applyFont="1" applyBorder="1"/>
    <xf numFmtId="49" fontId="28" fillId="0" borderId="14" xfId="0" applyNumberFormat="1" applyFont="1" applyBorder="1"/>
    <xf numFmtId="49" fontId="28" fillId="2" borderId="0" xfId="0" applyNumberFormat="1" applyFont="1" applyFill="1"/>
    <xf numFmtId="49" fontId="26" fillId="2" borderId="0" xfId="0" applyNumberFormat="1" applyFont="1" applyFill="1"/>
    <xf numFmtId="49" fontId="26" fillId="0" borderId="0" xfId="0" applyNumberFormat="1" applyFont="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xf numFmtId="49" fontId="24" fillId="12" borderId="0" xfId="0" applyNumberFormat="1" applyFont="1" applyFill="1"/>
    <xf numFmtId="49" fontId="13" fillId="12" borderId="17" xfId="0" applyNumberFormat="1" applyFont="1" applyFill="1" applyBorder="1"/>
    <xf numFmtId="49" fontId="13" fillId="12" borderId="18" xfId="0" applyNumberFormat="1" applyFont="1" applyFill="1" applyBorder="1"/>
    <xf numFmtId="0" fontId="12" fillId="0" borderId="14" xfId="0" applyFont="1" applyBorder="1"/>
    <xf numFmtId="49" fontId="12" fillId="0" borderId="14" xfId="0" applyNumberFormat="1" applyFont="1" applyBorder="1"/>
    <xf numFmtId="49" fontId="12" fillId="0" borderId="14" xfId="0" applyNumberFormat="1" applyFont="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Border="1" applyAlignment="1">
      <alignment wrapText="1"/>
    </xf>
    <xf numFmtId="1" fontId="8" fillId="7" borderId="14" xfId="0" applyNumberFormat="1" applyFont="1" applyFill="1" applyBorder="1"/>
    <xf numFmtId="0" fontId="7" fillId="0" borderId="14" xfId="0" applyFont="1" applyBorder="1"/>
    <xf numFmtId="49" fontId="19" fillId="0" borderId="14" xfId="0" applyNumberFormat="1" applyFont="1" applyBorder="1"/>
    <xf numFmtId="166" fontId="6" fillId="10" borderId="1" xfId="0" applyNumberFormat="1" applyFont="1" applyFill="1" applyBorder="1"/>
    <xf numFmtId="0" fontId="6" fillId="10" borderId="1" xfId="0"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Font="1" applyFill="1" applyBorder="1"/>
    <xf numFmtId="49" fontId="34" fillId="12" borderId="14" xfId="0" applyNumberFormat="1" applyFont="1" applyFill="1" applyBorder="1"/>
    <xf numFmtId="0" fontId="36" fillId="12" borderId="14" xfId="1" applyFont="1" applyFill="1" applyBorder="1" applyAlignment="1" applyProtection="1"/>
    <xf numFmtId="49" fontId="37" fillId="12" borderId="14" xfId="0" applyNumberFormat="1" applyFont="1" applyFill="1" applyBorder="1"/>
    <xf numFmtId="0" fontId="8" fillId="8" borderId="14" xfId="0"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Font="1" applyFill="1" applyBorder="1" applyAlignment="1" applyProtection="1"/>
    <xf numFmtId="0" fontId="22" fillId="15" borderId="14" xfId="0" applyFont="1" applyFill="1" applyBorder="1"/>
    <xf numFmtId="49" fontId="37" fillId="15" borderId="14" xfId="0" applyNumberFormat="1" applyFont="1" applyFill="1" applyBorder="1"/>
    <xf numFmtId="1" fontId="22" fillId="15" borderId="14" xfId="0" applyNumberFormat="1"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Font="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Font="1" applyFill="1" applyBorder="1"/>
    <xf numFmtId="0" fontId="8" fillId="16" borderId="14" xfId="0"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Font="1" applyFill="1" applyBorder="1"/>
    <xf numFmtId="0" fontId="16" fillId="16" borderId="14" xfId="0"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Font="1" applyFill="1" applyBorder="1"/>
    <xf numFmtId="166" fontId="6" fillId="17" borderId="1" xfId="0" applyNumberFormat="1" applyFont="1" applyFill="1" applyBorder="1"/>
    <xf numFmtId="0" fontId="6" fillId="17" borderId="1" xfId="0"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xf numFmtId="0" fontId="0" fillId="10" borderId="0" xfId="0" applyFill="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49" fontId="2" fillId="0" borderId="0" xfId="0" applyNumberFormat="1" applyFont="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4.9989318521683403E-2"/>
  </sheetPr>
  <dimension ref="A1:L66"/>
  <sheetViews>
    <sheetView zoomScale="130" zoomScaleNormal="130" workbookViewId="0">
      <selection activeCell="B1" sqref="B1"/>
    </sheetView>
  </sheetViews>
  <sheetFormatPr defaultColWidth="9.140625" defaultRowHeight="11.25" x14ac:dyDescent="0.2"/>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x14ac:dyDescent="0.2">
      <c r="A1" s="34" t="s">
        <v>66</v>
      </c>
      <c r="B1" s="216">
        <v>3515</v>
      </c>
      <c r="G1" s="201" t="s">
        <v>827</v>
      </c>
      <c r="H1" s="201" t="s">
        <v>715</v>
      </c>
      <c r="I1" s="201" t="s">
        <v>828</v>
      </c>
      <c r="J1" s="201" t="s">
        <v>828</v>
      </c>
      <c r="K1" s="203"/>
      <c r="L1" s="203"/>
    </row>
    <row r="2" spans="1:12" x14ac:dyDescent="0.2">
      <c r="A2" s="35" t="s">
        <v>5</v>
      </c>
      <c r="B2" s="211" t="s">
        <v>1166</v>
      </c>
      <c r="C2" s="24"/>
      <c r="D2" s="8"/>
      <c r="G2" s="202"/>
      <c r="H2" s="203"/>
      <c r="I2" s="202"/>
      <c r="J2" s="202"/>
      <c r="K2" s="203"/>
      <c r="L2" s="203"/>
    </row>
    <row r="3" spans="1:12" x14ac:dyDescent="0.2">
      <c r="A3" s="35" t="s">
        <v>4</v>
      </c>
      <c r="B3" s="212" t="s">
        <v>1167</v>
      </c>
      <c r="C3" s="25"/>
      <c r="D3" s="9"/>
      <c r="G3" s="202"/>
      <c r="H3" s="203"/>
      <c r="I3" s="202"/>
      <c r="J3" s="202"/>
      <c r="K3" s="203" t="s">
        <v>1081</v>
      </c>
      <c r="L3" s="203" t="s">
        <v>1082</v>
      </c>
    </row>
    <row r="4" spans="1:12" x14ac:dyDescent="0.2">
      <c r="A4" s="35" t="s">
        <v>67</v>
      </c>
      <c r="B4" s="208" t="s">
        <v>1088</v>
      </c>
      <c r="G4" s="204" t="s">
        <v>437</v>
      </c>
      <c r="H4" s="204" t="s">
        <v>717</v>
      </c>
      <c r="I4" s="204" t="s">
        <v>830</v>
      </c>
      <c r="J4" s="204" t="s">
        <v>855</v>
      </c>
      <c r="K4" s="208" t="s">
        <v>865</v>
      </c>
      <c r="L4" s="208" t="s">
        <v>1078</v>
      </c>
    </row>
    <row r="5" spans="1:12" x14ac:dyDescent="0.2">
      <c r="A5" s="35" t="s">
        <v>426</v>
      </c>
      <c r="B5" s="208" t="s">
        <v>1078</v>
      </c>
      <c r="G5" s="205" t="s">
        <v>427</v>
      </c>
      <c r="H5" s="205" t="s">
        <v>716</v>
      </c>
      <c r="I5" s="205" t="s">
        <v>829</v>
      </c>
      <c r="J5" s="205">
        <v>111011</v>
      </c>
      <c r="K5" s="208" t="s">
        <v>1080</v>
      </c>
      <c r="L5" s="208" t="s">
        <v>1079</v>
      </c>
    </row>
    <row r="6" spans="1:12" x14ac:dyDescent="0.2">
      <c r="A6" s="35" t="s">
        <v>115</v>
      </c>
      <c r="B6" s="208" t="s">
        <v>1079</v>
      </c>
      <c r="H6" s="3" t="s">
        <v>424</v>
      </c>
      <c r="J6" s="3" t="s">
        <v>859</v>
      </c>
    </row>
    <row r="7" spans="1:12" ht="13.5" thickBot="1" x14ac:dyDescent="0.25">
      <c r="A7" s="36" t="s">
        <v>436</v>
      </c>
      <c r="B7" t="s">
        <v>1165</v>
      </c>
      <c r="C7" s="50"/>
    </row>
    <row r="8" spans="1:12" ht="12.75" x14ac:dyDescent="0.2">
      <c r="B8" s="152"/>
    </row>
    <row r="15" spans="1:12" x14ac:dyDescent="0.2">
      <c r="E15" s="76"/>
      <c r="F15" s="76"/>
      <c r="G15" s="76"/>
    </row>
    <row r="16" spans="1:12" x14ac:dyDescent="0.2">
      <c r="E16" s="76"/>
      <c r="F16" s="76"/>
      <c r="G16" s="76"/>
    </row>
    <row r="17" spans="5:7" x14ac:dyDescent="0.2">
      <c r="E17" s="76"/>
      <c r="F17" s="76"/>
      <c r="G17" s="76"/>
    </row>
    <row r="18" spans="5:7" x14ac:dyDescent="0.2">
      <c r="E18" s="76"/>
      <c r="F18" s="76"/>
      <c r="G18" s="76"/>
    </row>
    <row r="19" spans="5:7" x14ac:dyDescent="0.2">
      <c r="E19" s="76"/>
      <c r="F19" s="76"/>
      <c r="G19" s="76"/>
    </row>
    <row r="20" spans="5:7" x14ac:dyDescent="0.2">
      <c r="E20" s="76"/>
      <c r="F20" s="76"/>
      <c r="G20" s="76"/>
    </row>
    <row r="21" spans="5:7" x14ac:dyDescent="0.2">
      <c r="E21" s="76"/>
      <c r="F21" s="76"/>
      <c r="G21" s="76"/>
    </row>
    <row r="22" spans="5:7" x14ac:dyDescent="0.2">
      <c r="E22" s="76"/>
      <c r="F22" s="76"/>
      <c r="G22" s="76"/>
    </row>
    <row r="23" spans="5:7" x14ac:dyDescent="0.2">
      <c r="E23" s="76"/>
      <c r="F23" s="76"/>
      <c r="G23" s="76"/>
    </row>
    <row r="24" spans="5:7" x14ac:dyDescent="0.2">
      <c r="E24" s="76"/>
      <c r="F24" s="76"/>
      <c r="G24" s="76"/>
    </row>
    <row r="25" spans="5:7" x14ac:dyDescent="0.2">
      <c r="E25" s="76"/>
      <c r="F25" s="76"/>
      <c r="G25" s="76"/>
    </row>
    <row r="26" spans="5:7" x14ac:dyDescent="0.2">
      <c r="E26" s="76"/>
      <c r="F26" s="76"/>
      <c r="G26" s="76"/>
    </row>
    <row r="27" spans="5:7" x14ac:dyDescent="0.2">
      <c r="E27" s="76"/>
      <c r="F27" s="76"/>
      <c r="G27" s="76"/>
    </row>
    <row r="28" spans="5:7" x14ac:dyDescent="0.2">
      <c r="E28" s="76"/>
      <c r="F28" s="76"/>
      <c r="G28" s="76"/>
    </row>
    <row r="29" spans="5:7" x14ac:dyDescent="0.2">
      <c r="E29" s="76"/>
      <c r="F29" s="76"/>
      <c r="G29" s="76"/>
    </row>
    <row r="30" spans="5:7" x14ac:dyDescent="0.2">
      <c r="E30" s="76"/>
      <c r="F30" s="76"/>
      <c r="G30" s="76"/>
    </row>
    <row r="31" spans="5:7" x14ac:dyDescent="0.2">
      <c r="E31" s="76"/>
      <c r="F31" s="76"/>
      <c r="G31" s="76"/>
    </row>
    <row r="32" spans="5:7" x14ac:dyDescent="0.2">
      <c r="E32" s="76"/>
      <c r="F32" s="76"/>
      <c r="G32" s="76"/>
    </row>
    <row r="33" spans="5:7" x14ac:dyDescent="0.2">
      <c r="E33" s="76"/>
      <c r="F33" s="76"/>
      <c r="G33" s="76"/>
    </row>
    <row r="34" spans="5:7" x14ac:dyDescent="0.2">
      <c r="E34" s="76"/>
      <c r="F34" s="76"/>
      <c r="G34" s="76"/>
    </row>
    <row r="35" spans="5:7" x14ac:dyDescent="0.2">
      <c r="E35" s="76"/>
      <c r="F35" s="76"/>
      <c r="G35" s="76"/>
    </row>
    <row r="36" spans="5:7" x14ac:dyDescent="0.2">
      <c r="E36" s="76"/>
      <c r="F36" s="76"/>
      <c r="G36" s="76"/>
    </row>
    <row r="37" spans="5:7" x14ac:dyDescent="0.2">
      <c r="E37" s="76"/>
      <c r="F37" s="76"/>
      <c r="G37" s="76"/>
    </row>
    <row r="38" spans="5:7" x14ac:dyDescent="0.2">
      <c r="E38" s="76"/>
      <c r="F38" s="76"/>
      <c r="G38" s="76"/>
    </row>
    <row r="39" spans="5:7" x14ac:dyDescent="0.2">
      <c r="E39" s="76"/>
      <c r="F39" s="76"/>
      <c r="G39" s="76"/>
    </row>
    <row r="40" spans="5:7" x14ac:dyDescent="0.2">
      <c r="E40" s="76"/>
      <c r="F40" s="76"/>
      <c r="G40" s="76"/>
    </row>
    <row r="41" spans="5:7" x14ac:dyDescent="0.2">
      <c r="E41" s="76"/>
      <c r="F41" s="76"/>
      <c r="G41" s="76"/>
    </row>
    <row r="42" spans="5:7" x14ac:dyDescent="0.2">
      <c r="E42" s="76"/>
      <c r="F42" s="76"/>
      <c r="G42" s="76"/>
    </row>
    <row r="43" spans="5:7" x14ac:dyDescent="0.2">
      <c r="E43" s="76"/>
      <c r="F43" s="76"/>
      <c r="G43" s="76"/>
    </row>
    <row r="44" spans="5:7" x14ac:dyDescent="0.2">
      <c r="E44" s="76"/>
      <c r="F44" s="76"/>
      <c r="G44" s="76"/>
    </row>
    <row r="45" spans="5:7" x14ac:dyDescent="0.2">
      <c r="E45" s="76"/>
      <c r="F45" s="76"/>
      <c r="G45" s="76"/>
    </row>
    <row r="46" spans="5:7" x14ac:dyDescent="0.2">
      <c r="E46" s="76"/>
      <c r="F46" s="76"/>
      <c r="G46" s="76"/>
    </row>
    <row r="47" spans="5:7" x14ac:dyDescent="0.2">
      <c r="E47" s="76"/>
      <c r="F47" s="76"/>
      <c r="G47" s="76"/>
    </row>
    <row r="48" spans="5:7" x14ac:dyDescent="0.2">
      <c r="E48" s="76"/>
      <c r="F48" s="76"/>
      <c r="G48" s="76"/>
    </row>
    <row r="49" spans="5:7" x14ac:dyDescent="0.2">
      <c r="E49" s="76"/>
      <c r="F49" s="76"/>
      <c r="G49" s="76"/>
    </row>
    <row r="50" spans="5:7" x14ac:dyDescent="0.2">
      <c r="E50" s="76"/>
      <c r="F50" s="76"/>
      <c r="G50" s="76"/>
    </row>
    <row r="51" spans="5:7" x14ac:dyDescent="0.2">
      <c r="E51" s="76"/>
      <c r="F51" s="76"/>
      <c r="G51" s="76"/>
    </row>
    <row r="52" spans="5:7" x14ac:dyDescent="0.2">
      <c r="E52" s="76"/>
      <c r="F52" s="76"/>
      <c r="G52" s="76"/>
    </row>
    <row r="53" spans="5:7" x14ac:dyDescent="0.2">
      <c r="E53" s="76"/>
      <c r="F53" s="76"/>
      <c r="G53" s="76"/>
    </row>
    <row r="54" spans="5:7" x14ac:dyDescent="0.2">
      <c r="E54" s="76"/>
      <c r="F54" s="76"/>
      <c r="G54" s="76"/>
    </row>
    <row r="55" spans="5:7" x14ac:dyDescent="0.2">
      <c r="E55" s="76"/>
      <c r="F55" s="76"/>
      <c r="G55" s="76"/>
    </row>
    <row r="56" spans="5:7" x14ac:dyDescent="0.2">
      <c r="E56" s="76"/>
      <c r="F56" s="76"/>
      <c r="G56" s="76"/>
    </row>
    <row r="57" spans="5:7" x14ac:dyDescent="0.2">
      <c r="E57" s="76"/>
      <c r="F57" s="76"/>
      <c r="G57" s="76"/>
    </row>
    <row r="58" spans="5:7" x14ac:dyDescent="0.2">
      <c r="E58" s="76"/>
      <c r="F58" s="76"/>
      <c r="G58" s="76"/>
    </row>
    <row r="59" spans="5:7" x14ac:dyDescent="0.2">
      <c r="E59" s="76"/>
      <c r="F59" s="76"/>
      <c r="G59" s="76"/>
    </row>
    <row r="60" spans="5:7" x14ac:dyDescent="0.2">
      <c r="E60" s="76"/>
      <c r="F60" s="76"/>
      <c r="G60" s="76"/>
    </row>
    <row r="61" spans="5:7" x14ac:dyDescent="0.2">
      <c r="E61" s="76"/>
      <c r="F61" s="76"/>
      <c r="G61" s="76"/>
    </row>
    <row r="62" spans="5:7" x14ac:dyDescent="0.2">
      <c r="E62" s="76"/>
      <c r="F62" s="76"/>
      <c r="G62" s="76"/>
    </row>
    <row r="63" spans="5:7" x14ac:dyDescent="0.2">
      <c r="E63" s="76"/>
      <c r="F63" s="76"/>
      <c r="G63" s="76"/>
    </row>
    <row r="64" spans="5:7" x14ac:dyDescent="0.2">
      <c r="E64" s="76"/>
      <c r="F64" s="76"/>
      <c r="G64" s="76"/>
    </row>
    <row r="65" spans="5:7" x14ac:dyDescent="0.2">
      <c r="E65" s="76"/>
      <c r="F65" s="76"/>
      <c r="G65" s="76"/>
    </row>
    <row r="66" spans="5:7" x14ac:dyDescent="0.2">
      <c r="E66" s="76"/>
      <c r="F66" s="76"/>
      <c r="G66" s="76"/>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4.9989318521683403E-2"/>
  </sheetPr>
  <dimension ref="A1:EF259"/>
  <sheetViews>
    <sheetView tabSelected="1" zoomScale="115" zoomScaleNormal="115" workbookViewId="0">
      <pane xSplit="3" ySplit="1" topLeftCell="D212" activePane="bottomRight" state="frozen"/>
      <selection pane="topRight" activeCell="D1" sqref="D1"/>
      <selection pane="bottomLeft" activeCell="A2" sqref="A2"/>
      <selection pane="bottomRight" activeCell="A32" sqref="A32:A115"/>
    </sheetView>
  </sheetViews>
  <sheetFormatPr defaultRowHeight="12.75" x14ac:dyDescent="0.2"/>
  <cols>
    <col min="1" max="1" width="52.140625" customWidth="1"/>
    <col min="2" max="3" width="8.85546875" customWidth="1"/>
    <col min="4" max="4" width="6.140625" bestFit="1" customWidth="1"/>
    <col min="5" max="5" width="3" bestFit="1" customWidth="1"/>
    <col min="6" max="6" width="30.2851562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30.2851562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41" customFormat="1" ht="99" customHeight="1" x14ac:dyDescent="0.2">
      <c r="A1" s="235" t="s">
        <v>866</v>
      </c>
      <c r="B1" s="235" t="s">
        <v>867</v>
      </c>
      <c r="C1" s="235" t="s">
        <v>893</v>
      </c>
      <c r="D1" s="235" t="s">
        <v>335</v>
      </c>
      <c r="E1" s="236" t="s">
        <v>6</v>
      </c>
      <c r="F1" s="236" t="s">
        <v>1075</v>
      </c>
      <c r="G1" s="236" t="s">
        <v>0</v>
      </c>
      <c r="H1" s="236" t="s">
        <v>11</v>
      </c>
      <c r="I1" s="236" t="s">
        <v>13</v>
      </c>
      <c r="J1" s="236" t="s">
        <v>357</v>
      </c>
      <c r="K1" s="236" t="s">
        <v>358</v>
      </c>
      <c r="L1" s="236" t="s">
        <v>14</v>
      </c>
      <c r="M1" s="236" t="s">
        <v>15</v>
      </c>
      <c r="N1" s="236" t="s">
        <v>16</v>
      </c>
      <c r="O1" s="236" t="s">
        <v>18</v>
      </c>
      <c r="P1" s="236" t="s">
        <v>93</v>
      </c>
      <c r="Q1" s="236" t="s">
        <v>92</v>
      </c>
      <c r="R1" s="236" t="s">
        <v>91</v>
      </c>
      <c r="S1" s="236" t="s">
        <v>862</v>
      </c>
      <c r="T1" s="236" t="s">
        <v>863</v>
      </c>
      <c r="U1" s="236" t="s">
        <v>19</v>
      </c>
      <c r="V1" s="236" t="s">
        <v>20</v>
      </c>
      <c r="W1" s="236" t="s">
        <v>21</v>
      </c>
      <c r="X1" s="236" t="s">
        <v>22</v>
      </c>
      <c r="Y1" s="236" t="s">
        <v>23</v>
      </c>
      <c r="Z1" s="236" t="s">
        <v>27</v>
      </c>
      <c r="AA1" s="236" t="s">
        <v>5</v>
      </c>
      <c r="AB1" s="236" t="s">
        <v>4</v>
      </c>
      <c r="AC1" s="236" t="s">
        <v>31</v>
      </c>
      <c r="AD1" s="236" t="s">
        <v>30</v>
      </c>
      <c r="AE1" s="236" t="s">
        <v>864</v>
      </c>
      <c r="AF1" s="236" t="s">
        <v>34</v>
      </c>
      <c r="AG1" s="236" t="s">
        <v>42</v>
      </c>
      <c r="AH1" s="236" t="s">
        <v>41</v>
      </c>
      <c r="AI1" s="236" t="s">
        <v>40</v>
      </c>
      <c r="AJ1" s="236" t="s">
        <v>39</v>
      </c>
      <c r="AK1" s="236" t="s">
        <v>43</v>
      </c>
      <c r="AL1" s="236" t="s">
        <v>46</v>
      </c>
      <c r="AM1" s="236" t="s">
        <v>10</v>
      </c>
      <c r="AN1" s="236" t="s">
        <v>8</v>
      </c>
      <c r="AO1" s="236" t="s">
        <v>9</v>
      </c>
      <c r="AP1" s="236" t="s">
        <v>438</v>
      </c>
      <c r="AQ1" s="236" t="s">
        <v>28</v>
      </c>
      <c r="AR1" s="236" t="s">
        <v>7</v>
      </c>
      <c r="AS1" s="236" t="s">
        <v>24</v>
      </c>
      <c r="AT1" s="236" t="s">
        <v>387</v>
      </c>
      <c r="AU1" s="236" t="s">
        <v>388</v>
      </c>
      <c r="AV1" s="236" t="s">
        <v>433</v>
      </c>
      <c r="AW1" s="236" t="s">
        <v>1</v>
      </c>
      <c r="AX1" s="236" t="s">
        <v>2</v>
      </c>
      <c r="AY1" s="236" t="s">
        <v>3</v>
      </c>
      <c r="AZ1" s="236" t="s">
        <v>37</v>
      </c>
      <c r="BA1" s="236" t="s">
        <v>359</v>
      </c>
      <c r="BB1" s="236" t="s">
        <v>55</v>
      </c>
      <c r="BC1" s="236" t="s">
        <v>56</v>
      </c>
      <c r="BD1" s="236" t="s">
        <v>346</v>
      </c>
      <c r="BE1" s="236" t="s">
        <v>360</v>
      </c>
      <c r="BF1" s="236" t="s">
        <v>361</v>
      </c>
      <c r="BG1" s="236" t="s">
        <v>57</v>
      </c>
      <c r="BH1" s="236" t="s">
        <v>58</v>
      </c>
      <c r="BI1" s="236" t="s">
        <v>59</v>
      </c>
      <c r="BJ1" s="236" t="s">
        <v>349</v>
      </c>
      <c r="BK1" s="236" t="s">
        <v>62</v>
      </c>
      <c r="BL1" s="236" t="s">
        <v>63</v>
      </c>
      <c r="BM1" s="236" t="s">
        <v>348</v>
      </c>
      <c r="BN1" s="236" t="s">
        <v>362</v>
      </c>
      <c r="BO1" s="236" t="s">
        <v>345</v>
      </c>
      <c r="BP1" s="236" t="s">
        <v>365</v>
      </c>
      <c r="BQ1" s="236" t="s">
        <v>366</v>
      </c>
      <c r="BR1" s="236" t="s">
        <v>347</v>
      </c>
      <c r="BS1" s="236" t="s">
        <v>367</v>
      </c>
      <c r="BT1" s="236" t="s">
        <v>428</v>
      </c>
      <c r="BU1" s="236" t="s">
        <v>369</v>
      </c>
      <c r="BV1" s="236" t="s">
        <v>371</v>
      </c>
      <c r="BW1" s="236" t="s">
        <v>373</v>
      </c>
      <c r="BX1" s="236" t="s">
        <v>375</v>
      </c>
      <c r="BY1" s="236" t="s">
        <v>377</v>
      </c>
      <c r="BZ1" s="236" t="s">
        <v>379</v>
      </c>
      <c r="CA1" s="236" t="s">
        <v>350</v>
      </c>
      <c r="CB1" s="236" t="s">
        <v>351</v>
      </c>
      <c r="CC1" s="236" t="s">
        <v>352</v>
      </c>
      <c r="CD1" s="236" t="s">
        <v>381</v>
      </c>
      <c r="CE1" s="236" t="s">
        <v>383</v>
      </c>
      <c r="CF1" s="236" t="s">
        <v>385</v>
      </c>
      <c r="CG1" s="237" t="s">
        <v>355</v>
      </c>
      <c r="CH1" s="236" t="s">
        <v>364</v>
      </c>
      <c r="CI1" s="236" t="s">
        <v>336</v>
      </c>
      <c r="CJ1" s="236" t="s">
        <v>860</v>
      </c>
      <c r="CK1" s="236" t="s">
        <v>338</v>
      </c>
      <c r="CL1" s="236" t="s">
        <v>744</v>
      </c>
      <c r="CM1" s="236" t="s">
        <v>745</v>
      </c>
      <c r="CN1" s="236" t="s">
        <v>337</v>
      </c>
      <c r="CO1" s="236" t="s">
        <v>861</v>
      </c>
      <c r="CP1" s="236" t="s">
        <v>389</v>
      </c>
      <c r="CQ1" s="236" t="s">
        <v>343</v>
      </c>
      <c r="CR1" s="236" t="s">
        <v>340</v>
      </c>
      <c r="CS1" s="236" t="s">
        <v>363</v>
      </c>
      <c r="CT1" s="236" t="s">
        <v>341</v>
      </c>
      <c r="CU1" s="236" t="s">
        <v>339</v>
      </c>
      <c r="CV1" s="236" t="s">
        <v>368</v>
      </c>
      <c r="CW1" s="236" t="s">
        <v>434</v>
      </c>
      <c r="CX1" s="236" t="s">
        <v>370</v>
      </c>
      <c r="CY1" s="236" t="s">
        <v>372</v>
      </c>
      <c r="CZ1" s="236" t="s">
        <v>374</v>
      </c>
      <c r="DA1" s="236" t="s">
        <v>376</v>
      </c>
      <c r="DB1" s="236" t="s">
        <v>378</v>
      </c>
      <c r="DC1" s="236" t="s">
        <v>380</v>
      </c>
      <c r="DD1" s="236" t="s">
        <v>344</v>
      </c>
      <c r="DE1" s="236" t="s">
        <v>353</v>
      </c>
      <c r="DF1" s="236" t="s">
        <v>354</v>
      </c>
      <c r="DG1" s="236" t="s">
        <v>382</v>
      </c>
      <c r="DH1" s="236" t="s">
        <v>384</v>
      </c>
      <c r="DI1" s="236" t="s">
        <v>386</v>
      </c>
      <c r="DJ1" s="236" t="s">
        <v>355</v>
      </c>
      <c r="DK1" s="236" t="s">
        <v>342</v>
      </c>
      <c r="DL1" s="238" t="s">
        <v>12</v>
      </c>
      <c r="DM1" s="238" t="s">
        <v>17</v>
      </c>
      <c r="DN1" s="236" t="s">
        <v>1074</v>
      </c>
      <c r="DO1" s="238" t="s">
        <v>25</v>
      </c>
      <c r="DP1" s="238" t="s">
        <v>26</v>
      </c>
      <c r="DQ1" s="238" t="s">
        <v>29</v>
      </c>
      <c r="DR1" s="238" t="s">
        <v>32</v>
      </c>
      <c r="DS1" s="238" t="s">
        <v>33</v>
      </c>
      <c r="DT1" s="238" t="s">
        <v>35</v>
      </c>
      <c r="DU1" s="238" t="s">
        <v>36</v>
      </c>
      <c r="DV1" s="238" t="s">
        <v>38</v>
      </c>
      <c r="DW1" s="238" t="s">
        <v>44</v>
      </c>
      <c r="DX1" s="238" t="s">
        <v>45</v>
      </c>
      <c r="DY1" s="238" t="s">
        <v>60</v>
      </c>
      <c r="DZ1" s="238" t="s">
        <v>64</v>
      </c>
      <c r="EA1" s="238" t="s">
        <v>1073</v>
      </c>
      <c r="EB1" s="238" t="s">
        <v>356</v>
      </c>
      <c r="EC1" s="238" t="s">
        <v>417</v>
      </c>
      <c r="ED1" s="239"/>
      <c r="EE1" s="239"/>
      <c r="EF1" s="240"/>
    </row>
    <row r="2" spans="1:136" s="219" customFormat="1" x14ac:dyDescent="0.2">
      <c r="A2" s="209" t="s">
        <v>1037</v>
      </c>
      <c r="B2" s="209" t="s">
        <v>892</v>
      </c>
      <c r="C2" s="209" t="s">
        <v>865</v>
      </c>
      <c r="D2" s="13">
        <f>'Run Parameters'!$B$1 + ROW()-1</f>
        <v>3516</v>
      </c>
      <c r="E2" s="15" t="s">
        <v>47</v>
      </c>
      <c r="F2" s="13" t="s">
        <v>1036</v>
      </c>
      <c r="G2" s="13" t="str">
        <f>("Access Dtls-" &amp; D2)</f>
        <v>Access Dtls-3516</v>
      </c>
      <c r="H2" s="15" t="s">
        <v>275</v>
      </c>
      <c r="I2" s="13" t="str">
        <f>("MR. Test_1_EXCH1_"&amp;D2&amp;"")</f>
        <v>MR. Test_1_EXCH1_3516</v>
      </c>
      <c r="J2" s="13"/>
      <c r="K2" s="19" t="s">
        <v>425</v>
      </c>
      <c r="L2" s="13" t="str">
        <f>("Cust. Ref-" &amp; D2)</f>
        <v>Cust. Ref-3516</v>
      </c>
      <c r="M2" s="15" t="s">
        <v>48</v>
      </c>
      <c r="N2" s="15" t="s">
        <v>425</v>
      </c>
      <c r="O2" s="13"/>
      <c r="P2" s="13" t="str">
        <f>("SN-" &amp; D2)</f>
        <v>SN-3516</v>
      </c>
      <c r="Q2" s="13" t="str">
        <f>("SI-" &amp; D2)</f>
        <v>SI-3516</v>
      </c>
      <c r="R2" s="13" t="str">
        <f>("SE-" &amp; D2)</f>
        <v>SE-3516</v>
      </c>
      <c r="S2" s="19" t="str">
        <f>("Prev_RA-" &amp; D2)</f>
        <v>Prev_RA-3516</v>
      </c>
      <c r="T2" s="19" t="str">
        <f>("Prev_Comms-" &amp; D2)</f>
        <v>Prev_Comms-3516</v>
      </c>
      <c r="U2" s="15" t="s">
        <v>75</v>
      </c>
      <c r="V2" s="15" t="s">
        <v>401</v>
      </c>
      <c r="W2" s="15" t="s">
        <v>75</v>
      </c>
      <c r="X2" s="15" t="s">
        <v>396</v>
      </c>
      <c r="Y2" s="13" t="str">
        <f>("Forward Add-" &amp; D2)</f>
        <v>Forward Add-3516</v>
      </c>
      <c r="Z2" s="15" t="s">
        <v>401</v>
      </c>
      <c r="AA2" s="133" t="str">
        <f>'Run Parameters'!$B$2</f>
        <v>2019-04-26 08:00</v>
      </c>
      <c r="AB2" s="213" t="str">
        <f>'Run Parameters'!B$3</f>
        <v>2019-04-26 18:00</v>
      </c>
      <c r="AC2" s="26">
        <f>('Run Parameters'!$B$2) - 7</f>
        <v>43574.333333333336</v>
      </c>
      <c r="AD2" s="15" t="s">
        <v>75</v>
      </c>
      <c r="AE2" s="13" t="str">
        <f>("LAST_METER-" &amp; D2)</f>
        <v>LAST_METER-3516</v>
      </c>
      <c r="AF2" s="133" t="str">
        <f>'Run Parameters'!$B$2</f>
        <v>2019-04-26 08:00</v>
      </c>
      <c r="AG2" s="13" t="str">
        <f>'Run Parameters'!B$4</f>
        <v>AUTOTEST2</v>
      </c>
      <c r="AH2" s="19" t="str">
        <f>("Site_Contact_" &amp; D2)</f>
        <v>Site_Contact_3516</v>
      </c>
      <c r="AI2" s="133" t="str">
        <f>'Run Parameters'!B$2</f>
        <v>2019-04-26 08:00</v>
      </c>
      <c r="AJ2" s="213" t="str">
        <f>'Run Parameters'!B$3</f>
        <v>2019-04-26 18:00</v>
      </c>
      <c r="AK2" s="13" t="s">
        <v>396</v>
      </c>
      <c r="AL2" s="19" t="str">
        <f>"01159" &amp; D2</f>
        <v>011593516</v>
      </c>
      <c r="AM2" s="13" t="str">
        <f>("0115" &amp; D2)</f>
        <v>01153516</v>
      </c>
      <c r="AN2" s="15"/>
      <c r="AO2" s="15"/>
      <c r="AP2" s="13">
        <v>1</v>
      </c>
      <c r="AQ2" s="15" t="s">
        <v>49</v>
      </c>
      <c r="AR2" s="15"/>
      <c r="AS2" s="13"/>
      <c r="AT2" s="15" t="s">
        <v>400</v>
      </c>
      <c r="AU2" s="15"/>
      <c r="AV2" s="13">
        <f>D2</f>
        <v>3516</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GAS_ENQ_NO-3516</v>
      </c>
      <c r="CK2" s="15" t="s">
        <v>165</v>
      </c>
      <c r="CL2" s="15" t="s">
        <v>391</v>
      </c>
      <c r="CM2" s="15" t="s">
        <v>390</v>
      </c>
      <c r="CN2" s="13" t="s">
        <v>1036</v>
      </c>
      <c r="CO2" s="13" t="str">
        <f>("GAS_JOB_ID-" &amp; D2)</f>
        <v>GAS_JOB_ID-3516</v>
      </c>
      <c r="CP2" s="15"/>
      <c r="CQ2" s="13" t="str">
        <f>"10000" &amp; D2</f>
        <v>100003516</v>
      </c>
      <c r="CR2" s="13" t="s">
        <v>154</v>
      </c>
      <c r="CS2" s="15" t="s">
        <v>51</v>
      </c>
      <c r="CT2" s="217" t="str">
        <f>"GMETER" &amp; D2</f>
        <v>GMETER3516</v>
      </c>
      <c r="CU2" s="13" t="s">
        <v>161</v>
      </c>
      <c r="CV2" s="15" t="s">
        <v>165</v>
      </c>
      <c r="CW2" s="15" t="s">
        <v>414</v>
      </c>
      <c r="CX2" s="15"/>
      <c r="CY2" s="15"/>
      <c r="CZ2" s="15" t="s">
        <v>394</v>
      </c>
      <c r="DA2" s="15" t="s">
        <v>395</v>
      </c>
      <c r="DB2" s="13" t="str">
        <f>("GAS_INST_ID-" &amp; $D2)</f>
        <v>GAS_INST_ID-3516</v>
      </c>
      <c r="DC2" s="15" t="s">
        <v>161</v>
      </c>
      <c r="DD2" s="15"/>
      <c r="DE2" s="15" t="s">
        <v>51</v>
      </c>
      <c r="DF2" s="15" t="s">
        <v>264</v>
      </c>
      <c r="DG2" s="15"/>
      <c r="DH2" s="15" t="s">
        <v>397</v>
      </c>
      <c r="DI2" s="15" t="s">
        <v>399</v>
      </c>
      <c r="DJ2" s="15" t="s">
        <v>836</v>
      </c>
      <c r="DK2" s="15" t="s">
        <v>140</v>
      </c>
      <c r="DL2" s="218"/>
      <c r="DM2" s="218"/>
      <c r="DN2" s="13" t="str">
        <f>("DS_Pass-" &amp; $D2)</f>
        <v>DS_Pass-3516</v>
      </c>
      <c r="DO2" s="15"/>
      <c r="DP2" s="15"/>
      <c r="DQ2" s="15"/>
      <c r="DR2" s="13"/>
      <c r="DS2" s="13"/>
      <c r="DT2" s="15" t="s">
        <v>52</v>
      </c>
      <c r="DU2" s="15"/>
      <c r="DV2" s="15"/>
      <c r="DW2" s="13"/>
      <c r="DX2" s="15" t="s">
        <v>54</v>
      </c>
      <c r="DY2" s="15" t="s">
        <v>61</v>
      </c>
      <c r="DZ2" s="15" t="s">
        <v>402</v>
      </c>
      <c r="EA2" s="19" t="str">
        <f>CONCATENATE(AV2, $EA$1, AW2, $EA$1, AX2, $EA$1, AY2)</f>
        <v>3516CUSTOMER_ADDRESSEXCH1 ROADCUSTOMER_ADDRESSTESTINGHAMCUSTOMER_ADDRESSTESTINGHAMSHIRE</v>
      </c>
      <c r="EB2" s="15" t="s">
        <v>836</v>
      </c>
      <c r="EC2" s="218"/>
      <c r="ED2" s="218"/>
      <c r="EE2" s="218"/>
    </row>
    <row r="3" spans="1:136" s="219" customFormat="1" x14ac:dyDescent="0.2">
      <c r="A3" s="209" t="s">
        <v>1099</v>
      </c>
      <c r="B3" s="209" t="s">
        <v>892</v>
      </c>
      <c r="C3" s="209" t="s">
        <v>865</v>
      </c>
      <c r="D3" s="13">
        <f>'Run Parameters'!$B$1 + ROW()-1</f>
        <v>3517</v>
      </c>
      <c r="E3" s="15" t="s">
        <v>47</v>
      </c>
      <c r="F3" s="13" t="s">
        <v>1036</v>
      </c>
      <c r="G3" s="13" t="str">
        <f t="shared" ref="G3:G19" si="0">("Access Dtls-" &amp; D3)</f>
        <v>Access Dtls-3517</v>
      </c>
      <c r="H3" s="15" t="s">
        <v>275</v>
      </c>
      <c r="I3" s="13" t="str">
        <f>("MR. Test_2_EXCH1_"&amp;D3&amp;"")</f>
        <v>MR. Test_2_EXCH1_3517</v>
      </c>
      <c r="J3" s="13"/>
      <c r="K3" s="19" t="s">
        <v>425</v>
      </c>
      <c r="L3" s="13" t="str">
        <f t="shared" ref="L3:L19" si="1">("Cust. Ref-" &amp; D3)</f>
        <v>Cust. Ref-3517</v>
      </c>
      <c r="M3" s="15" t="s">
        <v>48</v>
      </c>
      <c r="N3" s="15" t="s">
        <v>425</v>
      </c>
      <c r="O3" s="13"/>
      <c r="P3" s="13" t="str">
        <f t="shared" ref="P3:P19" si="2">("SN-" &amp; D3)</f>
        <v>SN-3517</v>
      </c>
      <c r="Q3" s="13" t="str">
        <f t="shared" ref="Q3:Q19" si="3">("SI-" &amp; D3)</f>
        <v>SI-3517</v>
      </c>
      <c r="R3" s="13" t="str">
        <f t="shared" ref="R3:R19" si="4">("SE-" &amp; D3)</f>
        <v>SE-3517</v>
      </c>
      <c r="S3" s="19" t="str">
        <f t="shared" ref="S3:S19" si="5">("Prev_RA-" &amp; D3)</f>
        <v>Prev_RA-3517</v>
      </c>
      <c r="T3" s="19" t="str">
        <f t="shared" ref="T3:T19" si="6">("Prev_Comms-" &amp; D3)</f>
        <v>Prev_Comms-3517</v>
      </c>
      <c r="U3" s="15" t="s">
        <v>75</v>
      </c>
      <c r="V3" s="15" t="s">
        <v>401</v>
      </c>
      <c r="W3" s="15" t="s">
        <v>75</v>
      </c>
      <c r="X3" s="15" t="s">
        <v>1087</v>
      </c>
      <c r="Y3" s="13" t="str">
        <f t="shared" ref="Y3:Y19" si="7">("Forward Add-" &amp; D3)</f>
        <v>Forward Add-3517</v>
      </c>
      <c r="Z3" s="15" t="s">
        <v>401</v>
      </c>
      <c r="AA3" s="133" t="str">
        <f>'Run Parameters'!$B$2</f>
        <v>2019-04-26 08:00</v>
      </c>
      <c r="AB3" s="213" t="str">
        <f>'Run Parameters'!B$3</f>
        <v>2019-04-26 18:00</v>
      </c>
      <c r="AC3" s="26">
        <f>('Run Parameters'!$B$2) - 7</f>
        <v>43574.333333333336</v>
      </c>
      <c r="AD3" s="15" t="s">
        <v>75</v>
      </c>
      <c r="AE3" s="13" t="str">
        <f t="shared" ref="AE3:AE19" si="8">("LAST_METER-" &amp; D3)</f>
        <v>LAST_METER-3517</v>
      </c>
      <c r="AF3" s="133" t="str">
        <f>'Run Parameters'!$B$2</f>
        <v>2019-04-26 08:00</v>
      </c>
      <c r="AG3" s="13" t="str">
        <f>'Run Parameters'!B$4</f>
        <v>AUTOTEST2</v>
      </c>
      <c r="AH3" s="19" t="str">
        <f t="shared" ref="AH3:AH19" si="9">("Site_Contact_" &amp; D3)</f>
        <v>Site_Contact_3517</v>
      </c>
      <c r="AI3" s="133" t="str">
        <f>'Run Parameters'!B$2</f>
        <v>2019-04-26 08:00</v>
      </c>
      <c r="AJ3" s="213" t="str">
        <f>'Run Parameters'!B$3</f>
        <v>2019-04-26 18:00</v>
      </c>
      <c r="AK3" s="13" t="s">
        <v>1087</v>
      </c>
      <c r="AL3" s="19" t="str">
        <f t="shared" ref="AL3:AL19" si="10">"01159" &amp; D3</f>
        <v>011593517</v>
      </c>
      <c r="AM3" s="13" t="str">
        <f t="shared" ref="AM3:AM19" si="11">("0115" &amp; D3)</f>
        <v>01153517</v>
      </c>
      <c r="AN3" s="15"/>
      <c r="AO3" s="15"/>
      <c r="AP3" s="13">
        <v>1</v>
      </c>
      <c r="AQ3" s="15" t="s">
        <v>49</v>
      </c>
      <c r="AR3" s="15"/>
      <c r="AS3" s="13"/>
      <c r="AT3" s="15" t="s">
        <v>400</v>
      </c>
      <c r="AU3" s="15"/>
      <c r="AV3" s="13">
        <f t="shared" ref="AV3:AV19" si="12">D3</f>
        <v>3517</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GAS_ENQ_NO-3517</v>
      </c>
      <c r="CK3" s="15" t="s">
        <v>165</v>
      </c>
      <c r="CL3" s="15" t="s">
        <v>391</v>
      </c>
      <c r="CM3" s="15" t="s">
        <v>390</v>
      </c>
      <c r="CN3" s="13" t="s">
        <v>1036</v>
      </c>
      <c r="CO3" s="13" t="str">
        <f t="shared" ref="CO3:CO19" si="14">("GAS_JOB_ID-" &amp; D3)</f>
        <v>GAS_JOB_ID-3517</v>
      </c>
      <c r="CP3" s="15"/>
      <c r="CQ3" s="13" t="str">
        <f t="shared" ref="CQ3:CQ19" si="15">"10000" &amp; D3</f>
        <v>100003517</v>
      </c>
      <c r="CR3" s="13" t="s">
        <v>154</v>
      </c>
      <c r="CS3" s="15" t="s">
        <v>51</v>
      </c>
      <c r="CT3" s="217" t="str">
        <f t="shared" ref="CT3:CT19" si="16">"GMETER" &amp; D3</f>
        <v>GMETER3517</v>
      </c>
      <c r="CU3" s="13" t="s">
        <v>161</v>
      </c>
      <c r="CV3" s="15" t="s">
        <v>165</v>
      </c>
      <c r="CW3" s="15" t="s">
        <v>414</v>
      </c>
      <c r="CX3" s="15"/>
      <c r="CY3" s="15"/>
      <c r="CZ3" s="15" t="s">
        <v>394</v>
      </c>
      <c r="DA3" s="15" t="s">
        <v>395</v>
      </c>
      <c r="DB3" s="13" t="str">
        <f t="shared" ref="DB3:DB31" si="17">("GAS_INST_ID-" &amp; $D3)</f>
        <v>GAS_INST_ID-3517</v>
      </c>
      <c r="DC3" s="15" t="s">
        <v>161</v>
      </c>
      <c r="DD3" s="15"/>
      <c r="DE3" s="15" t="s">
        <v>51</v>
      </c>
      <c r="DF3" s="15" t="s">
        <v>264</v>
      </c>
      <c r="DG3" s="15"/>
      <c r="DH3" s="15" t="s">
        <v>397</v>
      </c>
      <c r="DI3" s="15" t="s">
        <v>399</v>
      </c>
      <c r="DJ3" s="15" t="s">
        <v>836</v>
      </c>
      <c r="DK3" s="15" t="s">
        <v>140</v>
      </c>
      <c r="DL3" s="218"/>
      <c r="DM3" s="218"/>
      <c r="DN3" s="13" t="str">
        <f t="shared" ref="DN3:DN31" si="18">("DS_Pass-" &amp; $D3)</f>
        <v>DS_Pass-3517</v>
      </c>
      <c r="DO3" s="15"/>
      <c r="DP3" s="15"/>
      <c r="DQ3" s="15"/>
      <c r="DR3" s="13"/>
      <c r="DS3" s="13"/>
      <c r="DT3" s="15" t="s">
        <v>52</v>
      </c>
      <c r="DU3" s="15"/>
      <c r="DV3" s="15"/>
      <c r="DW3" s="13"/>
      <c r="DX3" s="15" t="s">
        <v>54</v>
      </c>
      <c r="DY3" s="15" t="s">
        <v>61</v>
      </c>
      <c r="DZ3" s="15" t="s">
        <v>402</v>
      </c>
      <c r="EA3" s="19" t="str">
        <f t="shared" ref="EA3:EA19" si="19">CONCATENATE(AV3, $EA$1, AW3, $EA$1, AX3, $EA$1, AY3)</f>
        <v>3517CUSTOMER_ADDRESSEXCH1 ROADCUSTOMER_ADDRESSTESTINGHAMCUSTOMER_ADDRESSTESTINGHAMSHIRE</v>
      </c>
      <c r="EB3" s="15" t="s">
        <v>836</v>
      </c>
      <c r="EC3" s="218"/>
      <c r="ED3" s="218"/>
      <c r="EE3" s="218"/>
    </row>
    <row r="4" spans="1:136" s="219" customFormat="1" x14ac:dyDescent="0.2">
      <c r="A4" s="209" t="s">
        <v>1038</v>
      </c>
      <c r="B4" s="209" t="s">
        <v>892</v>
      </c>
      <c r="C4" s="209" t="s">
        <v>865</v>
      </c>
      <c r="D4" s="13">
        <f>'Run Parameters'!$B$1 + ROW()-1</f>
        <v>3518</v>
      </c>
      <c r="E4" s="15" t="s">
        <v>47</v>
      </c>
      <c r="F4" s="13" t="s">
        <v>1036</v>
      </c>
      <c r="G4" s="13" t="str">
        <f t="shared" si="0"/>
        <v>Access Dtls-3518</v>
      </c>
      <c r="H4" s="15" t="s">
        <v>275</v>
      </c>
      <c r="I4" s="13" t="str">
        <f>("MR. Test_3_EXCH1_"&amp;D4&amp;"")</f>
        <v>MR. Test_3_EXCH1_3518</v>
      </c>
      <c r="J4" s="13"/>
      <c r="K4" s="19" t="s">
        <v>425</v>
      </c>
      <c r="L4" s="13" t="str">
        <f t="shared" si="1"/>
        <v>Cust. Ref-3518</v>
      </c>
      <c r="M4" s="15" t="s">
        <v>48</v>
      </c>
      <c r="N4" s="15" t="s">
        <v>425</v>
      </c>
      <c r="O4" s="13"/>
      <c r="P4" s="13" t="str">
        <f t="shared" si="2"/>
        <v>SN-3518</v>
      </c>
      <c r="Q4" s="13" t="str">
        <f t="shared" si="3"/>
        <v>SI-3518</v>
      </c>
      <c r="R4" s="13" t="str">
        <f t="shared" si="4"/>
        <v>SE-3518</v>
      </c>
      <c r="S4" s="19" t="str">
        <f t="shared" si="5"/>
        <v>Prev_RA-3518</v>
      </c>
      <c r="T4" s="19" t="str">
        <f t="shared" si="6"/>
        <v>Prev_Comms-3518</v>
      </c>
      <c r="U4" s="15" t="s">
        <v>75</v>
      </c>
      <c r="V4" s="15" t="s">
        <v>401</v>
      </c>
      <c r="W4" s="15" t="s">
        <v>75</v>
      </c>
      <c r="X4" s="15" t="s">
        <v>396</v>
      </c>
      <c r="Y4" s="13" t="str">
        <f t="shared" si="7"/>
        <v>Forward Add-3518</v>
      </c>
      <c r="Z4" s="15" t="s">
        <v>401</v>
      </c>
      <c r="AA4" s="133" t="str">
        <f>'Run Parameters'!$B$2</f>
        <v>2019-04-26 08:00</v>
      </c>
      <c r="AB4" s="213" t="str">
        <f>'Run Parameters'!B$3</f>
        <v>2019-04-26 18:00</v>
      </c>
      <c r="AC4" s="26">
        <f>('Run Parameters'!$B$2) - 7</f>
        <v>43574.333333333336</v>
      </c>
      <c r="AD4" s="15" t="s">
        <v>75</v>
      </c>
      <c r="AE4" s="13" t="str">
        <f t="shared" si="8"/>
        <v>LAST_METER-3518</v>
      </c>
      <c r="AF4" s="133" t="str">
        <f>'Run Parameters'!$B$2</f>
        <v>2019-04-26 08:00</v>
      </c>
      <c r="AG4" s="13" t="str">
        <f>'Run Parameters'!B$4</f>
        <v>AUTOTEST2</v>
      </c>
      <c r="AH4" s="19" t="str">
        <f t="shared" si="9"/>
        <v>Site_Contact_3518</v>
      </c>
      <c r="AI4" s="133" t="str">
        <f>'Run Parameters'!B$2</f>
        <v>2019-04-26 08:00</v>
      </c>
      <c r="AJ4" s="213" t="str">
        <f>'Run Parameters'!B$3</f>
        <v>2019-04-26 18:00</v>
      </c>
      <c r="AK4" s="13" t="s">
        <v>396</v>
      </c>
      <c r="AL4" s="19" t="str">
        <f t="shared" si="10"/>
        <v>011593518</v>
      </c>
      <c r="AM4" s="13" t="str">
        <f t="shared" si="11"/>
        <v>01153518</v>
      </c>
      <c r="AN4" s="15"/>
      <c r="AO4" s="15"/>
      <c r="AP4" s="13">
        <v>1</v>
      </c>
      <c r="AQ4" s="15" t="s">
        <v>49</v>
      </c>
      <c r="AR4" s="15"/>
      <c r="AS4" s="13"/>
      <c r="AT4" s="15" t="s">
        <v>400</v>
      </c>
      <c r="AU4" s="15"/>
      <c r="AV4" s="13">
        <f t="shared" si="12"/>
        <v>3518</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GAS_ENQ_NO-3518</v>
      </c>
      <c r="CK4" s="15" t="s">
        <v>165</v>
      </c>
      <c r="CL4" s="15" t="s">
        <v>391</v>
      </c>
      <c r="CM4" s="15" t="s">
        <v>390</v>
      </c>
      <c r="CN4" s="13" t="s">
        <v>1036</v>
      </c>
      <c r="CO4" s="13" t="str">
        <f t="shared" si="14"/>
        <v>GAS_JOB_ID-3518</v>
      </c>
      <c r="CP4" s="15"/>
      <c r="CQ4" s="13" t="str">
        <f t="shared" si="15"/>
        <v>100003518</v>
      </c>
      <c r="CR4" s="13" t="s">
        <v>154</v>
      </c>
      <c r="CS4" s="15" t="s">
        <v>51</v>
      </c>
      <c r="CT4" s="217" t="str">
        <f t="shared" si="16"/>
        <v>GMETER3518</v>
      </c>
      <c r="CU4" s="13" t="s">
        <v>161</v>
      </c>
      <c r="CV4" s="15" t="s">
        <v>165</v>
      </c>
      <c r="CW4" s="15" t="s">
        <v>414</v>
      </c>
      <c r="CX4" s="15"/>
      <c r="CY4" s="15"/>
      <c r="CZ4" s="15" t="s">
        <v>394</v>
      </c>
      <c r="DA4" s="15" t="s">
        <v>395</v>
      </c>
      <c r="DB4" s="13" t="str">
        <f t="shared" si="17"/>
        <v>GAS_INST_ID-3518</v>
      </c>
      <c r="DC4" s="15" t="s">
        <v>161</v>
      </c>
      <c r="DD4" s="15"/>
      <c r="DE4" s="15" t="s">
        <v>51</v>
      </c>
      <c r="DF4" s="15" t="s">
        <v>264</v>
      </c>
      <c r="DG4" s="15"/>
      <c r="DH4" s="15" t="s">
        <v>397</v>
      </c>
      <c r="DI4" s="15" t="s">
        <v>399</v>
      </c>
      <c r="DJ4" s="15" t="s">
        <v>836</v>
      </c>
      <c r="DK4" s="15" t="s">
        <v>140</v>
      </c>
      <c r="DL4" s="218"/>
      <c r="DM4" s="218"/>
      <c r="DN4" s="13" t="str">
        <f t="shared" si="18"/>
        <v>DS_Pass-3518</v>
      </c>
      <c r="DO4" s="15"/>
      <c r="DP4" s="15"/>
      <c r="DQ4" s="15"/>
      <c r="DR4" s="13"/>
      <c r="DS4" s="13"/>
      <c r="DT4" s="15" t="s">
        <v>52</v>
      </c>
      <c r="DU4" s="15"/>
      <c r="DV4" s="15"/>
      <c r="DW4" s="13"/>
      <c r="DX4" s="15" t="s">
        <v>54</v>
      </c>
      <c r="DY4" s="15" t="s">
        <v>61</v>
      </c>
      <c r="DZ4" s="15" t="s">
        <v>402</v>
      </c>
      <c r="EA4" s="19" t="str">
        <f t="shared" si="19"/>
        <v>3518CUSTOMER_ADDRESSEXCH1 ROADCUSTOMER_ADDRESSTESTINGHAMCUSTOMER_ADDRESSTESTINGHAMSHIRE</v>
      </c>
      <c r="EB4" s="15" t="s">
        <v>836</v>
      </c>
      <c r="EC4" s="218"/>
      <c r="ED4" s="218"/>
      <c r="EE4" s="218"/>
    </row>
    <row r="5" spans="1:136" s="219" customFormat="1" x14ac:dyDescent="0.2">
      <c r="A5" s="209" t="s">
        <v>1039</v>
      </c>
      <c r="B5" s="209" t="s">
        <v>868</v>
      </c>
      <c r="C5" s="209" t="s">
        <v>865</v>
      </c>
      <c r="D5" s="13">
        <f>'Run Parameters'!$B$1 + ROW()-1</f>
        <v>3519</v>
      </c>
      <c r="E5" s="15" t="s">
        <v>47</v>
      </c>
      <c r="F5" s="13" t="s">
        <v>1036</v>
      </c>
      <c r="G5" s="13" t="str">
        <f t="shared" si="0"/>
        <v>Access Dtls-3519</v>
      </c>
      <c r="H5" s="15" t="s">
        <v>275</v>
      </c>
      <c r="I5" s="13" t="str">
        <f>("MR. Test_4_EXCH1_"&amp;D5&amp;"")</f>
        <v>MR. Test_4_EXCH1_3519</v>
      </c>
      <c r="J5" s="13"/>
      <c r="K5" s="19" t="s">
        <v>425</v>
      </c>
      <c r="L5" s="13" t="str">
        <f t="shared" si="1"/>
        <v>Cust. Ref-3519</v>
      </c>
      <c r="M5" s="15" t="s">
        <v>48</v>
      </c>
      <c r="N5" s="15" t="s">
        <v>425</v>
      </c>
      <c r="O5" s="13"/>
      <c r="P5" s="13" t="str">
        <f t="shared" si="2"/>
        <v>SN-3519</v>
      </c>
      <c r="Q5" s="13" t="str">
        <f t="shared" si="3"/>
        <v>SI-3519</v>
      </c>
      <c r="R5" s="13" t="str">
        <f t="shared" si="4"/>
        <v>SE-3519</v>
      </c>
      <c r="S5" s="19" t="str">
        <f t="shared" si="5"/>
        <v>Prev_RA-3519</v>
      </c>
      <c r="T5" s="19" t="str">
        <f t="shared" si="6"/>
        <v>Prev_Comms-3519</v>
      </c>
      <c r="U5" s="15" t="s">
        <v>75</v>
      </c>
      <c r="V5" s="15" t="s">
        <v>401</v>
      </c>
      <c r="W5" s="15" t="s">
        <v>75</v>
      </c>
      <c r="X5" s="15" t="s">
        <v>396</v>
      </c>
      <c r="Y5" s="13" t="str">
        <f t="shared" si="7"/>
        <v>Forward Add-3519</v>
      </c>
      <c r="Z5" s="15" t="s">
        <v>401</v>
      </c>
      <c r="AA5" s="133" t="str">
        <f>'Run Parameters'!$B$2</f>
        <v>2019-04-26 08:00</v>
      </c>
      <c r="AB5" s="213" t="str">
        <f>'Run Parameters'!B$3</f>
        <v>2019-04-26 18:00</v>
      </c>
      <c r="AC5" s="26">
        <f>('Run Parameters'!$B$2) - 7</f>
        <v>43574.333333333336</v>
      </c>
      <c r="AD5" s="15" t="s">
        <v>75</v>
      </c>
      <c r="AE5" s="13" t="str">
        <f t="shared" si="8"/>
        <v>LAST_METER-3519</v>
      </c>
      <c r="AF5" s="133" t="str">
        <f>'Run Parameters'!$B$2</f>
        <v>2019-04-26 08:00</v>
      </c>
      <c r="AG5" s="13" t="str">
        <f>'Run Parameters'!B$4</f>
        <v>AUTOTEST2</v>
      </c>
      <c r="AH5" s="19" t="str">
        <f t="shared" si="9"/>
        <v>Site_Contact_3519</v>
      </c>
      <c r="AI5" s="133" t="str">
        <f>'Run Parameters'!B$2</f>
        <v>2019-04-26 08:00</v>
      </c>
      <c r="AJ5" s="213" t="str">
        <f>'Run Parameters'!B$3</f>
        <v>2019-04-26 18:00</v>
      </c>
      <c r="AK5" s="13" t="s">
        <v>396</v>
      </c>
      <c r="AL5" s="19" t="str">
        <f t="shared" si="10"/>
        <v>011593519</v>
      </c>
      <c r="AM5" s="13" t="str">
        <f t="shared" si="11"/>
        <v>01153519</v>
      </c>
      <c r="AN5" s="15"/>
      <c r="AO5" s="15"/>
      <c r="AP5" s="13">
        <v>1</v>
      </c>
      <c r="AQ5" s="15" t="s">
        <v>49</v>
      </c>
      <c r="AR5" s="15"/>
      <c r="AS5" s="13"/>
      <c r="AT5" s="15" t="s">
        <v>400</v>
      </c>
      <c r="AU5" s="15"/>
      <c r="AV5" s="13">
        <f t="shared" si="12"/>
        <v>3519</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GAS_ENQ_NO-3519</v>
      </c>
      <c r="CK5" s="15" t="s">
        <v>165</v>
      </c>
      <c r="CL5" s="15" t="s">
        <v>391</v>
      </c>
      <c r="CM5" s="15" t="s">
        <v>390</v>
      </c>
      <c r="CN5" s="13" t="s">
        <v>1036</v>
      </c>
      <c r="CO5" s="13" t="str">
        <f t="shared" si="14"/>
        <v>GAS_JOB_ID-3519</v>
      </c>
      <c r="CP5" s="15"/>
      <c r="CQ5" s="13" t="str">
        <f t="shared" si="15"/>
        <v>100003519</v>
      </c>
      <c r="CR5" s="13" t="s">
        <v>154</v>
      </c>
      <c r="CS5" s="15" t="s">
        <v>51</v>
      </c>
      <c r="CT5" s="217" t="str">
        <f t="shared" si="16"/>
        <v>GMETER3519</v>
      </c>
      <c r="CU5" s="13" t="s">
        <v>161</v>
      </c>
      <c r="CV5" s="15" t="s">
        <v>165</v>
      </c>
      <c r="CW5" s="15" t="s">
        <v>414</v>
      </c>
      <c r="CX5" s="15"/>
      <c r="CY5" s="15"/>
      <c r="CZ5" s="15" t="s">
        <v>394</v>
      </c>
      <c r="DA5" s="15" t="s">
        <v>395</v>
      </c>
      <c r="DB5" s="13" t="str">
        <f t="shared" si="17"/>
        <v>GAS_INST_ID-3519</v>
      </c>
      <c r="DC5" s="15" t="s">
        <v>161</v>
      </c>
      <c r="DD5" s="15"/>
      <c r="DE5" s="15" t="s">
        <v>51</v>
      </c>
      <c r="DF5" s="15" t="s">
        <v>264</v>
      </c>
      <c r="DG5" s="15"/>
      <c r="DH5" s="15" t="s">
        <v>397</v>
      </c>
      <c r="DI5" s="15" t="s">
        <v>399</v>
      </c>
      <c r="DJ5" s="15" t="s">
        <v>836</v>
      </c>
      <c r="DK5" s="15" t="s">
        <v>140</v>
      </c>
      <c r="DL5" s="218"/>
      <c r="DM5" s="218"/>
      <c r="DN5" s="13" t="str">
        <f t="shared" si="18"/>
        <v>DS_Pass-3519</v>
      </c>
      <c r="DO5" s="15"/>
      <c r="DP5" s="15"/>
      <c r="DQ5" s="15"/>
      <c r="DR5" s="13"/>
      <c r="DS5" s="13"/>
      <c r="DT5" s="15" t="s">
        <v>52</v>
      </c>
      <c r="DU5" s="15"/>
      <c r="DV5" s="15"/>
      <c r="DW5" s="13"/>
      <c r="DX5" s="15" t="s">
        <v>54</v>
      </c>
      <c r="DY5" s="15" t="s">
        <v>61</v>
      </c>
      <c r="DZ5" s="15" t="s">
        <v>402</v>
      </c>
      <c r="EA5" s="19" t="str">
        <f t="shared" si="19"/>
        <v>3519CUSTOMER_ADDRESSEXCH1 ROADCUSTOMER_ADDRESSTESTINGHAMCUSTOMER_ADDRESSTESTINGHAMSHIRE</v>
      </c>
      <c r="EB5" s="15" t="s">
        <v>836</v>
      </c>
      <c r="EC5" s="218"/>
      <c r="ED5" s="218"/>
      <c r="EE5" s="218"/>
    </row>
    <row r="6" spans="1:136" s="219" customFormat="1" x14ac:dyDescent="0.2">
      <c r="A6" s="209" t="s">
        <v>1040</v>
      </c>
      <c r="B6" s="209" t="s">
        <v>892</v>
      </c>
      <c r="C6" s="209" t="s">
        <v>865</v>
      </c>
      <c r="D6" s="13">
        <f>'Run Parameters'!$B$1 + ROW()-1</f>
        <v>3520</v>
      </c>
      <c r="E6" s="15" t="s">
        <v>47</v>
      </c>
      <c r="F6" s="13" t="s">
        <v>1036</v>
      </c>
      <c r="G6" s="13" t="str">
        <f t="shared" si="0"/>
        <v>Access Dtls-3520</v>
      </c>
      <c r="H6" s="15" t="s">
        <v>275</v>
      </c>
      <c r="I6" s="13" t="str">
        <f>("MR. Test_5_EXCH1_"&amp;D6&amp;"")</f>
        <v>MR. Test_5_EXCH1_3520</v>
      </c>
      <c r="J6" s="13"/>
      <c r="K6" s="19" t="s">
        <v>425</v>
      </c>
      <c r="L6" s="13" t="str">
        <f t="shared" si="1"/>
        <v>Cust. Ref-3520</v>
      </c>
      <c r="M6" s="15" t="s">
        <v>48</v>
      </c>
      <c r="N6" s="15" t="s">
        <v>425</v>
      </c>
      <c r="O6" s="13"/>
      <c r="P6" s="13" t="str">
        <f t="shared" si="2"/>
        <v>SN-3520</v>
      </c>
      <c r="Q6" s="13" t="str">
        <f t="shared" si="3"/>
        <v>SI-3520</v>
      </c>
      <c r="R6" s="13" t="str">
        <f t="shared" si="4"/>
        <v>SE-3520</v>
      </c>
      <c r="S6" s="19" t="str">
        <f t="shared" si="5"/>
        <v>Prev_RA-3520</v>
      </c>
      <c r="T6" s="19" t="str">
        <f t="shared" si="6"/>
        <v>Prev_Comms-3520</v>
      </c>
      <c r="U6" s="15" t="s">
        <v>75</v>
      </c>
      <c r="V6" s="15" t="s">
        <v>401</v>
      </c>
      <c r="W6" s="15" t="s">
        <v>75</v>
      </c>
      <c r="X6" s="15" t="s">
        <v>396</v>
      </c>
      <c r="Y6" s="13" t="str">
        <f t="shared" si="7"/>
        <v>Forward Add-3520</v>
      </c>
      <c r="Z6" s="15" t="s">
        <v>401</v>
      </c>
      <c r="AA6" s="133" t="str">
        <f>'Run Parameters'!$B$2</f>
        <v>2019-04-26 08:00</v>
      </c>
      <c r="AB6" s="213" t="str">
        <f>'Run Parameters'!B$3</f>
        <v>2019-04-26 18:00</v>
      </c>
      <c r="AC6" s="26">
        <f>('Run Parameters'!$B$2) - 7</f>
        <v>43574.333333333336</v>
      </c>
      <c r="AD6" s="15" t="s">
        <v>75</v>
      </c>
      <c r="AE6" s="13" t="str">
        <f t="shared" si="8"/>
        <v>LAST_METER-3520</v>
      </c>
      <c r="AF6" s="133" t="str">
        <f>'Run Parameters'!$B$2</f>
        <v>2019-04-26 08:00</v>
      </c>
      <c r="AG6" s="13" t="str">
        <f>'Run Parameters'!B$4</f>
        <v>AUTOTEST2</v>
      </c>
      <c r="AH6" s="19" t="str">
        <f t="shared" si="9"/>
        <v>Site_Contact_3520</v>
      </c>
      <c r="AI6" s="133" t="str">
        <f>'Run Parameters'!B$2</f>
        <v>2019-04-26 08:00</v>
      </c>
      <c r="AJ6" s="213" t="str">
        <f>'Run Parameters'!B$3</f>
        <v>2019-04-26 18:00</v>
      </c>
      <c r="AK6" s="13" t="s">
        <v>396</v>
      </c>
      <c r="AL6" s="19" t="str">
        <f t="shared" si="10"/>
        <v>011593520</v>
      </c>
      <c r="AM6" s="13" t="str">
        <f t="shared" si="11"/>
        <v>01153520</v>
      </c>
      <c r="AN6" s="15"/>
      <c r="AO6" s="15"/>
      <c r="AP6" s="13">
        <v>1</v>
      </c>
      <c r="AQ6" s="15" t="s">
        <v>49</v>
      </c>
      <c r="AR6" s="15"/>
      <c r="AS6" s="13"/>
      <c r="AT6" s="15" t="s">
        <v>400</v>
      </c>
      <c r="AU6" s="15"/>
      <c r="AV6" s="13">
        <f t="shared" si="12"/>
        <v>3520</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GAS_ENQ_NO-3520</v>
      </c>
      <c r="CK6" s="15" t="s">
        <v>165</v>
      </c>
      <c r="CL6" s="15" t="s">
        <v>391</v>
      </c>
      <c r="CM6" s="15" t="s">
        <v>390</v>
      </c>
      <c r="CN6" s="13" t="s">
        <v>1036</v>
      </c>
      <c r="CO6" s="13" t="str">
        <f t="shared" si="14"/>
        <v>GAS_JOB_ID-3520</v>
      </c>
      <c r="CP6" s="15"/>
      <c r="CQ6" s="13" t="str">
        <f t="shared" si="15"/>
        <v>100003520</v>
      </c>
      <c r="CR6" s="13" t="s">
        <v>154</v>
      </c>
      <c r="CS6" s="15" t="s">
        <v>51</v>
      </c>
      <c r="CT6" s="217" t="str">
        <f t="shared" si="16"/>
        <v>GMETER3520</v>
      </c>
      <c r="CU6" s="13" t="s">
        <v>161</v>
      </c>
      <c r="CV6" s="15" t="s">
        <v>165</v>
      </c>
      <c r="CW6" s="15" t="s">
        <v>414</v>
      </c>
      <c r="CX6" s="15"/>
      <c r="CY6" s="15"/>
      <c r="CZ6" s="15" t="s">
        <v>394</v>
      </c>
      <c r="DA6" s="15" t="s">
        <v>395</v>
      </c>
      <c r="DB6" s="13" t="str">
        <f t="shared" si="17"/>
        <v>GAS_INST_ID-3520</v>
      </c>
      <c r="DC6" s="15" t="s">
        <v>161</v>
      </c>
      <c r="DD6" s="15"/>
      <c r="DE6" s="15" t="s">
        <v>51</v>
      </c>
      <c r="DF6" s="15" t="s">
        <v>264</v>
      </c>
      <c r="DG6" s="15"/>
      <c r="DH6" s="15" t="s">
        <v>397</v>
      </c>
      <c r="DI6" s="15" t="s">
        <v>399</v>
      </c>
      <c r="DJ6" s="15" t="s">
        <v>836</v>
      </c>
      <c r="DK6" s="15" t="s">
        <v>140</v>
      </c>
      <c r="DL6" s="218"/>
      <c r="DM6" s="218"/>
      <c r="DN6" s="13" t="str">
        <f t="shared" si="18"/>
        <v>DS_Pass-3520</v>
      </c>
      <c r="DO6" s="15"/>
      <c r="DP6" s="15"/>
      <c r="DQ6" s="15"/>
      <c r="DR6" s="13"/>
      <c r="DS6" s="13"/>
      <c r="DT6" s="15" t="s">
        <v>52</v>
      </c>
      <c r="DU6" s="15"/>
      <c r="DV6" s="15"/>
      <c r="DW6" s="13"/>
      <c r="DX6" s="15" t="s">
        <v>54</v>
      </c>
      <c r="DY6" s="15" t="s">
        <v>61</v>
      </c>
      <c r="DZ6" s="15" t="s">
        <v>402</v>
      </c>
      <c r="EA6" s="19" t="str">
        <f t="shared" si="19"/>
        <v>3520CUSTOMER_ADDRESSEXCH1 ROADCUSTOMER_ADDRESSTESTINGHAMCUSTOMER_ADDRESSTESTINGHAMSHIRE</v>
      </c>
      <c r="EB6" s="15" t="s">
        <v>836</v>
      </c>
      <c r="EC6" s="218"/>
      <c r="ED6" s="218"/>
      <c r="EE6" s="218"/>
    </row>
    <row r="7" spans="1:136" s="219" customFormat="1" x14ac:dyDescent="0.2">
      <c r="A7" s="209" t="s">
        <v>1089</v>
      </c>
      <c r="B7" s="209" t="s">
        <v>892</v>
      </c>
      <c r="C7" s="209" t="s">
        <v>865</v>
      </c>
      <c r="D7" s="13">
        <f>'Run Parameters'!$B$1 + ROW()-1</f>
        <v>3521</v>
      </c>
      <c r="E7" s="15" t="s">
        <v>47</v>
      </c>
      <c r="F7" s="13" t="s">
        <v>1036</v>
      </c>
      <c r="G7" s="13" t="str">
        <f t="shared" si="0"/>
        <v>Access Dtls-3521</v>
      </c>
      <c r="H7" s="15" t="s">
        <v>275</v>
      </c>
      <c r="I7" s="13" t="str">
        <f>("MR. Test_6_EXCH1_"&amp;D7&amp;"")</f>
        <v>MR. Test_6_EXCH1_3521</v>
      </c>
      <c r="J7" s="13"/>
      <c r="K7" s="19" t="s">
        <v>425</v>
      </c>
      <c r="L7" s="13" t="str">
        <f t="shared" si="1"/>
        <v>Cust. Ref-3521</v>
      </c>
      <c r="M7" s="15" t="s">
        <v>48</v>
      </c>
      <c r="N7" s="15" t="s">
        <v>425</v>
      </c>
      <c r="O7" s="13"/>
      <c r="P7" s="13" t="str">
        <f t="shared" si="2"/>
        <v>SN-3521</v>
      </c>
      <c r="Q7" s="13" t="str">
        <f t="shared" si="3"/>
        <v>SI-3521</v>
      </c>
      <c r="R7" s="13" t="str">
        <f t="shared" si="4"/>
        <v>SE-3521</v>
      </c>
      <c r="S7" s="19" t="str">
        <f t="shared" si="5"/>
        <v>Prev_RA-3521</v>
      </c>
      <c r="T7" s="19" t="str">
        <f t="shared" si="6"/>
        <v>Prev_Comms-3521</v>
      </c>
      <c r="U7" s="15" t="s">
        <v>75</v>
      </c>
      <c r="V7" s="15" t="s">
        <v>401</v>
      </c>
      <c r="W7" s="15" t="s">
        <v>75</v>
      </c>
      <c r="X7" s="15" t="s">
        <v>1087</v>
      </c>
      <c r="Y7" s="13" t="str">
        <f t="shared" si="7"/>
        <v>Forward Add-3521</v>
      </c>
      <c r="Z7" s="15" t="s">
        <v>401</v>
      </c>
      <c r="AA7" s="133" t="str">
        <f>'Run Parameters'!$B$2</f>
        <v>2019-04-26 08:00</v>
      </c>
      <c r="AB7" s="213" t="str">
        <f>'Run Parameters'!B$3</f>
        <v>2019-04-26 18:00</v>
      </c>
      <c r="AC7" s="26">
        <f>('Run Parameters'!$B$2) - 7</f>
        <v>43574.333333333336</v>
      </c>
      <c r="AD7" s="15" t="s">
        <v>75</v>
      </c>
      <c r="AE7" s="13" t="str">
        <f t="shared" si="8"/>
        <v>LAST_METER-3521</v>
      </c>
      <c r="AF7" s="133" t="str">
        <f>'Run Parameters'!$B$2</f>
        <v>2019-04-26 08:00</v>
      </c>
      <c r="AG7" s="13" t="str">
        <f>'Run Parameters'!B$4</f>
        <v>AUTOTEST2</v>
      </c>
      <c r="AH7" s="19" t="str">
        <f t="shared" si="9"/>
        <v>Site_Contact_3521</v>
      </c>
      <c r="AI7" s="133" t="str">
        <f>'Run Parameters'!B$2</f>
        <v>2019-04-26 08:00</v>
      </c>
      <c r="AJ7" s="213" t="str">
        <f>'Run Parameters'!B$3</f>
        <v>2019-04-26 18:00</v>
      </c>
      <c r="AK7" s="13" t="s">
        <v>1087</v>
      </c>
      <c r="AL7" s="19" t="str">
        <f t="shared" si="10"/>
        <v>011593521</v>
      </c>
      <c r="AM7" s="13" t="str">
        <f t="shared" si="11"/>
        <v>01153521</v>
      </c>
      <c r="AN7" s="15"/>
      <c r="AO7" s="15"/>
      <c r="AP7" s="13">
        <v>1</v>
      </c>
      <c r="AQ7" s="15" t="s">
        <v>49</v>
      </c>
      <c r="AR7" s="15"/>
      <c r="AS7" s="13"/>
      <c r="AT7" s="15" t="s">
        <v>400</v>
      </c>
      <c r="AU7" s="15"/>
      <c r="AV7" s="13">
        <f t="shared" si="12"/>
        <v>3521</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GAS_ENQ_NO-3521</v>
      </c>
      <c r="CK7" s="15" t="s">
        <v>165</v>
      </c>
      <c r="CL7" s="15" t="s">
        <v>391</v>
      </c>
      <c r="CM7" s="15" t="s">
        <v>390</v>
      </c>
      <c r="CN7" s="13" t="s">
        <v>1036</v>
      </c>
      <c r="CO7" s="13" t="str">
        <f t="shared" si="14"/>
        <v>GAS_JOB_ID-3521</v>
      </c>
      <c r="CP7" s="15"/>
      <c r="CQ7" s="13" t="str">
        <f t="shared" si="15"/>
        <v>100003521</v>
      </c>
      <c r="CR7" s="13" t="s">
        <v>154</v>
      </c>
      <c r="CS7" s="15" t="s">
        <v>51</v>
      </c>
      <c r="CT7" s="217" t="str">
        <f t="shared" si="16"/>
        <v>GMETER3521</v>
      </c>
      <c r="CU7" s="13" t="s">
        <v>161</v>
      </c>
      <c r="CV7" s="15" t="s">
        <v>165</v>
      </c>
      <c r="CW7" s="15" t="s">
        <v>414</v>
      </c>
      <c r="CX7" s="15"/>
      <c r="CY7" s="15"/>
      <c r="CZ7" s="15" t="s">
        <v>394</v>
      </c>
      <c r="DA7" s="15" t="s">
        <v>395</v>
      </c>
      <c r="DB7" s="13" t="str">
        <f t="shared" si="17"/>
        <v>GAS_INST_ID-3521</v>
      </c>
      <c r="DC7" s="15" t="s">
        <v>161</v>
      </c>
      <c r="DD7" s="15"/>
      <c r="DE7" s="15" t="s">
        <v>51</v>
      </c>
      <c r="DF7" s="15" t="s">
        <v>264</v>
      </c>
      <c r="DG7" s="15"/>
      <c r="DH7" s="15" t="s">
        <v>397</v>
      </c>
      <c r="DI7" s="15" t="s">
        <v>399</v>
      </c>
      <c r="DJ7" s="15" t="s">
        <v>836</v>
      </c>
      <c r="DK7" s="15" t="s">
        <v>140</v>
      </c>
      <c r="DL7" s="218"/>
      <c r="DM7" s="218"/>
      <c r="DN7" s="13" t="str">
        <f t="shared" si="18"/>
        <v>DS_Pass-3521</v>
      </c>
      <c r="DO7" s="15"/>
      <c r="DP7" s="15"/>
      <c r="DQ7" s="15"/>
      <c r="DR7" s="13"/>
      <c r="DS7" s="13"/>
      <c r="DT7" s="15" t="s">
        <v>52</v>
      </c>
      <c r="DU7" s="15"/>
      <c r="DV7" s="15"/>
      <c r="DW7" s="13"/>
      <c r="DX7" s="15" t="s">
        <v>54</v>
      </c>
      <c r="DY7" s="15" t="s">
        <v>61</v>
      </c>
      <c r="DZ7" s="15" t="s">
        <v>402</v>
      </c>
      <c r="EA7" s="19" t="str">
        <f t="shared" si="19"/>
        <v>3521CUSTOMER_ADDRESSEXCH1 ROADCUSTOMER_ADDRESSTESTINGHAMCUSTOMER_ADDRESSTESTINGHAMSHIRE</v>
      </c>
      <c r="EB7" s="15" t="s">
        <v>836</v>
      </c>
      <c r="EC7" s="218"/>
      <c r="ED7" s="218"/>
      <c r="EE7" s="218"/>
    </row>
    <row r="8" spans="1:136" s="219" customFormat="1" x14ac:dyDescent="0.2">
      <c r="A8" s="209" t="s">
        <v>1041</v>
      </c>
      <c r="B8" s="209" t="s">
        <v>892</v>
      </c>
      <c r="C8" s="209" t="s">
        <v>865</v>
      </c>
      <c r="D8" s="13">
        <f>'Run Parameters'!$B$1 + ROW()-1</f>
        <v>3522</v>
      </c>
      <c r="E8" s="15" t="s">
        <v>47</v>
      </c>
      <c r="F8" s="13" t="s">
        <v>1036</v>
      </c>
      <c r="G8" s="13" t="str">
        <f t="shared" si="0"/>
        <v>Access Dtls-3522</v>
      </c>
      <c r="H8" s="15" t="s">
        <v>275</v>
      </c>
      <c r="I8" s="13" t="str">
        <f>("MR. Test_7_EXCH1_"&amp;D8&amp;"")</f>
        <v>MR. Test_7_EXCH1_3522</v>
      </c>
      <c r="J8" s="13"/>
      <c r="K8" s="19" t="s">
        <v>425</v>
      </c>
      <c r="L8" s="13" t="str">
        <f t="shared" si="1"/>
        <v>Cust. Ref-3522</v>
      </c>
      <c r="M8" s="15" t="s">
        <v>48</v>
      </c>
      <c r="N8" s="15" t="s">
        <v>425</v>
      </c>
      <c r="O8" s="13"/>
      <c r="P8" s="13" t="str">
        <f t="shared" si="2"/>
        <v>SN-3522</v>
      </c>
      <c r="Q8" s="13" t="str">
        <f t="shared" si="3"/>
        <v>SI-3522</v>
      </c>
      <c r="R8" s="13" t="str">
        <f t="shared" si="4"/>
        <v>SE-3522</v>
      </c>
      <c r="S8" s="19" t="str">
        <f t="shared" si="5"/>
        <v>Prev_RA-3522</v>
      </c>
      <c r="T8" s="19" t="str">
        <f t="shared" si="6"/>
        <v>Prev_Comms-3522</v>
      </c>
      <c r="U8" s="15" t="s">
        <v>75</v>
      </c>
      <c r="V8" s="15" t="s">
        <v>401</v>
      </c>
      <c r="W8" s="15" t="s">
        <v>75</v>
      </c>
      <c r="X8" s="15" t="s">
        <v>396</v>
      </c>
      <c r="Y8" s="13" t="str">
        <f t="shared" si="7"/>
        <v>Forward Add-3522</v>
      </c>
      <c r="Z8" s="15" t="s">
        <v>401</v>
      </c>
      <c r="AA8" s="133" t="str">
        <f>'Run Parameters'!$B$2</f>
        <v>2019-04-26 08:00</v>
      </c>
      <c r="AB8" s="213" t="str">
        <f>'Run Parameters'!B$3</f>
        <v>2019-04-26 18:00</v>
      </c>
      <c r="AC8" s="26">
        <f>('Run Parameters'!$B$2) - 7</f>
        <v>43574.333333333336</v>
      </c>
      <c r="AD8" s="15" t="s">
        <v>75</v>
      </c>
      <c r="AE8" s="13" t="str">
        <f t="shared" si="8"/>
        <v>LAST_METER-3522</v>
      </c>
      <c r="AF8" s="133" t="str">
        <f>'Run Parameters'!$B$2</f>
        <v>2019-04-26 08:00</v>
      </c>
      <c r="AG8" s="13" t="str">
        <f>'Run Parameters'!B$4</f>
        <v>AUTOTEST2</v>
      </c>
      <c r="AH8" s="19" t="str">
        <f t="shared" si="9"/>
        <v>Site_Contact_3522</v>
      </c>
      <c r="AI8" s="133" t="str">
        <f>'Run Parameters'!B$2</f>
        <v>2019-04-26 08:00</v>
      </c>
      <c r="AJ8" s="213" t="str">
        <f>'Run Parameters'!B$3</f>
        <v>2019-04-26 18:00</v>
      </c>
      <c r="AK8" s="13" t="s">
        <v>396</v>
      </c>
      <c r="AL8" s="19" t="str">
        <f t="shared" si="10"/>
        <v>011593522</v>
      </c>
      <c r="AM8" s="13" t="str">
        <f t="shared" si="11"/>
        <v>01153522</v>
      </c>
      <c r="AN8" s="15"/>
      <c r="AO8" s="15"/>
      <c r="AP8" s="13">
        <v>1</v>
      </c>
      <c r="AQ8" s="15" t="s">
        <v>49</v>
      </c>
      <c r="AR8" s="15"/>
      <c r="AS8" s="13"/>
      <c r="AT8" s="15" t="s">
        <v>400</v>
      </c>
      <c r="AU8" s="15"/>
      <c r="AV8" s="13">
        <f t="shared" si="12"/>
        <v>3522</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GAS_ENQ_NO-3522</v>
      </c>
      <c r="CK8" s="15" t="s">
        <v>165</v>
      </c>
      <c r="CL8" s="15" t="s">
        <v>391</v>
      </c>
      <c r="CM8" s="15" t="s">
        <v>390</v>
      </c>
      <c r="CN8" s="13" t="s">
        <v>1036</v>
      </c>
      <c r="CO8" s="13" t="str">
        <f t="shared" si="14"/>
        <v>GAS_JOB_ID-3522</v>
      </c>
      <c r="CP8" s="15"/>
      <c r="CQ8" s="13" t="str">
        <f t="shared" si="15"/>
        <v>100003522</v>
      </c>
      <c r="CR8" s="13" t="s">
        <v>154</v>
      </c>
      <c r="CS8" s="15" t="s">
        <v>51</v>
      </c>
      <c r="CT8" s="217" t="str">
        <f t="shared" si="16"/>
        <v>GMETER3522</v>
      </c>
      <c r="CU8" s="13" t="s">
        <v>161</v>
      </c>
      <c r="CV8" s="15" t="s">
        <v>165</v>
      </c>
      <c r="CW8" s="15" t="s">
        <v>414</v>
      </c>
      <c r="CX8" s="15"/>
      <c r="CY8" s="15"/>
      <c r="CZ8" s="15" t="s">
        <v>394</v>
      </c>
      <c r="DA8" s="15" t="s">
        <v>395</v>
      </c>
      <c r="DB8" s="13" t="str">
        <f t="shared" si="17"/>
        <v>GAS_INST_ID-3522</v>
      </c>
      <c r="DC8" s="15" t="s">
        <v>161</v>
      </c>
      <c r="DD8" s="15"/>
      <c r="DE8" s="15" t="s">
        <v>51</v>
      </c>
      <c r="DF8" s="15" t="s">
        <v>264</v>
      </c>
      <c r="DG8" s="15"/>
      <c r="DH8" s="15" t="s">
        <v>397</v>
      </c>
      <c r="DI8" s="15" t="s">
        <v>399</v>
      </c>
      <c r="DJ8" s="15" t="s">
        <v>836</v>
      </c>
      <c r="DK8" s="15" t="s">
        <v>140</v>
      </c>
      <c r="DL8" s="218"/>
      <c r="DM8" s="218"/>
      <c r="DN8" s="13" t="str">
        <f t="shared" si="18"/>
        <v>DS_Pass-3522</v>
      </c>
      <c r="DO8" s="15"/>
      <c r="DP8" s="15"/>
      <c r="DQ8" s="15"/>
      <c r="DR8" s="13"/>
      <c r="DS8" s="13"/>
      <c r="DT8" s="15" t="s">
        <v>52</v>
      </c>
      <c r="DU8" s="15"/>
      <c r="DV8" s="15"/>
      <c r="DW8" s="13"/>
      <c r="DX8" s="15" t="s">
        <v>54</v>
      </c>
      <c r="DY8" s="15" t="s">
        <v>61</v>
      </c>
      <c r="DZ8" s="15" t="s">
        <v>402</v>
      </c>
      <c r="EA8" s="19" t="str">
        <f t="shared" si="19"/>
        <v>3522CUSTOMER_ADDRESSEXCH1 ROADCUSTOMER_ADDRESSTESTINGHAMCUSTOMER_ADDRESSTESTINGHAMSHIRE</v>
      </c>
      <c r="EB8" s="15" t="s">
        <v>836</v>
      </c>
      <c r="EC8" s="218"/>
      <c r="ED8" s="218"/>
      <c r="EE8" s="218"/>
    </row>
    <row r="9" spans="1:136" s="219" customFormat="1" x14ac:dyDescent="0.2">
      <c r="A9" s="209" t="s">
        <v>1042</v>
      </c>
      <c r="B9" s="209" t="s">
        <v>868</v>
      </c>
      <c r="C9" s="209" t="s">
        <v>865</v>
      </c>
      <c r="D9" s="13">
        <f>'Run Parameters'!$B$1 + ROW()-1</f>
        <v>3523</v>
      </c>
      <c r="E9" s="15" t="s">
        <v>47</v>
      </c>
      <c r="F9" s="13" t="s">
        <v>1036</v>
      </c>
      <c r="G9" s="13" t="str">
        <f t="shared" si="0"/>
        <v>Access Dtls-3523</v>
      </c>
      <c r="H9" s="15" t="s">
        <v>275</v>
      </c>
      <c r="I9" s="13" t="str">
        <f>("MR. Test_8_EXCH1_"&amp;D9&amp;"")</f>
        <v>MR. Test_8_EXCH1_3523</v>
      </c>
      <c r="J9" s="13"/>
      <c r="K9" s="19" t="s">
        <v>425</v>
      </c>
      <c r="L9" s="13" t="str">
        <f t="shared" si="1"/>
        <v>Cust. Ref-3523</v>
      </c>
      <c r="M9" s="15" t="s">
        <v>48</v>
      </c>
      <c r="N9" s="15" t="s">
        <v>425</v>
      </c>
      <c r="O9" s="13"/>
      <c r="P9" s="13" t="str">
        <f t="shared" si="2"/>
        <v>SN-3523</v>
      </c>
      <c r="Q9" s="13" t="str">
        <f t="shared" si="3"/>
        <v>SI-3523</v>
      </c>
      <c r="R9" s="13" t="str">
        <f t="shared" si="4"/>
        <v>SE-3523</v>
      </c>
      <c r="S9" s="19" t="str">
        <f t="shared" si="5"/>
        <v>Prev_RA-3523</v>
      </c>
      <c r="T9" s="19" t="str">
        <f t="shared" si="6"/>
        <v>Prev_Comms-3523</v>
      </c>
      <c r="U9" s="15" t="s">
        <v>75</v>
      </c>
      <c r="V9" s="15" t="s">
        <v>401</v>
      </c>
      <c r="W9" s="15" t="s">
        <v>75</v>
      </c>
      <c r="X9" s="15" t="s">
        <v>396</v>
      </c>
      <c r="Y9" s="13" t="str">
        <f t="shared" si="7"/>
        <v>Forward Add-3523</v>
      </c>
      <c r="Z9" s="15" t="s">
        <v>401</v>
      </c>
      <c r="AA9" s="133" t="str">
        <f>'Run Parameters'!$B$2</f>
        <v>2019-04-26 08:00</v>
      </c>
      <c r="AB9" s="213" t="str">
        <f>'Run Parameters'!B$3</f>
        <v>2019-04-26 18:00</v>
      </c>
      <c r="AC9" s="26">
        <f>('Run Parameters'!$B$2) - 7</f>
        <v>43574.333333333336</v>
      </c>
      <c r="AD9" s="15" t="s">
        <v>75</v>
      </c>
      <c r="AE9" s="13" t="str">
        <f t="shared" si="8"/>
        <v>LAST_METER-3523</v>
      </c>
      <c r="AF9" s="133" t="str">
        <f>'Run Parameters'!$B$2</f>
        <v>2019-04-26 08:00</v>
      </c>
      <c r="AG9" s="13" t="str">
        <f>'Run Parameters'!B$4</f>
        <v>AUTOTEST2</v>
      </c>
      <c r="AH9" s="19" t="str">
        <f t="shared" si="9"/>
        <v>Site_Contact_3523</v>
      </c>
      <c r="AI9" s="133" t="str">
        <f>'Run Parameters'!B$2</f>
        <v>2019-04-26 08:00</v>
      </c>
      <c r="AJ9" s="213" t="str">
        <f>'Run Parameters'!B$3</f>
        <v>2019-04-26 18:00</v>
      </c>
      <c r="AK9" s="13" t="s">
        <v>396</v>
      </c>
      <c r="AL9" s="19" t="str">
        <f t="shared" si="10"/>
        <v>011593523</v>
      </c>
      <c r="AM9" s="13" t="str">
        <f t="shared" si="11"/>
        <v>01153523</v>
      </c>
      <c r="AN9" s="15"/>
      <c r="AO9" s="15"/>
      <c r="AP9" s="13">
        <v>1</v>
      </c>
      <c r="AQ9" s="15" t="s">
        <v>49</v>
      </c>
      <c r="AR9" s="15"/>
      <c r="AS9" s="13"/>
      <c r="AT9" s="15" t="s">
        <v>400</v>
      </c>
      <c r="AU9" s="15"/>
      <c r="AV9" s="13">
        <f t="shared" si="12"/>
        <v>3523</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GAS_ENQ_NO-3523</v>
      </c>
      <c r="CK9" s="15" t="s">
        <v>165</v>
      </c>
      <c r="CL9" s="15" t="s">
        <v>391</v>
      </c>
      <c r="CM9" s="15" t="s">
        <v>390</v>
      </c>
      <c r="CN9" s="13" t="s">
        <v>1036</v>
      </c>
      <c r="CO9" s="13" t="str">
        <f t="shared" si="14"/>
        <v>GAS_JOB_ID-3523</v>
      </c>
      <c r="CP9" s="15"/>
      <c r="CQ9" s="13" t="str">
        <f t="shared" si="15"/>
        <v>100003523</v>
      </c>
      <c r="CR9" s="13" t="s">
        <v>154</v>
      </c>
      <c r="CS9" s="15" t="s">
        <v>51</v>
      </c>
      <c r="CT9" s="217" t="str">
        <f t="shared" si="16"/>
        <v>GMETER3523</v>
      </c>
      <c r="CU9" s="13" t="s">
        <v>161</v>
      </c>
      <c r="CV9" s="15" t="s">
        <v>165</v>
      </c>
      <c r="CW9" s="15" t="s">
        <v>414</v>
      </c>
      <c r="CX9" s="15"/>
      <c r="CY9" s="15"/>
      <c r="CZ9" s="15" t="s">
        <v>394</v>
      </c>
      <c r="DA9" s="15" t="s">
        <v>395</v>
      </c>
      <c r="DB9" s="13" t="str">
        <f t="shared" si="17"/>
        <v>GAS_INST_ID-3523</v>
      </c>
      <c r="DC9" s="15" t="s">
        <v>161</v>
      </c>
      <c r="DD9" s="15"/>
      <c r="DE9" s="15" t="s">
        <v>51</v>
      </c>
      <c r="DF9" s="15" t="s">
        <v>264</v>
      </c>
      <c r="DG9" s="15"/>
      <c r="DH9" s="15" t="s">
        <v>397</v>
      </c>
      <c r="DI9" s="15" t="s">
        <v>399</v>
      </c>
      <c r="DJ9" s="15" t="s">
        <v>836</v>
      </c>
      <c r="DK9" s="15" t="s">
        <v>140</v>
      </c>
      <c r="DL9" s="218"/>
      <c r="DM9" s="218"/>
      <c r="DN9" s="13" t="str">
        <f t="shared" si="18"/>
        <v>DS_Pass-3523</v>
      </c>
      <c r="DO9" s="15"/>
      <c r="DP9" s="15"/>
      <c r="DQ9" s="15"/>
      <c r="DR9" s="13"/>
      <c r="DS9" s="13"/>
      <c r="DT9" s="15" t="s">
        <v>52</v>
      </c>
      <c r="DU9" s="15"/>
      <c r="DV9" s="15"/>
      <c r="DW9" s="13"/>
      <c r="DX9" s="15" t="s">
        <v>54</v>
      </c>
      <c r="DY9" s="15" t="s">
        <v>61</v>
      </c>
      <c r="DZ9" s="15" t="s">
        <v>402</v>
      </c>
      <c r="EA9" s="19" t="str">
        <f t="shared" si="19"/>
        <v>3523CUSTOMER_ADDRESSEXCH1 ROADCUSTOMER_ADDRESSTESTINGHAMCUSTOMER_ADDRESSTESTINGHAMSHIRE</v>
      </c>
      <c r="EB9" s="15" t="s">
        <v>836</v>
      </c>
      <c r="EC9" s="218"/>
      <c r="ED9" s="218"/>
      <c r="EE9" s="218"/>
    </row>
    <row r="10" spans="1:136" s="219" customFormat="1" x14ac:dyDescent="0.2">
      <c r="A10" s="209" t="s">
        <v>1043</v>
      </c>
      <c r="B10" s="209" t="s">
        <v>892</v>
      </c>
      <c r="C10" s="209" t="s">
        <v>865</v>
      </c>
      <c r="D10" s="13">
        <f>'Run Parameters'!$B$1 + ROW()-1</f>
        <v>3524</v>
      </c>
      <c r="E10" s="15" t="s">
        <v>47</v>
      </c>
      <c r="F10" s="13" t="s">
        <v>1036</v>
      </c>
      <c r="G10" s="13" t="str">
        <f t="shared" si="0"/>
        <v>Access Dtls-3524</v>
      </c>
      <c r="H10" s="15" t="s">
        <v>275</v>
      </c>
      <c r="I10" s="13" t="str">
        <f>("MR. Test_9_EXCH1_"&amp;D10&amp;"")</f>
        <v>MR. Test_9_EXCH1_3524</v>
      </c>
      <c r="J10" s="13"/>
      <c r="K10" s="19" t="s">
        <v>425</v>
      </c>
      <c r="L10" s="13" t="str">
        <f t="shared" si="1"/>
        <v>Cust. Ref-3524</v>
      </c>
      <c r="M10" s="15" t="s">
        <v>48</v>
      </c>
      <c r="N10" s="15" t="s">
        <v>425</v>
      </c>
      <c r="O10" s="13"/>
      <c r="P10" s="13" t="str">
        <f t="shared" si="2"/>
        <v>SN-3524</v>
      </c>
      <c r="Q10" s="13" t="str">
        <f t="shared" si="3"/>
        <v>SI-3524</v>
      </c>
      <c r="R10" s="13" t="str">
        <f t="shared" si="4"/>
        <v>SE-3524</v>
      </c>
      <c r="S10" s="19" t="str">
        <f t="shared" si="5"/>
        <v>Prev_RA-3524</v>
      </c>
      <c r="T10" s="19" t="str">
        <f t="shared" si="6"/>
        <v>Prev_Comms-3524</v>
      </c>
      <c r="U10" s="15" t="s">
        <v>75</v>
      </c>
      <c r="V10" s="15" t="s">
        <v>401</v>
      </c>
      <c r="W10" s="15" t="s">
        <v>75</v>
      </c>
      <c r="X10" s="15" t="s">
        <v>396</v>
      </c>
      <c r="Y10" s="13" t="str">
        <f t="shared" si="7"/>
        <v>Forward Add-3524</v>
      </c>
      <c r="Z10" s="15" t="s">
        <v>401</v>
      </c>
      <c r="AA10" s="133" t="str">
        <f>'Run Parameters'!$B$2</f>
        <v>2019-04-26 08:00</v>
      </c>
      <c r="AB10" s="213" t="str">
        <f>'Run Parameters'!B$3</f>
        <v>2019-04-26 18:00</v>
      </c>
      <c r="AC10" s="26">
        <f>('Run Parameters'!$B$2) - 7</f>
        <v>43574.333333333336</v>
      </c>
      <c r="AD10" s="15" t="s">
        <v>75</v>
      </c>
      <c r="AE10" s="13" t="str">
        <f t="shared" si="8"/>
        <v>LAST_METER-3524</v>
      </c>
      <c r="AF10" s="133" t="str">
        <f>'Run Parameters'!$B$2</f>
        <v>2019-04-26 08:00</v>
      </c>
      <c r="AG10" s="13" t="str">
        <f>'Run Parameters'!B$4</f>
        <v>AUTOTEST2</v>
      </c>
      <c r="AH10" s="19" t="str">
        <f t="shared" si="9"/>
        <v>Site_Contact_3524</v>
      </c>
      <c r="AI10" s="133" t="str">
        <f>'Run Parameters'!B$2</f>
        <v>2019-04-26 08:00</v>
      </c>
      <c r="AJ10" s="213" t="str">
        <f>'Run Parameters'!B$3</f>
        <v>2019-04-26 18:00</v>
      </c>
      <c r="AK10" s="13" t="s">
        <v>396</v>
      </c>
      <c r="AL10" s="19" t="str">
        <f t="shared" si="10"/>
        <v>011593524</v>
      </c>
      <c r="AM10" s="13" t="str">
        <f t="shared" si="11"/>
        <v>01153524</v>
      </c>
      <c r="AN10" s="15"/>
      <c r="AO10" s="15"/>
      <c r="AP10" s="13">
        <v>1</v>
      </c>
      <c r="AQ10" s="15" t="s">
        <v>49</v>
      </c>
      <c r="AR10" s="15"/>
      <c r="AS10" s="13"/>
      <c r="AT10" s="15" t="s">
        <v>400</v>
      </c>
      <c r="AU10" s="15"/>
      <c r="AV10" s="13">
        <f t="shared" si="12"/>
        <v>3524</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GAS_ENQ_NO-3524</v>
      </c>
      <c r="CK10" s="15" t="s">
        <v>165</v>
      </c>
      <c r="CL10" s="15" t="s">
        <v>391</v>
      </c>
      <c r="CM10" s="15" t="s">
        <v>390</v>
      </c>
      <c r="CN10" s="13" t="s">
        <v>1036</v>
      </c>
      <c r="CO10" s="13" t="str">
        <f t="shared" si="14"/>
        <v>GAS_JOB_ID-3524</v>
      </c>
      <c r="CP10" s="15"/>
      <c r="CQ10" s="13" t="str">
        <f t="shared" si="15"/>
        <v>100003524</v>
      </c>
      <c r="CR10" s="13" t="s">
        <v>154</v>
      </c>
      <c r="CS10" s="15" t="s">
        <v>51</v>
      </c>
      <c r="CT10" s="217" t="str">
        <f t="shared" si="16"/>
        <v>GMETER3524</v>
      </c>
      <c r="CU10" s="13" t="s">
        <v>161</v>
      </c>
      <c r="CV10" s="15" t="s">
        <v>165</v>
      </c>
      <c r="CW10" s="15" t="s">
        <v>414</v>
      </c>
      <c r="CX10" s="15"/>
      <c r="CY10" s="15"/>
      <c r="CZ10" s="15" t="s">
        <v>394</v>
      </c>
      <c r="DA10" s="15" t="s">
        <v>395</v>
      </c>
      <c r="DB10" s="13" t="str">
        <f t="shared" si="17"/>
        <v>GAS_INST_ID-3524</v>
      </c>
      <c r="DC10" s="15" t="s">
        <v>161</v>
      </c>
      <c r="DD10" s="15"/>
      <c r="DE10" s="15" t="s">
        <v>51</v>
      </c>
      <c r="DF10" s="15" t="s">
        <v>264</v>
      </c>
      <c r="DG10" s="15"/>
      <c r="DH10" s="15" t="s">
        <v>397</v>
      </c>
      <c r="DI10" s="15" t="s">
        <v>399</v>
      </c>
      <c r="DJ10" s="15" t="s">
        <v>836</v>
      </c>
      <c r="DK10" s="15" t="s">
        <v>140</v>
      </c>
      <c r="DL10" s="218"/>
      <c r="DM10" s="218"/>
      <c r="DN10" s="13" t="str">
        <f t="shared" si="18"/>
        <v>DS_Pass-3524</v>
      </c>
      <c r="DO10" s="15"/>
      <c r="DP10" s="15"/>
      <c r="DQ10" s="15"/>
      <c r="DR10" s="13"/>
      <c r="DS10" s="13"/>
      <c r="DT10" s="15" t="s">
        <v>52</v>
      </c>
      <c r="DU10" s="15"/>
      <c r="DV10" s="15"/>
      <c r="DW10" s="13"/>
      <c r="DX10" s="15" t="s">
        <v>54</v>
      </c>
      <c r="DY10" s="15" t="s">
        <v>61</v>
      </c>
      <c r="DZ10" s="15" t="s">
        <v>402</v>
      </c>
      <c r="EA10" s="19" t="str">
        <f t="shared" si="19"/>
        <v>3524CUSTOMER_ADDRESSEXCH1 ROADCUSTOMER_ADDRESSTESTINGHAMCUSTOMER_ADDRESSTESTINGHAMSHIRE</v>
      </c>
      <c r="EB10" s="15" t="s">
        <v>836</v>
      </c>
      <c r="EC10" s="218"/>
      <c r="ED10" s="218"/>
      <c r="EE10" s="218"/>
    </row>
    <row r="11" spans="1:136" s="219" customFormat="1" x14ac:dyDescent="0.2">
      <c r="A11" s="209" t="s">
        <v>1044</v>
      </c>
      <c r="B11" s="209" t="s">
        <v>868</v>
      </c>
      <c r="C11" s="209" t="s">
        <v>865</v>
      </c>
      <c r="D11" s="13">
        <f>'Run Parameters'!$B$1 + ROW()-1</f>
        <v>3525</v>
      </c>
      <c r="E11" s="15" t="s">
        <v>47</v>
      </c>
      <c r="F11" s="13" t="s">
        <v>1036</v>
      </c>
      <c r="G11" s="13" t="str">
        <f t="shared" si="0"/>
        <v>Access Dtls-3525</v>
      </c>
      <c r="H11" s="15" t="s">
        <v>275</v>
      </c>
      <c r="I11" s="13" t="str">
        <f>("MR. Test_10_EXCH1_"&amp;D11&amp;"")</f>
        <v>MR. Test_10_EXCH1_3525</v>
      </c>
      <c r="J11" s="13"/>
      <c r="K11" s="19" t="s">
        <v>425</v>
      </c>
      <c r="L11" s="13" t="str">
        <f t="shared" si="1"/>
        <v>Cust. Ref-3525</v>
      </c>
      <c r="M11" s="15" t="s">
        <v>48</v>
      </c>
      <c r="N11" s="15" t="s">
        <v>425</v>
      </c>
      <c r="O11" s="13"/>
      <c r="P11" s="13" t="str">
        <f t="shared" si="2"/>
        <v>SN-3525</v>
      </c>
      <c r="Q11" s="13" t="str">
        <f t="shared" si="3"/>
        <v>SI-3525</v>
      </c>
      <c r="R11" s="13" t="str">
        <f t="shared" si="4"/>
        <v>SE-3525</v>
      </c>
      <c r="S11" s="19" t="str">
        <f t="shared" si="5"/>
        <v>Prev_RA-3525</v>
      </c>
      <c r="T11" s="19" t="str">
        <f t="shared" si="6"/>
        <v>Prev_Comms-3525</v>
      </c>
      <c r="U11" s="15" t="s">
        <v>75</v>
      </c>
      <c r="V11" s="15" t="s">
        <v>401</v>
      </c>
      <c r="W11" s="15" t="s">
        <v>75</v>
      </c>
      <c r="X11" s="15" t="s">
        <v>396</v>
      </c>
      <c r="Y11" s="13" t="str">
        <f t="shared" si="7"/>
        <v>Forward Add-3525</v>
      </c>
      <c r="Z11" s="15" t="s">
        <v>401</v>
      </c>
      <c r="AA11" s="133" t="str">
        <f>'Run Parameters'!$B$2</f>
        <v>2019-04-26 08:00</v>
      </c>
      <c r="AB11" s="213" t="str">
        <f>'Run Parameters'!B$3</f>
        <v>2019-04-26 18:00</v>
      </c>
      <c r="AC11" s="26">
        <f>('Run Parameters'!$B$2) - 7</f>
        <v>43574.333333333336</v>
      </c>
      <c r="AD11" s="15" t="s">
        <v>75</v>
      </c>
      <c r="AE11" s="13" t="str">
        <f t="shared" si="8"/>
        <v>LAST_METER-3525</v>
      </c>
      <c r="AF11" s="133" t="str">
        <f>'Run Parameters'!$B$2</f>
        <v>2019-04-26 08:00</v>
      </c>
      <c r="AG11" s="13" t="str">
        <f>'Run Parameters'!B$4</f>
        <v>AUTOTEST2</v>
      </c>
      <c r="AH11" s="19" t="str">
        <f t="shared" si="9"/>
        <v>Site_Contact_3525</v>
      </c>
      <c r="AI11" s="133" t="str">
        <f>'Run Parameters'!B$2</f>
        <v>2019-04-26 08:00</v>
      </c>
      <c r="AJ11" s="213" t="str">
        <f>'Run Parameters'!B$3</f>
        <v>2019-04-26 18:00</v>
      </c>
      <c r="AK11" s="13" t="s">
        <v>396</v>
      </c>
      <c r="AL11" s="19" t="str">
        <f t="shared" si="10"/>
        <v>011593525</v>
      </c>
      <c r="AM11" s="13" t="str">
        <f t="shared" si="11"/>
        <v>01153525</v>
      </c>
      <c r="AN11" s="15"/>
      <c r="AO11" s="15"/>
      <c r="AP11" s="13">
        <v>1</v>
      </c>
      <c r="AQ11" s="15" t="s">
        <v>49</v>
      </c>
      <c r="AR11" s="15"/>
      <c r="AS11" s="13"/>
      <c r="AT11" s="15" t="s">
        <v>400</v>
      </c>
      <c r="AU11" s="15"/>
      <c r="AV11" s="13">
        <f t="shared" si="12"/>
        <v>3525</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GAS_ENQ_NO-3525</v>
      </c>
      <c r="CK11" s="15" t="s">
        <v>165</v>
      </c>
      <c r="CL11" s="15" t="s">
        <v>391</v>
      </c>
      <c r="CM11" s="15" t="s">
        <v>390</v>
      </c>
      <c r="CN11" s="13" t="s">
        <v>1036</v>
      </c>
      <c r="CO11" s="13" t="str">
        <f t="shared" si="14"/>
        <v>GAS_JOB_ID-3525</v>
      </c>
      <c r="CP11" s="15"/>
      <c r="CQ11" s="13" t="str">
        <f t="shared" si="15"/>
        <v>100003525</v>
      </c>
      <c r="CR11" s="13" t="s">
        <v>154</v>
      </c>
      <c r="CS11" s="15" t="s">
        <v>51</v>
      </c>
      <c r="CT11" s="217" t="str">
        <f t="shared" si="16"/>
        <v>GMETER3525</v>
      </c>
      <c r="CU11" s="13" t="s">
        <v>161</v>
      </c>
      <c r="CV11" s="15" t="s">
        <v>165</v>
      </c>
      <c r="CW11" s="15" t="s">
        <v>414</v>
      </c>
      <c r="CX11" s="15"/>
      <c r="CY11" s="15"/>
      <c r="CZ11" s="15" t="s">
        <v>394</v>
      </c>
      <c r="DA11" s="15" t="s">
        <v>395</v>
      </c>
      <c r="DB11" s="13" t="str">
        <f t="shared" si="17"/>
        <v>GAS_INST_ID-3525</v>
      </c>
      <c r="DC11" s="15" t="s">
        <v>161</v>
      </c>
      <c r="DD11" s="15"/>
      <c r="DE11" s="15" t="s">
        <v>51</v>
      </c>
      <c r="DF11" s="15" t="s">
        <v>264</v>
      </c>
      <c r="DG11" s="15"/>
      <c r="DH11" s="15" t="s">
        <v>397</v>
      </c>
      <c r="DI11" s="15" t="s">
        <v>399</v>
      </c>
      <c r="DJ11" s="15" t="s">
        <v>836</v>
      </c>
      <c r="DK11" s="15" t="s">
        <v>140</v>
      </c>
      <c r="DL11" s="218"/>
      <c r="DM11" s="218"/>
      <c r="DN11" s="13" t="str">
        <f t="shared" si="18"/>
        <v>DS_Pass-3525</v>
      </c>
      <c r="DO11" s="15"/>
      <c r="DP11" s="15"/>
      <c r="DQ11" s="15"/>
      <c r="DR11" s="13"/>
      <c r="DS11" s="13"/>
      <c r="DT11" s="15" t="s">
        <v>52</v>
      </c>
      <c r="DU11" s="15"/>
      <c r="DV11" s="15"/>
      <c r="DW11" s="13"/>
      <c r="DX11" s="15" t="s">
        <v>54</v>
      </c>
      <c r="DY11" s="15" t="s">
        <v>61</v>
      </c>
      <c r="DZ11" s="15" t="s">
        <v>402</v>
      </c>
      <c r="EA11" s="19" t="str">
        <f t="shared" si="19"/>
        <v>3525CUSTOMER_ADDRESSEXCH1 ROADCUSTOMER_ADDRESSTESTINGHAMCUSTOMER_ADDRESSTESTINGHAMSHIRE</v>
      </c>
      <c r="EB11" s="15" t="s">
        <v>836</v>
      </c>
      <c r="EC11" s="218"/>
      <c r="ED11" s="218"/>
      <c r="EE11" s="218"/>
    </row>
    <row r="12" spans="1:136" s="219" customFormat="1" x14ac:dyDescent="0.2">
      <c r="A12" s="209" t="s">
        <v>1045</v>
      </c>
      <c r="B12" s="209" t="s">
        <v>892</v>
      </c>
      <c r="C12" s="209" t="s">
        <v>865</v>
      </c>
      <c r="D12" s="13">
        <f>'Run Parameters'!$B$1 + ROW()-1</f>
        <v>3526</v>
      </c>
      <c r="E12" s="15" t="s">
        <v>47</v>
      </c>
      <c r="F12" s="13" t="s">
        <v>1036</v>
      </c>
      <c r="G12" s="13" t="str">
        <f t="shared" si="0"/>
        <v>Access Dtls-3526</v>
      </c>
      <c r="H12" s="15" t="s">
        <v>275</v>
      </c>
      <c r="I12" s="13" t="str">
        <f>("MR. Test_11_EXCH1_"&amp;D12&amp;"")</f>
        <v>MR. Test_11_EXCH1_3526</v>
      </c>
      <c r="J12" s="13"/>
      <c r="K12" s="19" t="s">
        <v>425</v>
      </c>
      <c r="L12" s="13" t="str">
        <f t="shared" si="1"/>
        <v>Cust. Ref-3526</v>
      </c>
      <c r="M12" s="15" t="s">
        <v>48</v>
      </c>
      <c r="N12" s="15" t="s">
        <v>425</v>
      </c>
      <c r="O12" s="13"/>
      <c r="P12" s="13" t="str">
        <f t="shared" si="2"/>
        <v>SN-3526</v>
      </c>
      <c r="Q12" s="13" t="str">
        <f t="shared" si="3"/>
        <v>SI-3526</v>
      </c>
      <c r="R12" s="13" t="str">
        <f t="shared" si="4"/>
        <v>SE-3526</v>
      </c>
      <c r="S12" s="19" t="str">
        <f t="shared" si="5"/>
        <v>Prev_RA-3526</v>
      </c>
      <c r="T12" s="19" t="str">
        <f t="shared" si="6"/>
        <v>Prev_Comms-3526</v>
      </c>
      <c r="U12" s="15" t="s">
        <v>75</v>
      </c>
      <c r="V12" s="15" t="s">
        <v>401</v>
      </c>
      <c r="W12" s="15" t="s">
        <v>75</v>
      </c>
      <c r="X12" s="15" t="s">
        <v>396</v>
      </c>
      <c r="Y12" s="13" t="str">
        <f t="shared" si="7"/>
        <v>Forward Add-3526</v>
      </c>
      <c r="Z12" s="15" t="s">
        <v>401</v>
      </c>
      <c r="AA12" s="133" t="str">
        <f>'Run Parameters'!$B$2</f>
        <v>2019-04-26 08:00</v>
      </c>
      <c r="AB12" s="213" t="str">
        <f>'Run Parameters'!B$3</f>
        <v>2019-04-26 18:00</v>
      </c>
      <c r="AC12" s="26">
        <f>('Run Parameters'!$B$2) - 7</f>
        <v>43574.333333333336</v>
      </c>
      <c r="AD12" s="15" t="s">
        <v>75</v>
      </c>
      <c r="AE12" s="13" t="str">
        <f t="shared" si="8"/>
        <v>LAST_METER-3526</v>
      </c>
      <c r="AF12" s="133" t="str">
        <f>'Run Parameters'!$B$2</f>
        <v>2019-04-26 08:00</v>
      </c>
      <c r="AG12" s="13" t="str">
        <f>'Run Parameters'!B$4</f>
        <v>AUTOTEST2</v>
      </c>
      <c r="AH12" s="19" t="str">
        <f t="shared" si="9"/>
        <v>Site_Contact_3526</v>
      </c>
      <c r="AI12" s="133" t="str">
        <f>'Run Parameters'!B$2</f>
        <v>2019-04-26 08:00</v>
      </c>
      <c r="AJ12" s="213" t="str">
        <f>'Run Parameters'!B$3</f>
        <v>2019-04-26 18:00</v>
      </c>
      <c r="AK12" s="13" t="s">
        <v>396</v>
      </c>
      <c r="AL12" s="19" t="str">
        <f t="shared" si="10"/>
        <v>011593526</v>
      </c>
      <c r="AM12" s="13" t="str">
        <f t="shared" si="11"/>
        <v>01153526</v>
      </c>
      <c r="AN12" s="15"/>
      <c r="AO12" s="15"/>
      <c r="AP12" s="13">
        <v>1</v>
      </c>
      <c r="AQ12" s="15" t="s">
        <v>49</v>
      </c>
      <c r="AR12" s="15"/>
      <c r="AS12" s="13"/>
      <c r="AT12" s="15" t="s">
        <v>400</v>
      </c>
      <c r="AU12" s="15"/>
      <c r="AV12" s="13">
        <f t="shared" si="12"/>
        <v>3526</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GAS_ENQ_NO-3526</v>
      </c>
      <c r="CK12" s="15" t="s">
        <v>165</v>
      </c>
      <c r="CL12" s="15" t="s">
        <v>391</v>
      </c>
      <c r="CM12" s="15" t="s">
        <v>390</v>
      </c>
      <c r="CN12" s="13" t="s">
        <v>1036</v>
      </c>
      <c r="CO12" s="13" t="str">
        <f t="shared" si="14"/>
        <v>GAS_JOB_ID-3526</v>
      </c>
      <c r="CP12" s="15"/>
      <c r="CQ12" s="13" t="str">
        <f t="shared" si="15"/>
        <v>100003526</v>
      </c>
      <c r="CR12" s="13" t="s">
        <v>154</v>
      </c>
      <c r="CS12" s="15" t="s">
        <v>51</v>
      </c>
      <c r="CT12" s="217" t="str">
        <f t="shared" si="16"/>
        <v>GMETER3526</v>
      </c>
      <c r="CU12" s="13" t="s">
        <v>161</v>
      </c>
      <c r="CV12" s="15" t="s">
        <v>165</v>
      </c>
      <c r="CW12" s="15" t="s">
        <v>414</v>
      </c>
      <c r="CX12" s="15"/>
      <c r="CY12" s="15"/>
      <c r="CZ12" s="15" t="s">
        <v>394</v>
      </c>
      <c r="DA12" s="15" t="s">
        <v>395</v>
      </c>
      <c r="DB12" s="13" t="str">
        <f t="shared" si="17"/>
        <v>GAS_INST_ID-3526</v>
      </c>
      <c r="DC12" s="15" t="s">
        <v>161</v>
      </c>
      <c r="DD12" s="15"/>
      <c r="DE12" s="15" t="s">
        <v>51</v>
      </c>
      <c r="DF12" s="15" t="s">
        <v>264</v>
      </c>
      <c r="DG12" s="15"/>
      <c r="DH12" s="15" t="s">
        <v>397</v>
      </c>
      <c r="DI12" s="15" t="s">
        <v>399</v>
      </c>
      <c r="DJ12" s="15" t="s">
        <v>836</v>
      </c>
      <c r="DK12" s="15" t="s">
        <v>140</v>
      </c>
      <c r="DL12" s="218"/>
      <c r="DM12" s="218"/>
      <c r="DN12" s="13" t="str">
        <f t="shared" si="18"/>
        <v>DS_Pass-3526</v>
      </c>
      <c r="DO12" s="15"/>
      <c r="DP12" s="15"/>
      <c r="DQ12" s="15"/>
      <c r="DR12" s="13"/>
      <c r="DS12" s="13"/>
      <c r="DT12" s="15" t="s">
        <v>52</v>
      </c>
      <c r="DU12" s="15"/>
      <c r="DV12" s="15"/>
      <c r="DW12" s="13"/>
      <c r="DX12" s="15" t="s">
        <v>54</v>
      </c>
      <c r="DY12" s="15" t="s">
        <v>61</v>
      </c>
      <c r="DZ12" s="15" t="s">
        <v>402</v>
      </c>
      <c r="EA12" s="19" t="str">
        <f t="shared" si="19"/>
        <v>3526CUSTOMER_ADDRESSEXCH1 ROADCUSTOMER_ADDRESSTESTINGHAMCUSTOMER_ADDRESSTESTINGHAMSHIRE</v>
      </c>
      <c r="EB12" s="15" t="s">
        <v>836</v>
      </c>
      <c r="EC12" s="218"/>
      <c r="ED12" s="218"/>
      <c r="EE12" s="218"/>
    </row>
    <row r="13" spans="1:136" s="219" customFormat="1" x14ac:dyDescent="0.2">
      <c r="A13" s="209" t="s">
        <v>1046</v>
      </c>
      <c r="B13" s="209" t="s">
        <v>868</v>
      </c>
      <c r="C13" s="209" t="s">
        <v>865</v>
      </c>
      <c r="D13" s="13">
        <f>'Run Parameters'!$B$1 + ROW()-1</f>
        <v>3527</v>
      </c>
      <c r="E13" s="15" t="s">
        <v>47</v>
      </c>
      <c r="F13" s="13" t="s">
        <v>1036</v>
      </c>
      <c r="G13" s="13" t="str">
        <f t="shared" si="0"/>
        <v>Access Dtls-3527</v>
      </c>
      <c r="H13" s="15" t="s">
        <v>275</v>
      </c>
      <c r="I13" s="13" t="str">
        <f>("MR. Test_12_EXCH1_"&amp;D13&amp;"")</f>
        <v>MR. Test_12_EXCH1_3527</v>
      </c>
      <c r="J13" s="13"/>
      <c r="K13" s="19" t="s">
        <v>425</v>
      </c>
      <c r="L13" s="13" t="str">
        <f t="shared" si="1"/>
        <v>Cust. Ref-3527</v>
      </c>
      <c r="M13" s="15" t="s">
        <v>48</v>
      </c>
      <c r="N13" s="15" t="s">
        <v>425</v>
      </c>
      <c r="O13" s="13"/>
      <c r="P13" s="13" t="str">
        <f t="shared" si="2"/>
        <v>SN-3527</v>
      </c>
      <c r="Q13" s="13" t="str">
        <f t="shared" si="3"/>
        <v>SI-3527</v>
      </c>
      <c r="R13" s="13" t="str">
        <f t="shared" si="4"/>
        <v>SE-3527</v>
      </c>
      <c r="S13" s="19" t="str">
        <f t="shared" si="5"/>
        <v>Prev_RA-3527</v>
      </c>
      <c r="T13" s="19" t="str">
        <f t="shared" si="6"/>
        <v>Prev_Comms-3527</v>
      </c>
      <c r="U13" s="15" t="s">
        <v>75</v>
      </c>
      <c r="V13" s="15" t="s">
        <v>401</v>
      </c>
      <c r="W13" s="15" t="s">
        <v>75</v>
      </c>
      <c r="X13" s="15" t="s">
        <v>396</v>
      </c>
      <c r="Y13" s="13" t="str">
        <f t="shared" si="7"/>
        <v>Forward Add-3527</v>
      </c>
      <c r="Z13" s="15" t="s">
        <v>401</v>
      </c>
      <c r="AA13" s="133" t="str">
        <f>'Run Parameters'!$B$2</f>
        <v>2019-04-26 08:00</v>
      </c>
      <c r="AB13" s="213" t="str">
        <f>'Run Parameters'!B$3</f>
        <v>2019-04-26 18:00</v>
      </c>
      <c r="AC13" s="26">
        <f>('Run Parameters'!$B$2) - 7</f>
        <v>43574.333333333336</v>
      </c>
      <c r="AD13" s="15" t="s">
        <v>75</v>
      </c>
      <c r="AE13" s="13" t="str">
        <f t="shared" si="8"/>
        <v>LAST_METER-3527</v>
      </c>
      <c r="AF13" s="133" t="str">
        <f>'Run Parameters'!$B$2</f>
        <v>2019-04-26 08:00</v>
      </c>
      <c r="AG13" s="13" t="str">
        <f>'Run Parameters'!B$4</f>
        <v>AUTOTEST2</v>
      </c>
      <c r="AH13" s="19" t="str">
        <f t="shared" si="9"/>
        <v>Site_Contact_3527</v>
      </c>
      <c r="AI13" s="133" t="str">
        <f>'Run Parameters'!B$2</f>
        <v>2019-04-26 08:00</v>
      </c>
      <c r="AJ13" s="213" t="str">
        <f>'Run Parameters'!B$3</f>
        <v>2019-04-26 18:00</v>
      </c>
      <c r="AK13" s="13" t="s">
        <v>396</v>
      </c>
      <c r="AL13" s="19" t="str">
        <f t="shared" si="10"/>
        <v>011593527</v>
      </c>
      <c r="AM13" s="13" t="str">
        <f t="shared" si="11"/>
        <v>01153527</v>
      </c>
      <c r="AN13" s="15"/>
      <c r="AO13" s="15"/>
      <c r="AP13" s="13">
        <v>1</v>
      </c>
      <c r="AQ13" s="15" t="s">
        <v>49</v>
      </c>
      <c r="AR13" s="15"/>
      <c r="AS13" s="13"/>
      <c r="AT13" s="15" t="s">
        <v>400</v>
      </c>
      <c r="AU13" s="15"/>
      <c r="AV13" s="13">
        <f t="shared" si="12"/>
        <v>3527</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GAS_ENQ_NO-3527</v>
      </c>
      <c r="CK13" s="15" t="s">
        <v>165</v>
      </c>
      <c r="CL13" s="15" t="s">
        <v>391</v>
      </c>
      <c r="CM13" s="15" t="s">
        <v>390</v>
      </c>
      <c r="CN13" s="13" t="s">
        <v>1036</v>
      </c>
      <c r="CO13" s="13" t="str">
        <f t="shared" si="14"/>
        <v>GAS_JOB_ID-3527</v>
      </c>
      <c r="CP13" s="15"/>
      <c r="CQ13" s="13" t="str">
        <f t="shared" si="15"/>
        <v>100003527</v>
      </c>
      <c r="CR13" s="13" t="s">
        <v>154</v>
      </c>
      <c r="CS13" s="15" t="s">
        <v>51</v>
      </c>
      <c r="CT13" s="217" t="str">
        <f t="shared" si="16"/>
        <v>GMETER3527</v>
      </c>
      <c r="CU13" s="13" t="s">
        <v>161</v>
      </c>
      <c r="CV13" s="15" t="s">
        <v>165</v>
      </c>
      <c r="CW13" s="15" t="s">
        <v>414</v>
      </c>
      <c r="CX13" s="15"/>
      <c r="CY13" s="15"/>
      <c r="CZ13" s="15" t="s">
        <v>394</v>
      </c>
      <c r="DA13" s="15" t="s">
        <v>395</v>
      </c>
      <c r="DB13" s="13" t="str">
        <f t="shared" si="17"/>
        <v>GAS_INST_ID-3527</v>
      </c>
      <c r="DC13" s="15" t="s">
        <v>161</v>
      </c>
      <c r="DD13" s="15"/>
      <c r="DE13" s="15" t="s">
        <v>51</v>
      </c>
      <c r="DF13" s="15" t="s">
        <v>264</v>
      </c>
      <c r="DG13" s="15"/>
      <c r="DH13" s="15" t="s">
        <v>397</v>
      </c>
      <c r="DI13" s="15" t="s">
        <v>399</v>
      </c>
      <c r="DJ13" s="15" t="s">
        <v>836</v>
      </c>
      <c r="DK13" s="15" t="s">
        <v>140</v>
      </c>
      <c r="DL13" s="218"/>
      <c r="DM13" s="218"/>
      <c r="DN13" s="13" t="str">
        <f t="shared" si="18"/>
        <v>DS_Pass-3527</v>
      </c>
      <c r="DO13" s="15"/>
      <c r="DP13" s="15"/>
      <c r="DQ13" s="15"/>
      <c r="DR13" s="13"/>
      <c r="DS13" s="13"/>
      <c r="DT13" s="15" t="s">
        <v>52</v>
      </c>
      <c r="DU13" s="15"/>
      <c r="DV13" s="15"/>
      <c r="DW13" s="13"/>
      <c r="DX13" s="15" t="s">
        <v>54</v>
      </c>
      <c r="DY13" s="15" t="s">
        <v>61</v>
      </c>
      <c r="DZ13" s="15" t="s">
        <v>402</v>
      </c>
      <c r="EA13" s="19" t="str">
        <f t="shared" si="19"/>
        <v>3527CUSTOMER_ADDRESSEXCH1 ROADCUSTOMER_ADDRESSTESTINGHAMCUSTOMER_ADDRESSTESTINGHAMSHIRE</v>
      </c>
      <c r="EB13" s="15" t="s">
        <v>836</v>
      </c>
      <c r="EC13" s="218"/>
      <c r="ED13" s="218"/>
      <c r="EE13" s="218"/>
    </row>
    <row r="14" spans="1:136" s="219" customFormat="1" x14ac:dyDescent="0.2">
      <c r="A14" s="209" t="s">
        <v>1047</v>
      </c>
      <c r="B14" s="209" t="s">
        <v>892</v>
      </c>
      <c r="C14" s="209" t="s">
        <v>865</v>
      </c>
      <c r="D14" s="13">
        <f>'Run Parameters'!$B$1 + ROW()-1</f>
        <v>3528</v>
      </c>
      <c r="E14" s="15" t="s">
        <v>47</v>
      </c>
      <c r="F14" s="13" t="s">
        <v>1036</v>
      </c>
      <c r="G14" s="13" t="str">
        <f t="shared" si="0"/>
        <v>Access Dtls-3528</v>
      </c>
      <c r="H14" s="15" t="s">
        <v>275</v>
      </c>
      <c r="I14" s="13" t="str">
        <f>("MR. Test_13_EXCH1_"&amp;D14&amp;"")</f>
        <v>MR. Test_13_EXCH1_3528</v>
      </c>
      <c r="J14" s="13"/>
      <c r="K14" s="19" t="s">
        <v>425</v>
      </c>
      <c r="L14" s="13" t="str">
        <f t="shared" si="1"/>
        <v>Cust. Ref-3528</v>
      </c>
      <c r="M14" s="15" t="s">
        <v>48</v>
      </c>
      <c r="N14" s="15" t="s">
        <v>425</v>
      </c>
      <c r="O14" s="13"/>
      <c r="P14" s="13" t="str">
        <f t="shared" si="2"/>
        <v>SN-3528</v>
      </c>
      <c r="Q14" s="13" t="str">
        <f t="shared" si="3"/>
        <v>SI-3528</v>
      </c>
      <c r="R14" s="13" t="str">
        <f t="shared" si="4"/>
        <v>SE-3528</v>
      </c>
      <c r="S14" s="19" t="str">
        <f t="shared" si="5"/>
        <v>Prev_RA-3528</v>
      </c>
      <c r="T14" s="19" t="str">
        <f t="shared" si="6"/>
        <v>Prev_Comms-3528</v>
      </c>
      <c r="U14" s="15" t="s">
        <v>75</v>
      </c>
      <c r="V14" s="15" t="s">
        <v>401</v>
      </c>
      <c r="W14" s="15" t="s">
        <v>75</v>
      </c>
      <c r="X14" s="15" t="s">
        <v>396</v>
      </c>
      <c r="Y14" s="13" t="str">
        <f t="shared" si="7"/>
        <v>Forward Add-3528</v>
      </c>
      <c r="Z14" s="15" t="s">
        <v>401</v>
      </c>
      <c r="AA14" s="133" t="str">
        <f>'Run Parameters'!$B$2</f>
        <v>2019-04-26 08:00</v>
      </c>
      <c r="AB14" s="213" t="str">
        <f>'Run Parameters'!B$3</f>
        <v>2019-04-26 18:00</v>
      </c>
      <c r="AC14" s="26">
        <f>('Run Parameters'!$B$2) - 7</f>
        <v>43574.333333333336</v>
      </c>
      <c r="AD14" s="15" t="s">
        <v>75</v>
      </c>
      <c r="AE14" s="13" t="str">
        <f t="shared" si="8"/>
        <v>LAST_METER-3528</v>
      </c>
      <c r="AF14" s="133" t="str">
        <f>'Run Parameters'!$B$2</f>
        <v>2019-04-26 08:00</v>
      </c>
      <c r="AG14" s="13" t="str">
        <f>'Run Parameters'!B$4</f>
        <v>AUTOTEST2</v>
      </c>
      <c r="AH14" s="19" t="str">
        <f t="shared" si="9"/>
        <v>Site_Contact_3528</v>
      </c>
      <c r="AI14" s="133" t="str">
        <f>'Run Parameters'!B$2</f>
        <v>2019-04-26 08:00</v>
      </c>
      <c r="AJ14" s="213" t="str">
        <f>'Run Parameters'!B$3</f>
        <v>2019-04-26 18:00</v>
      </c>
      <c r="AK14" s="13" t="s">
        <v>396</v>
      </c>
      <c r="AL14" s="19" t="str">
        <f t="shared" si="10"/>
        <v>011593528</v>
      </c>
      <c r="AM14" s="13" t="str">
        <f t="shared" si="11"/>
        <v>01153528</v>
      </c>
      <c r="AN14" s="15"/>
      <c r="AO14" s="15"/>
      <c r="AP14" s="13">
        <v>1</v>
      </c>
      <c r="AQ14" s="15" t="s">
        <v>49</v>
      </c>
      <c r="AR14" s="15"/>
      <c r="AS14" s="13"/>
      <c r="AT14" s="15" t="s">
        <v>400</v>
      </c>
      <c r="AU14" s="15"/>
      <c r="AV14" s="13">
        <f t="shared" si="12"/>
        <v>3528</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GAS_ENQ_NO-3528</v>
      </c>
      <c r="CK14" s="15" t="s">
        <v>165</v>
      </c>
      <c r="CL14" s="15" t="s">
        <v>391</v>
      </c>
      <c r="CM14" s="15" t="s">
        <v>390</v>
      </c>
      <c r="CN14" s="13" t="s">
        <v>1036</v>
      </c>
      <c r="CO14" s="13" t="str">
        <f t="shared" si="14"/>
        <v>GAS_JOB_ID-3528</v>
      </c>
      <c r="CP14" s="15"/>
      <c r="CQ14" s="13" t="str">
        <f t="shared" si="15"/>
        <v>100003528</v>
      </c>
      <c r="CR14" s="13" t="s">
        <v>154</v>
      </c>
      <c r="CS14" s="15" t="s">
        <v>51</v>
      </c>
      <c r="CT14" s="217" t="str">
        <f t="shared" si="16"/>
        <v>GMETER3528</v>
      </c>
      <c r="CU14" s="13" t="s">
        <v>161</v>
      </c>
      <c r="CV14" s="15" t="s">
        <v>165</v>
      </c>
      <c r="CW14" s="15" t="s">
        <v>414</v>
      </c>
      <c r="CX14" s="15"/>
      <c r="CY14" s="15"/>
      <c r="CZ14" s="15" t="s">
        <v>394</v>
      </c>
      <c r="DA14" s="15" t="s">
        <v>395</v>
      </c>
      <c r="DB14" s="13" t="str">
        <f t="shared" si="17"/>
        <v>GAS_INST_ID-3528</v>
      </c>
      <c r="DC14" s="15" t="s">
        <v>161</v>
      </c>
      <c r="DD14" s="15"/>
      <c r="DE14" s="15" t="s">
        <v>51</v>
      </c>
      <c r="DF14" s="15" t="s">
        <v>264</v>
      </c>
      <c r="DG14" s="15"/>
      <c r="DH14" s="15" t="s">
        <v>397</v>
      </c>
      <c r="DI14" s="15" t="s">
        <v>399</v>
      </c>
      <c r="DJ14" s="15" t="s">
        <v>836</v>
      </c>
      <c r="DK14" s="15" t="s">
        <v>140</v>
      </c>
      <c r="DL14" s="218"/>
      <c r="DM14" s="218"/>
      <c r="DN14" s="13" t="str">
        <f t="shared" si="18"/>
        <v>DS_Pass-3528</v>
      </c>
      <c r="DO14" s="15"/>
      <c r="DP14" s="15"/>
      <c r="DQ14" s="15"/>
      <c r="DR14" s="13"/>
      <c r="DS14" s="13"/>
      <c r="DT14" s="15" t="s">
        <v>52</v>
      </c>
      <c r="DU14" s="15"/>
      <c r="DV14" s="15"/>
      <c r="DW14" s="13"/>
      <c r="DX14" s="15" t="s">
        <v>54</v>
      </c>
      <c r="DY14" s="15" t="s">
        <v>61</v>
      </c>
      <c r="DZ14" s="15" t="s">
        <v>402</v>
      </c>
      <c r="EA14" s="19" t="str">
        <f t="shared" si="19"/>
        <v>3528CUSTOMER_ADDRESSEXCH1 ROADCUSTOMER_ADDRESSTESTINGHAMCUSTOMER_ADDRESSTESTINGHAMSHIRE</v>
      </c>
      <c r="EB14" s="15" t="s">
        <v>836</v>
      </c>
      <c r="EC14" s="218"/>
      <c r="ED14" s="218"/>
      <c r="EE14" s="218"/>
    </row>
    <row r="15" spans="1:136" s="219" customFormat="1" x14ac:dyDescent="0.2">
      <c r="A15" s="209" t="s">
        <v>1048</v>
      </c>
      <c r="B15" s="209" t="s">
        <v>868</v>
      </c>
      <c r="C15" s="209" t="s">
        <v>865</v>
      </c>
      <c r="D15" s="13">
        <f>'Run Parameters'!$B$1 + ROW()-1</f>
        <v>3529</v>
      </c>
      <c r="E15" s="15" t="s">
        <v>47</v>
      </c>
      <c r="F15" s="13" t="s">
        <v>1036</v>
      </c>
      <c r="G15" s="13" t="str">
        <f t="shared" si="0"/>
        <v>Access Dtls-3529</v>
      </c>
      <c r="H15" s="15" t="s">
        <v>275</v>
      </c>
      <c r="I15" s="13" t="str">
        <f>("MR. Test_14_EXCH1_"&amp;D15&amp;"")</f>
        <v>MR. Test_14_EXCH1_3529</v>
      </c>
      <c r="J15" s="13"/>
      <c r="K15" s="19" t="s">
        <v>425</v>
      </c>
      <c r="L15" s="13" t="str">
        <f t="shared" si="1"/>
        <v>Cust. Ref-3529</v>
      </c>
      <c r="M15" s="15" t="s">
        <v>48</v>
      </c>
      <c r="N15" s="15" t="s">
        <v>425</v>
      </c>
      <c r="O15" s="13"/>
      <c r="P15" s="13" t="str">
        <f t="shared" si="2"/>
        <v>SN-3529</v>
      </c>
      <c r="Q15" s="13" t="str">
        <f t="shared" si="3"/>
        <v>SI-3529</v>
      </c>
      <c r="R15" s="13" t="str">
        <f t="shared" si="4"/>
        <v>SE-3529</v>
      </c>
      <c r="S15" s="19" t="str">
        <f t="shared" si="5"/>
        <v>Prev_RA-3529</v>
      </c>
      <c r="T15" s="19" t="str">
        <f t="shared" si="6"/>
        <v>Prev_Comms-3529</v>
      </c>
      <c r="U15" s="15" t="s">
        <v>75</v>
      </c>
      <c r="V15" s="15" t="s">
        <v>401</v>
      </c>
      <c r="W15" s="15" t="s">
        <v>75</v>
      </c>
      <c r="X15" s="15" t="s">
        <v>396</v>
      </c>
      <c r="Y15" s="13" t="str">
        <f t="shared" si="7"/>
        <v>Forward Add-3529</v>
      </c>
      <c r="Z15" s="15" t="s">
        <v>401</v>
      </c>
      <c r="AA15" s="133" t="str">
        <f>'Run Parameters'!$B$2</f>
        <v>2019-04-26 08:00</v>
      </c>
      <c r="AB15" s="213" t="str">
        <f>'Run Parameters'!B$3</f>
        <v>2019-04-26 18:00</v>
      </c>
      <c r="AC15" s="26">
        <f>('Run Parameters'!$B$2) - 7</f>
        <v>43574.333333333336</v>
      </c>
      <c r="AD15" s="15" t="s">
        <v>75</v>
      </c>
      <c r="AE15" s="13" t="str">
        <f t="shared" si="8"/>
        <v>LAST_METER-3529</v>
      </c>
      <c r="AF15" s="133" t="str">
        <f>'Run Parameters'!$B$2</f>
        <v>2019-04-26 08:00</v>
      </c>
      <c r="AG15" s="13" t="str">
        <f>'Run Parameters'!B$4</f>
        <v>AUTOTEST2</v>
      </c>
      <c r="AH15" s="19" t="str">
        <f t="shared" si="9"/>
        <v>Site_Contact_3529</v>
      </c>
      <c r="AI15" s="133" t="str">
        <f>'Run Parameters'!B$2</f>
        <v>2019-04-26 08:00</v>
      </c>
      <c r="AJ15" s="213" t="str">
        <f>'Run Parameters'!B$3</f>
        <v>2019-04-26 18:00</v>
      </c>
      <c r="AK15" s="13" t="s">
        <v>396</v>
      </c>
      <c r="AL15" s="19" t="str">
        <f t="shared" si="10"/>
        <v>011593529</v>
      </c>
      <c r="AM15" s="13" t="str">
        <f t="shared" si="11"/>
        <v>01153529</v>
      </c>
      <c r="AN15" s="15"/>
      <c r="AO15" s="15"/>
      <c r="AP15" s="13">
        <v>1</v>
      </c>
      <c r="AQ15" s="15" t="s">
        <v>49</v>
      </c>
      <c r="AR15" s="15"/>
      <c r="AS15" s="13"/>
      <c r="AT15" s="15" t="s">
        <v>400</v>
      </c>
      <c r="AU15" s="15"/>
      <c r="AV15" s="13">
        <f t="shared" si="12"/>
        <v>3529</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GAS_ENQ_NO-3529</v>
      </c>
      <c r="CK15" s="15" t="s">
        <v>165</v>
      </c>
      <c r="CL15" s="15" t="s">
        <v>391</v>
      </c>
      <c r="CM15" s="15" t="s">
        <v>390</v>
      </c>
      <c r="CN15" s="13" t="s">
        <v>1036</v>
      </c>
      <c r="CO15" s="13" t="str">
        <f t="shared" si="14"/>
        <v>GAS_JOB_ID-3529</v>
      </c>
      <c r="CP15" s="15"/>
      <c r="CQ15" s="13" t="str">
        <f t="shared" si="15"/>
        <v>100003529</v>
      </c>
      <c r="CR15" s="13" t="s">
        <v>154</v>
      </c>
      <c r="CS15" s="15" t="s">
        <v>51</v>
      </c>
      <c r="CT15" s="217" t="str">
        <f t="shared" si="16"/>
        <v>GMETER3529</v>
      </c>
      <c r="CU15" s="13" t="s">
        <v>161</v>
      </c>
      <c r="CV15" s="15" t="s">
        <v>165</v>
      </c>
      <c r="CW15" s="15" t="s">
        <v>414</v>
      </c>
      <c r="CX15" s="15"/>
      <c r="CY15" s="15"/>
      <c r="CZ15" s="15" t="s">
        <v>394</v>
      </c>
      <c r="DA15" s="15" t="s">
        <v>395</v>
      </c>
      <c r="DB15" s="13" t="str">
        <f t="shared" si="17"/>
        <v>GAS_INST_ID-3529</v>
      </c>
      <c r="DC15" s="15" t="s">
        <v>161</v>
      </c>
      <c r="DD15" s="15"/>
      <c r="DE15" s="15" t="s">
        <v>51</v>
      </c>
      <c r="DF15" s="15" t="s">
        <v>264</v>
      </c>
      <c r="DG15" s="15"/>
      <c r="DH15" s="15" t="s">
        <v>397</v>
      </c>
      <c r="DI15" s="15" t="s">
        <v>399</v>
      </c>
      <c r="DJ15" s="15" t="s">
        <v>836</v>
      </c>
      <c r="DK15" s="15" t="s">
        <v>140</v>
      </c>
      <c r="DL15" s="218"/>
      <c r="DM15" s="218"/>
      <c r="DN15" s="13" t="str">
        <f t="shared" si="18"/>
        <v>DS_Pass-3529</v>
      </c>
      <c r="DO15" s="15"/>
      <c r="DP15" s="15"/>
      <c r="DQ15" s="15"/>
      <c r="DR15" s="13"/>
      <c r="DS15" s="13"/>
      <c r="DT15" s="15" t="s">
        <v>52</v>
      </c>
      <c r="DU15" s="15"/>
      <c r="DV15" s="15"/>
      <c r="DW15" s="13"/>
      <c r="DX15" s="15" t="s">
        <v>54</v>
      </c>
      <c r="DY15" s="15" t="s">
        <v>61</v>
      </c>
      <c r="DZ15" s="15" t="s">
        <v>402</v>
      </c>
      <c r="EA15" s="19" t="str">
        <f t="shared" si="19"/>
        <v>3529CUSTOMER_ADDRESSEXCH1 ROADCUSTOMER_ADDRESSTESTINGHAMCUSTOMER_ADDRESSTESTINGHAMSHIRE</v>
      </c>
      <c r="EB15" s="15" t="s">
        <v>836</v>
      </c>
      <c r="EC15" s="218"/>
      <c r="ED15" s="218"/>
      <c r="EE15" s="218"/>
    </row>
    <row r="16" spans="1:136" s="219" customFormat="1" x14ac:dyDescent="0.2">
      <c r="A16" s="209" t="s">
        <v>1049</v>
      </c>
      <c r="B16" s="209" t="s">
        <v>892</v>
      </c>
      <c r="C16" s="209" t="s">
        <v>865</v>
      </c>
      <c r="D16" s="13">
        <f>'Run Parameters'!$B$1 + ROW()-1</f>
        <v>3530</v>
      </c>
      <c r="E16" s="15" t="s">
        <v>47</v>
      </c>
      <c r="F16" s="13" t="s">
        <v>1036</v>
      </c>
      <c r="G16" s="13" t="str">
        <f t="shared" si="0"/>
        <v>Access Dtls-3530</v>
      </c>
      <c r="H16" s="15" t="s">
        <v>275</v>
      </c>
      <c r="I16" s="13" t="str">
        <f>("MR. Test_15_EXCH1_"&amp;D16&amp;"")</f>
        <v>MR. Test_15_EXCH1_3530</v>
      </c>
      <c r="J16" s="13"/>
      <c r="K16" s="19" t="s">
        <v>425</v>
      </c>
      <c r="L16" s="13" t="str">
        <f t="shared" si="1"/>
        <v>Cust. Ref-3530</v>
      </c>
      <c r="M16" s="15" t="s">
        <v>48</v>
      </c>
      <c r="N16" s="15" t="s">
        <v>425</v>
      </c>
      <c r="O16" s="13"/>
      <c r="P16" s="13" t="str">
        <f t="shared" si="2"/>
        <v>SN-3530</v>
      </c>
      <c r="Q16" s="13" t="str">
        <f t="shared" si="3"/>
        <v>SI-3530</v>
      </c>
      <c r="R16" s="13" t="str">
        <f t="shared" si="4"/>
        <v>SE-3530</v>
      </c>
      <c r="S16" s="19" t="str">
        <f t="shared" si="5"/>
        <v>Prev_RA-3530</v>
      </c>
      <c r="T16" s="19" t="str">
        <f t="shared" si="6"/>
        <v>Prev_Comms-3530</v>
      </c>
      <c r="U16" s="15" t="s">
        <v>75</v>
      </c>
      <c r="V16" s="15" t="s">
        <v>401</v>
      </c>
      <c r="W16" s="15" t="s">
        <v>75</v>
      </c>
      <c r="X16" s="15" t="s">
        <v>396</v>
      </c>
      <c r="Y16" s="13" t="str">
        <f t="shared" si="7"/>
        <v>Forward Add-3530</v>
      </c>
      <c r="Z16" s="15" t="s">
        <v>401</v>
      </c>
      <c r="AA16" s="133" t="str">
        <f>'Run Parameters'!$B$2</f>
        <v>2019-04-26 08:00</v>
      </c>
      <c r="AB16" s="213" t="str">
        <f>'Run Parameters'!B$3</f>
        <v>2019-04-26 18:00</v>
      </c>
      <c r="AC16" s="26">
        <f>('Run Parameters'!$B$2) - 7</f>
        <v>43574.333333333336</v>
      </c>
      <c r="AD16" s="15" t="s">
        <v>75</v>
      </c>
      <c r="AE16" s="13" t="str">
        <f t="shared" si="8"/>
        <v>LAST_METER-3530</v>
      </c>
      <c r="AF16" s="133" t="str">
        <f>'Run Parameters'!$B$2</f>
        <v>2019-04-26 08:00</v>
      </c>
      <c r="AG16" s="13" t="str">
        <f>'Run Parameters'!B$4</f>
        <v>AUTOTEST2</v>
      </c>
      <c r="AH16" s="19" t="str">
        <f t="shared" si="9"/>
        <v>Site_Contact_3530</v>
      </c>
      <c r="AI16" s="133" t="str">
        <f>'Run Parameters'!B$2</f>
        <v>2019-04-26 08:00</v>
      </c>
      <c r="AJ16" s="213" t="str">
        <f>'Run Parameters'!B$3</f>
        <v>2019-04-26 18:00</v>
      </c>
      <c r="AK16" s="13" t="s">
        <v>396</v>
      </c>
      <c r="AL16" s="19" t="str">
        <f t="shared" si="10"/>
        <v>011593530</v>
      </c>
      <c r="AM16" s="13" t="str">
        <f t="shared" si="11"/>
        <v>01153530</v>
      </c>
      <c r="AN16" s="15"/>
      <c r="AO16" s="15"/>
      <c r="AP16" s="13">
        <v>1</v>
      </c>
      <c r="AQ16" s="15" t="s">
        <v>49</v>
      </c>
      <c r="AR16" s="15"/>
      <c r="AS16" s="13"/>
      <c r="AT16" s="15" t="s">
        <v>400</v>
      </c>
      <c r="AU16" s="15"/>
      <c r="AV16" s="13">
        <f t="shared" si="12"/>
        <v>3530</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GAS_ENQ_NO-3530</v>
      </c>
      <c r="CK16" s="15" t="s">
        <v>165</v>
      </c>
      <c r="CL16" s="15" t="s">
        <v>391</v>
      </c>
      <c r="CM16" s="15" t="s">
        <v>390</v>
      </c>
      <c r="CN16" s="13" t="s">
        <v>1036</v>
      </c>
      <c r="CO16" s="13" t="str">
        <f t="shared" si="14"/>
        <v>GAS_JOB_ID-3530</v>
      </c>
      <c r="CP16" s="15"/>
      <c r="CQ16" s="13" t="str">
        <f t="shared" si="15"/>
        <v>100003530</v>
      </c>
      <c r="CR16" s="13" t="s">
        <v>154</v>
      </c>
      <c r="CS16" s="15" t="s">
        <v>51</v>
      </c>
      <c r="CT16" s="217" t="str">
        <f t="shared" si="16"/>
        <v>GMETER3530</v>
      </c>
      <c r="CU16" s="13" t="s">
        <v>161</v>
      </c>
      <c r="CV16" s="15" t="s">
        <v>165</v>
      </c>
      <c r="CW16" s="15" t="s">
        <v>414</v>
      </c>
      <c r="CX16" s="15"/>
      <c r="CY16" s="15"/>
      <c r="CZ16" s="15" t="s">
        <v>394</v>
      </c>
      <c r="DA16" s="15" t="s">
        <v>395</v>
      </c>
      <c r="DB16" s="13" t="str">
        <f t="shared" si="17"/>
        <v>GAS_INST_ID-3530</v>
      </c>
      <c r="DC16" s="15" t="s">
        <v>161</v>
      </c>
      <c r="DD16" s="15"/>
      <c r="DE16" s="15" t="s">
        <v>51</v>
      </c>
      <c r="DF16" s="15" t="s">
        <v>264</v>
      </c>
      <c r="DG16" s="15"/>
      <c r="DH16" s="15" t="s">
        <v>397</v>
      </c>
      <c r="DI16" s="15" t="s">
        <v>399</v>
      </c>
      <c r="DJ16" s="15" t="s">
        <v>836</v>
      </c>
      <c r="DK16" s="15" t="s">
        <v>140</v>
      </c>
      <c r="DL16" s="218"/>
      <c r="DM16" s="218"/>
      <c r="DN16" s="13" t="str">
        <f t="shared" si="18"/>
        <v>DS_Pass-3530</v>
      </c>
      <c r="DO16" s="15"/>
      <c r="DP16" s="15"/>
      <c r="DQ16" s="15"/>
      <c r="DR16" s="13"/>
      <c r="DS16" s="13"/>
      <c r="DT16" s="15" t="s">
        <v>52</v>
      </c>
      <c r="DU16" s="15"/>
      <c r="DV16" s="15"/>
      <c r="DW16" s="13"/>
      <c r="DX16" s="15" t="s">
        <v>54</v>
      </c>
      <c r="DY16" s="15" t="s">
        <v>61</v>
      </c>
      <c r="DZ16" s="15" t="s">
        <v>402</v>
      </c>
      <c r="EA16" s="19" t="str">
        <f t="shared" si="19"/>
        <v>3530CUSTOMER_ADDRESSEXCH1 ROADCUSTOMER_ADDRESSTESTINGHAMCUSTOMER_ADDRESSTESTINGHAMSHIRE</v>
      </c>
      <c r="EB16" s="15" t="s">
        <v>836</v>
      </c>
      <c r="EC16" s="218"/>
      <c r="ED16" s="218"/>
      <c r="EE16" s="218"/>
    </row>
    <row r="17" spans="1:136" s="219" customFormat="1" x14ac:dyDescent="0.2">
      <c r="A17" s="209" t="s">
        <v>1050</v>
      </c>
      <c r="B17" s="209" t="s">
        <v>868</v>
      </c>
      <c r="C17" s="209" t="s">
        <v>865</v>
      </c>
      <c r="D17" s="13">
        <f>'Run Parameters'!$B$1 + ROW()-1</f>
        <v>3531</v>
      </c>
      <c r="E17" s="15" t="s">
        <v>47</v>
      </c>
      <c r="F17" s="13" t="s">
        <v>1036</v>
      </c>
      <c r="G17" s="13" t="str">
        <f t="shared" si="0"/>
        <v>Access Dtls-3531</v>
      </c>
      <c r="H17" s="15" t="s">
        <v>275</v>
      </c>
      <c r="I17" s="13" t="str">
        <f>("MR. Test_16_EXCH1_"&amp;D17&amp;"")</f>
        <v>MR. Test_16_EXCH1_3531</v>
      </c>
      <c r="J17" s="13"/>
      <c r="K17" s="19" t="s">
        <v>425</v>
      </c>
      <c r="L17" s="13" t="str">
        <f t="shared" si="1"/>
        <v>Cust. Ref-3531</v>
      </c>
      <c r="M17" s="15" t="s">
        <v>48</v>
      </c>
      <c r="N17" s="15" t="s">
        <v>425</v>
      </c>
      <c r="O17" s="13"/>
      <c r="P17" s="13" t="str">
        <f t="shared" si="2"/>
        <v>SN-3531</v>
      </c>
      <c r="Q17" s="13" t="str">
        <f t="shared" si="3"/>
        <v>SI-3531</v>
      </c>
      <c r="R17" s="13" t="str">
        <f t="shared" si="4"/>
        <v>SE-3531</v>
      </c>
      <c r="S17" s="19" t="str">
        <f t="shared" si="5"/>
        <v>Prev_RA-3531</v>
      </c>
      <c r="T17" s="19" t="str">
        <f t="shared" si="6"/>
        <v>Prev_Comms-3531</v>
      </c>
      <c r="U17" s="15" t="s">
        <v>75</v>
      </c>
      <c r="V17" s="15" t="s">
        <v>401</v>
      </c>
      <c r="W17" s="15" t="s">
        <v>75</v>
      </c>
      <c r="X17" s="15" t="s">
        <v>396</v>
      </c>
      <c r="Y17" s="13" t="str">
        <f t="shared" si="7"/>
        <v>Forward Add-3531</v>
      </c>
      <c r="Z17" s="15" t="s">
        <v>401</v>
      </c>
      <c r="AA17" s="133" t="str">
        <f>'Run Parameters'!$B$2</f>
        <v>2019-04-26 08:00</v>
      </c>
      <c r="AB17" s="213" t="str">
        <f>'Run Parameters'!B$3</f>
        <v>2019-04-26 18:00</v>
      </c>
      <c r="AC17" s="26">
        <f>('Run Parameters'!$B$2) - 7</f>
        <v>43574.333333333336</v>
      </c>
      <c r="AD17" s="15" t="s">
        <v>75</v>
      </c>
      <c r="AE17" s="13" t="str">
        <f t="shared" si="8"/>
        <v>LAST_METER-3531</v>
      </c>
      <c r="AF17" s="133" t="str">
        <f>'Run Parameters'!$B$2</f>
        <v>2019-04-26 08:00</v>
      </c>
      <c r="AG17" s="13" t="str">
        <f>'Run Parameters'!B$4</f>
        <v>AUTOTEST2</v>
      </c>
      <c r="AH17" s="19" t="str">
        <f t="shared" si="9"/>
        <v>Site_Contact_3531</v>
      </c>
      <c r="AI17" s="133" t="str">
        <f>'Run Parameters'!B$2</f>
        <v>2019-04-26 08:00</v>
      </c>
      <c r="AJ17" s="213" t="str">
        <f>'Run Parameters'!B$3</f>
        <v>2019-04-26 18:00</v>
      </c>
      <c r="AK17" s="13" t="s">
        <v>396</v>
      </c>
      <c r="AL17" s="19" t="str">
        <f t="shared" si="10"/>
        <v>011593531</v>
      </c>
      <c r="AM17" s="13" t="str">
        <f t="shared" si="11"/>
        <v>01153531</v>
      </c>
      <c r="AN17" s="15"/>
      <c r="AO17" s="15"/>
      <c r="AP17" s="13">
        <v>1</v>
      </c>
      <c r="AQ17" s="15" t="s">
        <v>49</v>
      </c>
      <c r="AR17" s="15"/>
      <c r="AS17" s="13"/>
      <c r="AT17" s="15" t="s">
        <v>400</v>
      </c>
      <c r="AU17" s="15"/>
      <c r="AV17" s="13">
        <f t="shared" si="12"/>
        <v>3531</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GAS_ENQ_NO-3531</v>
      </c>
      <c r="CK17" s="15" t="s">
        <v>165</v>
      </c>
      <c r="CL17" s="15" t="s">
        <v>391</v>
      </c>
      <c r="CM17" s="15" t="s">
        <v>390</v>
      </c>
      <c r="CN17" s="13" t="s">
        <v>1036</v>
      </c>
      <c r="CO17" s="13" t="str">
        <f t="shared" si="14"/>
        <v>GAS_JOB_ID-3531</v>
      </c>
      <c r="CP17" s="15"/>
      <c r="CQ17" s="13" t="str">
        <f t="shared" si="15"/>
        <v>100003531</v>
      </c>
      <c r="CR17" s="13" t="s">
        <v>154</v>
      </c>
      <c r="CS17" s="15" t="s">
        <v>51</v>
      </c>
      <c r="CT17" s="217" t="str">
        <f t="shared" si="16"/>
        <v>GMETER3531</v>
      </c>
      <c r="CU17" s="13" t="s">
        <v>161</v>
      </c>
      <c r="CV17" s="15" t="s">
        <v>165</v>
      </c>
      <c r="CW17" s="15" t="s">
        <v>414</v>
      </c>
      <c r="CX17" s="15"/>
      <c r="CY17" s="15"/>
      <c r="CZ17" s="15" t="s">
        <v>394</v>
      </c>
      <c r="DA17" s="15" t="s">
        <v>395</v>
      </c>
      <c r="DB17" s="13" t="str">
        <f t="shared" si="17"/>
        <v>GAS_INST_ID-3531</v>
      </c>
      <c r="DC17" s="15" t="s">
        <v>161</v>
      </c>
      <c r="DD17" s="15"/>
      <c r="DE17" s="15" t="s">
        <v>51</v>
      </c>
      <c r="DF17" s="15" t="s">
        <v>264</v>
      </c>
      <c r="DG17" s="15"/>
      <c r="DH17" s="15" t="s">
        <v>397</v>
      </c>
      <c r="DI17" s="15" t="s">
        <v>399</v>
      </c>
      <c r="DJ17" s="15" t="s">
        <v>836</v>
      </c>
      <c r="DK17" s="15" t="s">
        <v>140</v>
      </c>
      <c r="DL17" s="218"/>
      <c r="DM17" s="218"/>
      <c r="DN17" s="13" t="str">
        <f t="shared" si="18"/>
        <v>DS_Pass-3531</v>
      </c>
      <c r="DO17" s="15"/>
      <c r="DP17" s="15"/>
      <c r="DQ17" s="15"/>
      <c r="DR17" s="13"/>
      <c r="DS17" s="13"/>
      <c r="DT17" s="15" t="s">
        <v>52</v>
      </c>
      <c r="DU17" s="15"/>
      <c r="DV17" s="15"/>
      <c r="DW17" s="13"/>
      <c r="DX17" s="15" t="s">
        <v>54</v>
      </c>
      <c r="DY17" s="15" t="s">
        <v>61</v>
      </c>
      <c r="DZ17" s="15" t="s">
        <v>402</v>
      </c>
      <c r="EA17" s="19" t="str">
        <f t="shared" si="19"/>
        <v>3531CUSTOMER_ADDRESSEXCH1 ROADCUSTOMER_ADDRESSTESTINGHAMCUSTOMER_ADDRESSTESTINGHAMSHIRE</v>
      </c>
      <c r="EB17" s="15" t="s">
        <v>836</v>
      </c>
      <c r="EC17" s="218"/>
      <c r="ED17" s="218"/>
      <c r="EE17" s="218"/>
    </row>
    <row r="18" spans="1:136" s="219" customFormat="1" x14ac:dyDescent="0.2">
      <c r="A18" s="209" t="s">
        <v>1051</v>
      </c>
      <c r="B18" s="209" t="s">
        <v>892</v>
      </c>
      <c r="C18" s="209" t="s">
        <v>865</v>
      </c>
      <c r="D18" s="13">
        <f>'Run Parameters'!$B$1 + ROW()-1</f>
        <v>3532</v>
      </c>
      <c r="E18" s="15" t="s">
        <v>47</v>
      </c>
      <c r="F18" s="13" t="s">
        <v>1036</v>
      </c>
      <c r="G18" s="13" t="str">
        <f t="shared" si="0"/>
        <v>Access Dtls-3532</v>
      </c>
      <c r="H18" s="15" t="s">
        <v>275</v>
      </c>
      <c r="I18" s="13" t="str">
        <f>("MR. Test_17_EXCH1_"&amp;D18&amp;"")</f>
        <v>MR. Test_17_EXCH1_3532</v>
      </c>
      <c r="J18" s="13"/>
      <c r="K18" s="19" t="s">
        <v>425</v>
      </c>
      <c r="L18" s="13" t="str">
        <f t="shared" si="1"/>
        <v>Cust. Ref-3532</v>
      </c>
      <c r="M18" s="15" t="s">
        <v>48</v>
      </c>
      <c r="N18" s="15" t="s">
        <v>425</v>
      </c>
      <c r="O18" s="13"/>
      <c r="P18" s="13" t="str">
        <f t="shared" si="2"/>
        <v>SN-3532</v>
      </c>
      <c r="Q18" s="13" t="str">
        <f t="shared" si="3"/>
        <v>SI-3532</v>
      </c>
      <c r="R18" s="13" t="str">
        <f t="shared" si="4"/>
        <v>SE-3532</v>
      </c>
      <c r="S18" s="19" t="str">
        <f t="shared" si="5"/>
        <v>Prev_RA-3532</v>
      </c>
      <c r="T18" s="19" t="str">
        <f t="shared" si="6"/>
        <v>Prev_Comms-3532</v>
      </c>
      <c r="U18" s="15" t="s">
        <v>75</v>
      </c>
      <c r="V18" s="15" t="s">
        <v>401</v>
      </c>
      <c r="W18" s="15" t="s">
        <v>75</v>
      </c>
      <c r="X18" s="15" t="s">
        <v>396</v>
      </c>
      <c r="Y18" s="13" t="str">
        <f t="shared" si="7"/>
        <v>Forward Add-3532</v>
      </c>
      <c r="Z18" s="15" t="s">
        <v>401</v>
      </c>
      <c r="AA18" s="133" t="str">
        <f>'Run Parameters'!$B$2</f>
        <v>2019-04-26 08:00</v>
      </c>
      <c r="AB18" s="213" t="str">
        <f>'Run Parameters'!B$3</f>
        <v>2019-04-26 18:00</v>
      </c>
      <c r="AC18" s="26">
        <f>('Run Parameters'!$B$2) - 7</f>
        <v>43574.333333333336</v>
      </c>
      <c r="AD18" s="15" t="s">
        <v>75</v>
      </c>
      <c r="AE18" s="13" t="str">
        <f t="shared" si="8"/>
        <v>LAST_METER-3532</v>
      </c>
      <c r="AF18" s="133" t="str">
        <f>'Run Parameters'!$B$2</f>
        <v>2019-04-26 08:00</v>
      </c>
      <c r="AG18" s="13" t="str">
        <f>'Run Parameters'!B$4</f>
        <v>AUTOTEST2</v>
      </c>
      <c r="AH18" s="19" t="str">
        <f t="shared" si="9"/>
        <v>Site_Contact_3532</v>
      </c>
      <c r="AI18" s="133" t="str">
        <f>'Run Parameters'!B$2</f>
        <v>2019-04-26 08:00</v>
      </c>
      <c r="AJ18" s="213" t="str">
        <f>'Run Parameters'!B$3</f>
        <v>2019-04-26 18:00</v>
      </c>
      <c r="AK18" s="13" t="s">
        <v>396</v>
      </c>
      <c r="AL18" s="19" t="str">
        <f t="shared" si="10"/>
        <v>011593532</v>
      </c>
      <c r="AM18" s="13" t="str">
        <f t="shared" si="11"/>
        <v>01153532</v>
      </c>
      <c r="AN18" s="15"/>
      <c r="AO18" s="15"/>
      <c r="AP18" s="13">
        <v>1</v>
      </c>
      <c r="AQ18" s="15" t="s">
        <v>49</v>
      </c>
      <c r="AR18" s="15"/>
      <c r="AS18" s="13"/>
      <c r="AT18" s="15" t="s">
        <v>400</v>
      </c>
      <c r="AU18" s="15"/>
      <c r="AV18" s="13">
        <f t="shared" si="12"/>
        <v>3532</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GAS_ENQ_NO-3532</v>
      </c>
      <c r="CK18" s="15" t="s">
        <v>165</v>
      </c>
      <c r="CL18" s="15" t="s">
        <v>391</v>
      </c>
      <c r="CM18" s="15" t="s">
        <v>390</v>
      </c>
      <c r="CN18" s="13" t="s">
        <v>1036</v>
      </c>
      <c r="CO18" s="13" t="str">
        <f t="shared" si="14"/>
        <v>GAS_JOB_ID-3532</v>
      </c>
      <c r="CP18" s="15"/>
      <c r="CQ18" s="13" t="str">
        <f t="shared" si="15"/>
        <v>100003532</v>
      </c>
      <c r="CR18" s="13" t="s">
        <v>154</v>
      </c>
      <c r="CS18" s="15" t="s">
        <v>51</v>
      </c>
      <c r="CT18" s="217" t="str">
        <f t="shared" si="16"/>
        <v>GMETER3532</v>
      </c>
      <c r="CU18" s="13" t="s">
        <v>161</v>
      </c>
      <c r="CV18" s="15" t="s">
        <v>165</v>
      </c>
      <c r="CW18" s="15" t="s">
        <v>414</v>
      </c>
      <c r="CX18" s="15"/>
      <c r="CY18" s="15"/>
      <c r="CZ18" s="15" t="s">
        <v>394</v>
      </c>
      <c r="DA18" s="15" t="s">
        <v>395</v>
      </c>
      <c r="DB18" s="13" t="str">
        <f t="shared" si="17"/>
        <v>GAS_INST_ID-3532</v>
      </c>
      <c r="DC18" s="15" t="s">
        <v>161</v>
      </c>
      <c r="DD18" s="15"/>
      <c r="DE18" s="15" t="s">
        <v>51</v>
      </c>
      <c r="DF18" s="15" t="s">
        <v>264</v>
      </c>
      <c r="DG18" s="15"/>
      <c r="DH18" s="15" t="s">
        <v>397</v>
      </c>
      <c r="DI18" s="15" t="s">
        <v>399</v>
      </c>
      <c r="DJ18" s="15" t="s">
        <v>836</v>
      </c>
      <c r="DK18" s="15" t="s">
        <v>140</v>
      </c>
      <c r="DL18" s="218"/>
      <c r="DM18" s="218"/>
      <c r="DN18" s="13" t="str">
        <f t="shared" si="18"/>
        <v>DS_Pass-3532</v>
      </c>
      <c r="DO18" s="15"/>
      <c r="DP18" s="15"/>
      <c r="DQ18" s="15"/>
      <c r="DR18" s="13"/>
      <c r="DS18" s="13"/>
      <c r="DT18" s="15" t="s">
        <v>52</v>
      </c>
      <c r="DU18" s="15"/>
      <c r="DV18" s="15"/>
      <c r="DW18" s="13"/>
      <c r="DX18" s="15" t="s">
        <v>54</v>
      </c>
      <c r="DY18" s="15" t="s">
        <v>61</v>
      </c>
      <c r="DZ18" s="15" t="s">
        <v>402</v>
      </c>
      <c r="EA18" s="19" t="str">
        <f t="shared" si="19"/>
        <v>3532CUSTOMER_ADDRESSEXCH1 ROADCUSTOMER_ADDRESSTESTINGHAMCUSTOMER_ADDRESSTESTINGHAMSHIRE</v>
      </c>
      <c r="EB18" s="15" t="s">
        <v>836</v>
      </c>
      <c r="EC18" s="218"/>
      <c r="ED18" s="218"/>
      <c r="EE18" s="218"/>
    </row>
    <row r="19" spans="1:136" s="219" customFormat="1" x14ac:dyDescent="0.2">
      <c r="A19" s="209" t="s">
        <v>1052</v>
      </c>
      <c r="B19" s="209" t="s">
        <v>868</v>
      </c>
      <c r="C19" s="209" t="s">
        <v>865</v>
      </c>
      <c r="D19" s="13">
        <f>'Run Parameters'!$B$1 + ROW()-1</f>
        <v>3533</v>
      </c>
      <c r="E19" s="15" t="s">
        <v>47</v>
      </c>
      <c r="F19" s="13" t="s">
        <v>1036</v>
      </c>
      <c r="G19" s="13" t="str">
        <f t="shared" si="0"/>
        <v>Access Dtls-3533</v>
      </c>
      <c r="H19" s="15" t="s">
        <v>275</v>
      </c>
      <c r="I19" s="13" t="str">
        <f>("MR. Test_18_EXCH1_"&amp;D19&amp;"")</f>
        <v>MR. Test_18_EXCH1_3533</v>
      </c>
      <c r="J19" s="13"/>
      <c r="K19" s="19" t="s">
        <v>425</v>
      </c>
      <c r="L19" s="13" t="str">
        <f t="shared" si="1"/>
        <v>Cust. Ref-3533</v>
      </c>
      <c r="M19" s="15" t="s">
        <v>48</v>
      </c>
      <c r="N19" s="15" t="s">
        <v>425</v>
      </c>
      <c r="O19" s="13"/>
      <c r="P19" s="13" t="str">
        <f t="shared" si="2"/>
        <v>SN-3533</v>
      </c>
      <c r="Q19" s="13" t="str">
        <f t="shared" si="3"/>
        <v>SI-3533</v>
      </c>
      <c r="R19" s="13" t="str">
        <f t="shared" si="4"/>
        <v>SE-3533</v>
      </c>
      <c r="S19" s="19" t="str">
        <f t="shared" si="5"/>
        <v>Prev_RA-3533</v>
      </c>
      <c r="T19" s="19" t="str">
        <f t="shared" si="6"/>
        <v>Prev_Comms-3533</v>
      </c>
      <c r="U19" s="15" t="s">
        <v>75</v>
      </c>
      <c r="V19" s="15" t="s">
        <v>401</v>
      </c>
      <c r="W19" s="15" t="s">
        <v>75</v>
      </c>
      <c r="X19" s="15" t="s">
        <v>396</v>
      </c>
      <c r="Y19" s="13" t="str">
        <f t="shared" si="7"/>
        <v>Forward Add-3533</v>
      </c>
      <c r="Z19" s="15" t="s">
        <v>401</v>
      </c>
      <c r="AA19" s="133" t="str">
        <f>'Run Parameters'!$B$2</f>
        <v>2019-04-26 08:00</v>
      </c>
      <c r="AB19" s="213" t="str">
        <f>'Run Parameters'!B$3</f>
        <v>2019-04-26 18:00</v>
      </c>
      <c r="AC19" s="26">
        <f>('Run Parameters'!$B$2) - 7</f>
        <v>43574.333333333336</v>
      </c>
      <c r="AD19" s="15" t="s">
        <v>75</v>
      </c>
      <c r="AE19" s="13" t="str">
        <f t="shared" si="8"/>
        <v>LAST_METER-3533</v>
      </c>
      <c r="AF19" s="133" t="str">
        <f>'Run Parameters'!$B$2</f>
        <v>2019-04-26 08:00</v>
      </c>
      <c r="AG19" s="13" t="str">
        <f>'Run Parameters'!B$4</f>
        <v>AUTOTEST2</v>
      </c>
      <c r="AH19" s="19" t="str">
        <f t="shared" si="9"/>
        <v>Site_Contact_3533</v>
      </c>
      <c r="AI19" s="133" t="str">
        <f>'Run Parameters'!B$2</f>
        <v>2019-04-26 08:00</v>
      </c>
      <c r="AJ19" s="213" t="str">
        <f>'Run Parameters'!B$3</f>
        <v>2019-04-26 18:00</v>
      </c>
      <c r="AK19" s="13" t="s">
        <v>396</v>
      </c>
      <c r="AL19" s="19" t="str">
        <f t="shared" si="10"/>
        <v>011593533</v>
      </c>
      <c r="AM19" s="13" t="str">
        <f t="shared" si="11"/>
        <v>01153533</v>
      </c>
      <c r="AN19" s="15"/>
      <c r="AO19" s="15"/>
      <c r="AP19" s="13">
        <v>1</v>
      </c>
      <c r="AQ19" s="15" t="s">
        <v>49</v>
      </c>
      <c r="AR19" s="15"/>
      <c r="AS19" s="13"/>
      <c r="AT19" s="15" t="s">
        <v>400</v>
      </c>
      <c r="AU19" s="15"/>
      <c r="AV19" s="13">
        <f t="shared" si="12"/>
        <v>3533</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GAS_ENQ_NO-3533</v>
      </c>
      <c r="CK19" s="15" t="s">
        <v>165</v>
      </c>
      <c r="CL19" s="15" t="s">
        <v>391</v>
      </c>
      <c r="CM19" s="15" t="s">
        <v>390</v>
      </c>
      <c r="CN19" s="13" t="s">
        <v>1036</v>
      </c>
      <c r="CO19" s="13" t="str">
        <f t="shared" si="14"/>
        <v>GAS_JOB_ID-3533</v>
      </c>
      <c r="CP19" s="15"/>
      <c r="CQ19" s="13" t="str">
        <f t="shared" si="15"/>
        <v>100003533</v>
      </c>
      <c r="CR19" s="13" t="s">
        <v>154</v>
      </c>
      <c r="CS19" s="15" t="s">
        <v>51</v>
      </c>
      <c r="CT19" s="217" t="str">
        <f t="shared" si="16"/>
        <v>GMETER3533</v>
      </c>
      <c r="CU19" s="13" t="s">
        <v>161</v>
      </c>
      <c r="CV19" s="15" t="s">
        <v>165</v>
      </c>
      <c r="CW19" s="15" t="s">
        <v>414</v>
      </c>
      <c r="CX19" s="15"/>
      <c r="CY19" s="15"/>
      <c r="CZ19" s="15" t="s">
        <v>394</v>
      </c>
      <c r="DA19" s="15" t="s">
        <v>395</v>
      </c>
      <c r="DB19" s="13" t="str">
        <f t="shared" si="17"/>
        <v>GAS_INST_ID-3533</v>
      </c>
      <c r="DC19" s="15" t="s">
        <v>161</v>
      </c>
      <c r="DD19" s="15"/>
      <c r="DE19" s="15" t="s">
        <v>51</v>
      </c>
      <c r="DF19" s="15" t="s">
        <v>264</v>
      </c>
      <c r="DG19" s="15"/>
      <c r="DH19" s="15" t="s">
        <v>397</v>
      </c>
      <c r="DI19" s="15" t="s">
        <v>399</v>
      </c>
      <c r="DJ19" s="15" t="s">
        <v>836</v>
      </c>
      <c r="DK19" s="15" t="s">
        <v>140</v>
      </c>
      <c r="DL19" s="218"/>
      <c r="DM19" s="218"/>
      <c r="DN19" s="13" t="str">
        <f t="shared" si="18"/>
        <v>DS_Pass-3533</v>
      </c>
      <c r="DO19" s="15"/>
      <c r="DP19" s="15"/>
      <c r="DQ19" s="15"/>
      <c r="DR19" s="13"/>
      <c r="DS19" s="13"/>
      <c r="DT19" s="15" t="s">
        <v>52</v>
      </c>
      <c r="DU19" s="15"/>
      <c r="DV19" s="15"/>
      <c r="DW19" s="13"/>
      <c r="DX19" s="15" t="s">
        <v>54</v>
      </c>
      <c r="DY19" s="15" t="s">
        <v>61</v>
      </c>
      <c r="DZ19" s="15" t="s">
        <v>402</v>
      </c>
      <c r="EA19" s="19" t="str">
        <f t="shared" si="19"/>
        <v>3533CUSTOMER_ADDRESSEXCH1 ROADCUSTOMER_ADDRESSTESTINGHAMCUSTOMER_ADDRESSTESTINGHAMSHIRE</v>
      </c>
      <c r="EB19" s="15" t="s">
        <v>836</v>
      </c>
      <c r="EC19" s="218"/>
      <c r="ED19" s="218"/>
      <c r="EE19" s="218"/>
    </row>
    <row r="20" spans="1:136" s="219" customFormat="1" x14ac:dyDescent="0.2">
      <c r="A20" s="209" t="s">
        <v>1057</v>
      </c>
      <c r="B20" s="209" t="s">
        <v>892</v>
      </c>
      <c r="C20" s="209" t="s">
        <v>865</v>
      </c>
      <c r="D20" s="13">
        <f>'Run Parameters'!$B$1 + ROW()-1</f>
        <v>3534</v>
      </c>
      <c r="E20" s="15" t="s">
        <v>47</v>
      </c>
      <c r="F20" s="13" t="s">
        <v>1053</v>
      </c>
      <c r="G20" s="13" t="str">
        <f>("Access Dtls-" &amp; D20)</f>
        <v>Access Dtls-3534</v>
      </c>
      <c r="H20" s="15" t="s">
        <v>275</v>
      </c>
      <c r="I20" s="13" t="str">
        <f>("MR. Test_19_RMVE1_"&amp;D20&amp;"")</f>
        <v>MR. Test_19_RMVE1_3534</v>
      </c>
      <c r="J20" s="13"/>
      <c r="K20" s="19" t="s">
        <v>425</v>
      </c>
      <c r="L20" s="13" t="str">
        <f>("Cust. Ref-" &amp; D20)</f>
        <v>Cust. Ref-3534</v>
      </c>
      <c r="M20" s="15" t="s">
        <v>48</v>
      </c>
      <c r="N20" s="15" t="s">
        <v>425</v>
      </c>
      <c r="O20" s="13"/>
      <c r="P20" s="13" t="str">
        <f>("SN-" &amp; D20)</f>
        <v>SN-3534</v>
      </c>
      <c r="Q20" s="13" t="str">
        <f>("SI-" &amp; D20)</f>
        <v>SI-3534</v>
      </c>
      <c r="R20" s="13" t="str">
        <f>("SE-" &amp; D20)</f>
        <v>SE-3534</v>
      </c>
      <c r="S20" s="19" t="str">
        <f>("Prev_RA-" &amp; D20)</f>
        <v>Prev_RA-3534</v>
      </c>
      <c r="T20" s="19" t="str">
        <f>("Prev_Comms-" &amp; D20)</f>
        <v>Prev_Comms-3534</v>
      </c>
      <c r="U20" s="15" t="s">
        <v>75</v>
      </c>
      <c r="V20" s="15" t="s">
        <v>401</v>
      </c>
      <c r="W20" s="15" t="s">
        <v>75</v>
      </c>
      <c r="X20" s="15" t="s">
        <v>396</v>
      </c>
      <c r="Y20" s="13" t="str">
        <f>("Forward Add-" &amp; D20)</f>
        <v>Forward Add-3534</v>
      </c>
      <c r="Z20" s="15" t="s">
        <v>401</v>
      </c>
      <c r="AA20" s="133" t="str">
        <f>'Run Parameters'!$B$2</f>
        <v>2019-04-26 08:00</v>
      </c>
      <c r="AB20" s="213" t="str">
        <f>'Run Parameters'!B$3</f>
        <v>2019-04-26 18:00</v>
      </c>
      <c r="AC20" s="26">
        <f>('Run Parameters'!$B$2) - 7</f>
        <v>43574.333333333336</v>
      </c>
      <c r="AD20" s="15" t="s">
        <v>75</v>
      </c>
      <c r="AE20" s="13" t="str">
        <f>("LAST_METER-" &amp; D20)</f>
        <v>LAST_METER-3534</v>
      </c>
      <c r="AF20" s="133" t="str">
        <f>'Run Parameters'!$B$2</f>
        <v>2019-04-26 08:00</v>
      </c>
      <c r="AG20" s="13" t="str">
        <f>'Run Parameters'!B$4</f>
        <v>AUTOTEST2</v>
      </c>
      <c r="AH20" s="19" t="str">
        <f>("Site_Contact_" &amp; D20)</f>
        <v>Site_Contact_3534</v>
      </c>
      <c r="AI20" s="133" t="str">
        <f>'Run Parameters'!B$2</f>
        <v>2019-04-26 08:00</v>
      </c>
      <c r="AJ20" s="213" t="str">
        <f>'Run Parameters'!B$3</f>
        <v>2019-04-26 18:00</v>
      </c>
      <c r="AK20" s="13" t="s">
        <v>396</v>
      </c>
      <c r="AL20" s="19" t="str">
        <f>"01159" &amp; D20</f>
        <v>011593534</v>
      </c>
      <c r="AM20" s="13" t="str">
        <f>("0115" &amp; D20)</f>
        <v>01153534</v>
      </c>
      <c r="AN20" s="15"/>
      <c r="AO20" s="15"/>
      <c r="AP20" s="13">
        <v>1</v>
      </c>
      <c r="AQ20" s="15" t="s">
        <v>49</v>
      </c>
      <c r="AR20" s="15"/>
      <c r="AS20" s="13"/>
      <c r="AT20" s="15" t="s">
        <v>400</v>
      </c>
      <c r="AU20" s="15"/>
      <c r="AV20" s="13">
        <f>D20</f>
        <v>3534</v>
      </c>
      <c r="AW20" s="13" t="s">
        <v>1054</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GAS_ENQ_NO-3534</v>
      </c>
      <c r="CK20" s="15" t="s">
        <v>1055</v>
      </c>
      <c r="CL20" s="15" t="s">
        <v>391</v>
      </c>
      <c r="CM20" s="15" t="s">
        <v>391</v>
      </c>
      <c r="CN20" s="13" t="s">
        <v>1053</v>
      </c>
      <c r="CO20" s="13" t="str">
        <f>("GAS_JOB_ID-" &amp; D20)</f>
        <v>GAS_JOB_ID-3534</v>
      </c>
      <c r="CP20" s="15"/>
      <c r="CQ20" s="13" t="str">
        <f>"10000" &amp; D20</f>
        <v>100003534</v>
      </c>
      <c r="CR20" s="13" t="s">
        <v>154</v>
      </c>
      <c r="CS20" s="15" t="s">
        <v>51</v>
      </c>
      <c r="CT20" s="217" t="str">
        <f>"GMETER" &amp; D20</f>
        <v>GMETER3534</v>
      </c>
      <c r="CU20" s="13" t="s">
        <v>161</v>
      </c>
      <c r="CV20" s="15" t="s">
        <v>1055</v>
      </c>
      <c r="CW20" s="15" t="s">
        <v>414</v>
      </c>
      <c r="CX20" s="15"/>
      <c r="CY20" s="15"/>
      <c r="CZ20" s="15" t="s">
        <v>394</v>
      </c>
      <c r="DA20" s="15" t="s">
        <v>395</v>
      </c>
      <c r="DB20" s="13" t="str">
        <f t="shared" si="17"/>
        <v>GAS_INST_ID-3534</v>
      </c>
      <c r="DC20" s="15" t="s">
        <v>161</v>
      </c>
      <c r="DD20" s="15"/>
      <c r="DE20" s="15" t="s">
        <v>51</v>
      </c>
      <c r="DF20" s="15" t="s">
        <v>264</v>
      </c>
      <c r="DG20" s="15"/>
      <c r="DH20" s="15" t="s">
        <v>397</v>
      </c>
      <c r="DI20" s="15" t="s">
        <v>399</v>
      </c>
      <c r="DJ20" s="15" t="s">
        <v>1056</v>
      </c>
      <c r="DK20" s="15" t="s">
        <v>140</v>
      </c>
      <c r="DL20" s="218"/>
      <c r="DM20" s="218"/>
      <c r="DN20" s="13" t="str">
        <f t="shared" si="18"/>
        <v>DS_Pass-3534</v>
      </c>
      <c r="DO20" s="15"/>
      <c r="DP20" s="15"/>
      <c r="DQ20" s="15"/>
      <c r="DR20" s="13"/>
      <c r="DS20" s="13"/>
      <c r="DT20" s="15" t="s">
        <v>52</v>
      </c>
      <c r="DU20" s="15"/>
      <c r="DV20" s="15"/>
      <c r="DW20" s="13"/>
      <c r="DX20" s="15" t="s">
        <v>54</v>
      </c>
      <c r="DY20" s="15" t="s">
        <v>61</v>
      </c>
      <c r="DZ20" s="15" t="s">
        <v>402</v>
      </c>
      <c r="EA20" s="19" t="str">
        <f>CONCATENATE(AV20, $EA$1, AW20, $EA$1, AX20, $EA$1, AY20)</f>
        <v>3534CUSTOMER_ADDRESSRMVE1 ROADCUSTOMER_ADDRESSTESTINGHAMCUSTOMER_ADDRESSTESTINGHAMSHIRE</v>
      </c>
      <c r="EB20" s="15" t="s">
        <v>1056</v>
      </c>
      <c r="EC20" s="218"/>
      <c r="ED20" s="218"/>
      <c r="EE20" s="218"/>
    </row>
    <row r="21" spans="1:136" s="219" customFormat="1" x14ac:dyDescent="0.2">
      <c r="A21" s="209" t="s">
        <v>1058</v>
      </c>
      <c r="B21" s="209" t="s">
        <v>868</v>
      </c>
      <c r="C21" s="209" t="s">
        <v>865</v>
      </c>
      <c r="D21" s="13">
        <f>'Run Parameters'!$B$1 + ROW()-1</f>
        <v>3535</v>
      </c>
      <c r="E21" s="15" t="s">
        <v>47</v>
      </c>
      <c r="F21" s="13" t="s">
        <v>1053</v>
      </c>
      <c r="G21" s="13" t="str">
        <f t="shared" ref="G21:G31" si="20">("Access Dtls-" &amp; D21)</f>
        <v>Access Dtls-3535</v>
      </c>
      <c r="H21" s="15" t="s">
        <v>275</v>
      </c>
      <c r="I21" s="13" t="str">
        <f>("MR. Test_20_RMVE1_"&amp;D21&amp;"")</f>
        <v>MR. Test_20_RMVE1_3535</v>
      </c>
      <c r="J21" s="13"/>
      <c r="K21" s="19" t="s">
        <v>425</v>
      </c>
      <c r="L21" s="13" t="str">
        <f t="shared" ref="L21:L31" si="21">("Cust. Ref-" &amp; D21)</f>
        <v>Cust. Ref-3535</v>
      </c>
      <c r="M21" s="15" t="s">
        <v>48</v>
      </c>
      <c r="N21" s="15" t="s">
        <v>425</v>
      </c>
      <c r="O21" s="13"/>
      <c r="P21" s="13" t="str">
        <f t="shared" ref="P21:P31" si="22">("SN-" &amp; D21)</f>
        <v>SN-3535</v>
      </c>
      <c r="Q21" s="13" t="str">
        <f t="shared" ref="Q21:Q31" si="23">("SI-" &amp; D21)</f>
        <v>SI-3535</v>
      </c>
      <c r="R21" s="13" t="str">
        <f t="shared" ref="R21:R31" si="24">("SE-" &amp; D21)</f>
        <v>SE-3535</v>
      </c>
      <c r="S21" s="19" t="str">
        <f t="shared" ref="S21:S31" si="25">("Prev_RA-" &amp; D21)</f>
        <v>Prev_RA-3535</v>
      </c>
      <c r="T21" s="19" t="str">
        <f t="shared" ref="T21:T31" si="26">("Prev_Comms-" &amp; D21)</f>
        <v>Prev_Comms-3535</v>
      </c>
      <c r="U21" s="15" t="s">
        <v>75</v>
      </c>
      <c r="V21" s="15" t="s">
        <v>401</v>
      </c>
      <c r="W21" s="15" t="s">
        <v>75</v>
      </c>
      <c r="X21" s="15" t="s">
        <v>396</v>
      </c>
      <c r="Y21" s="13" t="str">
        <f t="shared" ref="Y21:Y31" si="27">("Forward Add-" &amp; D21)</f>
        <v>Forward Add-3535</v>
      </c>
      <c r="Z21" s="15" t="s">
        <v>401</v>
      </c>
      <c r="AA21" s="133" t="str">
        <f>'Run Parameters'!$B$2</f>
        <v>2019-04-26 08:00</v>
      </c>
      <c r="AB21" s="213" t="str">
        <f>'Run Parameters'!B$3</f>
        <v>2019-04-26 18:00</v>
      </c>
      <c r="AC21" s="26">
        <f>('Run Parameters'!$B$2) - 7</f>
        <v>43574.333333333336</v>
      </c>
      <c r="AD21" s="15" t="s">
        <v>75</v>
      </c>
      <c r="AE21" s="13" t="str">
        <f t="shared" ref="AE21:AE31" si="28">("LAST_METER-" &amp; D21)</f>
        <v>LAST_METER-3535</v>
      </c>
      <c r="AF21" s="133" t="str">
        <f>'Run Parameters'!$B$2</f>
        <v>2019-04-26 08:00</v>
      </c>
      <c r="AG21" s="13" t="str">
        <f>'Run Parameters'!B$4</f>
        <v>AUTOTEST2</v>
      </c>
      <c r="AH21" s="19" t="str">
        <f t="shared" ref="AH21:AH31" si="29">("Site_Contact_" &amp; D21)</f>
        <v>Site_Contact_3535</v>
      </c>
      <c r="AI21" s="133" t="str">
        <f>'Run Parameters'!B$2</f>
        <v>2019-04-26 08:00</v>
      </c>
      <c r="AJ21" s="213" t="str">
        <f>'Run Parameters'!B$3</f>
        <v>2019-04-26 18:00</v>
      </c>
      <c r="AK21" s="13" t="s">
        <v>396</v>
      </c>
      <c r="AL21" s="19" t="str">
        <f t="shared" ref="AL21:AL31" si="30">"01159" &amp; D21</f>
        <v>011593535</v>
      </c>
      <c r="AM21" s="13" t="str">
        <f t="shared" ref="AM21:AM31" si="31">("0115" &amp; D21)</f>
        <v>01153535</v>
      </c>
      <c r="AN21" s="15"/>
      <c r="AO21" s="15"/>
      <c r="AP21" s="13">
        <v>1</v>
      </c>
      <c r="AQ21" s="15" t="s">
        <v>49</v>
      </c>
      <c r="AR21" s="15"/>
      <c r="AS21" s="13"/>
      <c r="AT21" s="15" t="s">
        <v>400</v>
      </c>
      <c r="AU21" s="15"/>
      <c r="AV21" s="13">
        <f t="shared" ref="AV21:AV31" si="32">D21</f>
        <v>3535</v>
      </c>
      <c r="AW21" s="13" t="s">
        <v>1054</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GAS_ENQ_NO-3535</v>
      </c>
      <c r="CK21" s="15" t="s">
        <v>1055</v>
      </c>
      <c r="CL21" s="15" t="s">
        <v>391</v>
      </c>
      <c r="CM21" s="15" t="s">
        <v>391</v>
      </c>
      <c r="CN21" s="13" t="s">
        <v>1053</v>
      </c>
      <c r="CO21" s="13" t="str">
        <f t="shared" ref="CO21:CO31" si="34">("GAS_JOB_ID-" &amp; D21)</f>
        <v>GAS_JOB_ID-3535</v>
      </c>
      <c r="CP21" s="15"/>
      <c r="CQ21" s="13" t="str">
        <f t="shared" ref="CQ21:CQ31" si="35">"10000" &amp; D21</f>
        <v>100003535</v>
      </c>
      <c r="CR21" s="13" t="s">
        <v>154</v>
      </c>
      <c r="CS21" s="15" t="s">
        <v>51</v>
      </c>
      <c r="CT21" s="217" t="str">
        <f t="shared" ref="CT21:CT31" si="36">"GMETER" &amp; D21</f>
        <v>GMETER3535</v>
      </c>
      <c r="CU21" s="13" t="s">
        <v>161</v>
      </c>
      <c r="CV21" s="15" t="s">
        <v>1055</v>
      </c>
      <c r="CW21" s="15" t="s">
        <v>414</v>
      </c>
      <c r="CX21" s="15"/>
      <c r="CY21" s="15"/>
      <c r="CZ21" s="15" t="s">
        <v>394</v>
      </c>
      <c r="DA21" s="15" t="s">
        <v>395</v>
      </c>
      <c r="DB21" s="13" t="str">
        <f t="shared" si="17"/>
        <v>GAS_INST_ID-3535</v>
      </c>
      <c r="DC21" s="15" t="s">
        <v>161</v>
      </c>
      <c r="DD21" s="15"/>
      <c r="DE21" s="15" t="s">
        <v>51</v>
      </c>
      <c r="DF21" s="15" t="s">
        <v>264</v>
      </c>
      <c r="DG21" s="15"/>
      <c r="DH21" s="15" t="s">
        <v>397</v>
      </c>
      <c r="DI21" s="15" t="s">
        <v>399</v>
      </c>
      <c r="DJ21" s="15" t="s">
        <v>1056</v>
      </c>
      <c r="DK21" s="15" t="s">
        <v>140</v>
      </c>
      <c r="DL21" s="218"/>
      <c r="DM21" s="218"/>
      <c r="DN21" s="13" t="str">
        <f t="shared" si="18"/>
        <v>DS_Pass-3535</v>
      </c>
      <c r="DO21" s="15"/>
      <c r="DP21" s="15"/>
      <c r="DQ21" s="15"/>
      <c r="DR21" s="13"/>
      <c r="DS21" s="13"/>
      <c r="DT21" s="15" t="s">
        <v>52</v>
      </c>
      <c r="DU21" s="15"/>
      <c r="DV21" s="15"/>
      <c r="DW21" s="13"/>
      <c r="DX21" s="15" t="s">
        <v>54</v>
      </c>
      <c r="DY21" s="15" t="s">
        <v>61</v>
      </c>
      <c r="DZ21" s="15" t="s">
        <v>402</v>
      </c>
      <c r="EA21" s="19" t="str">
        <f t="shared" ref="EA21:EA31" si="37">CONCATENATE(AV21, $EA$1, AW21, $EA$1, AX21, $EA$1, AY21)</f>
        <v>3535CUSTOMER_ADDRESSRMVE1 ROADCUSTOMER_ADDRESSTESTINGHAMCUSTOMER_ADDRESSTESTINGHAMSHIRE</v>
      </c>
      <c r="EB21" s="15" t="s">
        <v>1056</v>
      </c>
      <c r="EC21" s="218"/>
      <c r="ED21" s="218"/>
      <c r="EE21" s="218"/>
    </row>
    <row r="22" spans="1:136" s="219" customFormat="1" x14ac:dyDescent="0.2">
      <c r="A22" s="209" t="s">
        <v>1059</v>
      </c>
      <c r="B22" s="209" t="s">
        <v>892</v>
      </c>
      <c r="C22" s="209" t="s">
        <v>865</v>
      </c>
      <c r="D22" s="13">
        <f>'Run Parameters'!$B$1 + ROW()-1</f>
        <v>3536</v>
      </c>
      <c r="E22" s="15" t="s">
        <v>47</v>
      </c>
      <c r="F22" s="13" t="s">
        <v>1053</v>
      </c>
      <c r="G22" s="13" t="str">
        <f t="shared" si="20"/>
        <v>Access Dtls-3536</v>
      </c>
      <c r="H22" s="15" t="s">
        <v>275</v>
      </c>
      <c r="I22" s="13" t="str">
        <f>("MR. Test_21_RMVE1_"&amp;D22&amp;"")</f>
        <v>MR. Test_21_RMVE1_3536</v>
      </c>
      <c r="J22" s="13"/>
      <c r="K22" s="19" t="s">
        <v>425</v>
      </c>
      <c r="L22" s="13" t="str">
        <f t="shared" si="21"/>
        <v>Cust. Ref-3536</v>
      </c>
      <c r="M22" s="15" t="s">
        <v>48</v>
      </c>
      <c r="N22" s="15" t="s">
        <v>425</v>
      </c>
      <c r="O22" s="13"/>
      <c r="P22" s="13" t="str">
        <f t="shared" si="22"/>
        <v>SN-3536</v>
      </c>
      <c r="Q22" s="13" t="str">
        <f t="shared" si="23"/>
        <v>SI-3536</v>
      </c>
      <c r="R22" s="13" t="str">
        <f t="shared" si="24"/>
        <v>SE-3536</v>
      </c>
      <c r="S22" s="19" t="str">
        <f t="shared" si="25"/>
        <v>Prev_RA-3536</v>
      </c>
      <c r="T22" s="19" t="str">
        <f t="shared" si="26"/>
        <v>Prev_Comms-3536</v>
      </c>
      <c r="U22" s="15" t="s">
        <v>75</v>
      </c>
      <c r="V22" s="15" t="s">
        <v>401</v>
      </c>
      <c r="W22" s="15" t="s">
        <v>75</v>
      </c>
      <c r="X22" s="15" t="s">
        <v>396</v>
      </c>
      <c r="Y22" s="13" t="str">
        <f t="shared" si="27"/>
        <v>Forward Add-3536</v>
      </c>
      <c r="Z22" s="15" t="s">
        <v>401</v>
      </c>
      <c r="AA22" s="133" t="str">
        <f>'Run Parameters'!$B$2</f>
        <v>2019-04-26 08:00</v>
      </c>
      <c r="AB22" s="213" t="str">
        <f>'Run Parameters'!B$3</f>
        <v>2019-04-26 18:00</v>
      </c>
      <c r="AC22" s="26">
        <f>('Run Parameters'!$B$2) - 7</f>
        <v>43574.333333333336</v>
      </c>
      <c r="AD22" s="15" t="s">
        <v>75</v>
      </c>
      <c r="AE22" s="13" t="str">
        <f t="shared" si="28"/>
        <v>LAST_METER-3536</v>
      </c>
      <c r="AF22" s="133" t="str">
        <f>'Run Parameters'!$B$2</f>
        <v>2019-04-26 08:00</v>
      </c>
      <c r="AG22" s="13" t="str">
        <f>'Run Parameters'!B$4</f>
        <v>AUTOTEST2</v>
      </c>
      <c r="AH22" s="19" t="str">
        <f t="shared" si="29"/>
        <v>Site_Contact_3536</v>
      </c>
      <c r="AI22" s="133" t="str">
        <f>'Run Parameters'!B$2</f>
        <v>2019-04-26 08:00</v>
      </c>
      <c r="AJ22" s="213" t="str">
        <f>'Run Parameters'!B$3</f>
        <v>2019-04-26 18:00</v>
      </c>
      <c r="AK22" s="13" t="s">
        <v>396</v>
      </c>
      <c r="AL22" s="19" t="str">
        <f t="shared" si="30"/>
        <v>011593536</v>
      </c>
      <c r="AM22" s="13" t="str">
        <f t="shared" si="31"/>
        <v>01153536</v>
      </c>
      <c r="AN22" s="15"/>
      <c r="AO22" s="15"/>
      <c r="AP22" s="13">
        <v>1</v>
      </c>
      <c r="AQ22" s="15" t="s">
        <v>49</v>
      </c>
      <c r="AR22" s="15"/>
      <c r="AS22" s="13"/>
      <c r="AT22" s="15" t="s">
        <v>400</v>
      </c>
      <c r="AU22" s="15"/>
      <c r="AV22" s="13">
        <f t="shared" si="32"/>
        <v>3536</v>
      </c>
      <c r="AW22" s="13" t="s">
        <v>1054</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GAS_ENQ_NO-3536</v>
      </c>
      <c r="CK22" s="15" t="s">
        <v>1055</v>
      </c>
      <c r="CL22" s="15" t="s">
        <v>391</v>
      </c>
      <c r="CM22" s="15" t="s">
        <v>391</v>
      </c>
      <c r="CN22" s="13" t="s">
        <v>1053</v>
      </c>
      <c r="CO22" s="13" t="str">
        <f t="shared" si="34"/>
        <v>GAS_JOB_ID-3536</v>
      </c>
      <c r="CP22" s="15"/>
      <c r="CQ22" s="13" t="str">
        <f t="shared" si="35"/>
        <v>100003536</v>
      </c>
      <c r="CR22" s="13" t="s">
        <v>154</v>
      </c>
      <c r="CS22" s="15" t="s">
        <v>51</v>
      </c>
      <c r="CT22" s="217" t="str">
        <f t="shared" si="36"/>
        <v>GMETER3536</v>
      </c>
      <c r="CU22" s="13" t="s">
        <v>161</v>
      </c>
      <c r="CV22" s="15" t="s">
        <v>1055</v>
      </c>
      <c r="CW22" s="15" t="s">
        <v>414</v>
      </c>
      <c r="CX22" s="15"/>
      <c r="CY22" s="15"/>
      <c r="CZ22" s="15" t="s">
        <v>394</v>
      </c>
      <c r="DA22" s="15" t="s">
        <v>395</v>
      </c>
      <c r="DB22" s="13" t="str">
        <f t="shared" si="17"/>
        <v>GAS_INST_ID-3536</v>
      </c>
      <c r="DC22" s="15" t="s">
        <v>161</v>
      </c>
      <c r="DD22" s="15"/>
      <c r="DE22" s="15" t="s">
        <v>51</v>
      </c>
      <c r="DF22" s="15" t="s">
        <v>264</v>
      </c>
      <c r="DG22" s="15"/>
      <c r="DH22" s="15" t="s">
        <v>397</v>
      </c>
      <c r="DI22" s="15" t="s">
        <v>399</v>
      </c>
      <c r="DJ22" s="15" t="s">
        <v>1056</v>
      </c>
      <c r="DK22" s="15" t="s">
        <v>140</v>
      </c>
      <c r="DL22" s="218"/>
      <c r="DM22" s="218"/>
      <c r="DN22" s="13" t="str">
        <f t="shared" si="18"/>
        <v>DS_Pass-3536</v>
      </c>
      <c r="DO22" s="15"/>
      <c r="DP22" s="15"/>
      <c r="DQ22" s="15"/>
      <c r="DR22" s="13"/>
      <c r="DS22" s="13"/>
      <c r="DT22" s="15" t="s">
        <v>52</v>
      </c>
      <c r="DU22" s="15"/>
      <c r="DV22" s="15"/>
      <c r="DW22" s="13"/>
      <c r="DX22" s="15" t="s">
        <v>54</v>
      </c>
      <c r="DY22" s="15" t="s">
        <v>61</v>
      </c>
      <c r="DZ22" s="15" t="s">
        <v>402</v>
      </c>
      <c r="EA22" s="19" t="str">
        <f t="shared" si="37"/>
        <v>3536CUSTOMER_ADDRESSRMVE1 ROADCUSTOMER_ADDRESSTESTINGHAMCUSTOMER_ADDRESSTESTINGHAMSHIRE</v>
      </c>
      <c r="EB22" s="15" t="s">
        <v>1056</v>
      </c>
      <c r="EC22" s="218"/>
      <c r="ED22" s="218"/>
      <c r="EE22" s="218"/>
    </row>
    <row r="23" spans="1:136" s="219" customFormat="1" x14ac:dyDescent="0.2">
      <c r="A23" s="209" t="s">
        <v>1060</v>
      </c>
      <c r="B23" s="209" t="s">
        <v>868</v>
      </c>
      <c r="C23" s="209" t="s">
        <v>865</v>
      </c>
      <c r="D23" s="13">
        <f>'Run Parameters'!$B$1 + ROW()-1</f>
        <v>3537</v>
      </c>
      <c r="E23" s="15" t="s">
        <v>47</v>
      </c>
      <c r="F23" s="13" t="s">
        <v>1053</v>
      </c>
      <c r="G23" s="13" t="str">
        <f t="shared" si="20"/>
        <v>Access Dtls-3537</v>
      </c>
      <c r="H23" s="15" t="s">
        <v>275</v>
      </c>
      <c r="I23" s="13" t="str">
        <f>("MR. Test_22_RMVE1_"&amp;D23&amp;"")</f>
        <v>MR. Test_22_RMVE1_3537</v>
      </c>
      <c r="J23" s="13"/>
      <c r="K23" s="19" t="s">
        <v>425</v>
      </c>
      <c r="L23" s="13" t="str">
        <f t="shared" si="21"/>
        <v>Cust. Ref-3537</v>
      </c>
      <c r="M23" s="15" t="s">
        <v>48</v>
      </c>
      <c r="N23" s="15" t="s">
        <v>425</v>
      </c>
      <c r="O23" s="13"/>
      <c r="P23" s="13" t="str">
        <f t="shared" si="22"/>
        <v>SN-3537</v>
      </c>
      <c r="Q23" s="13" t="str">
        <f t="shared" si="23"/>
        <v>SI-3537</v>
      </c>
      <c r="R23" s="13" t="str">
        <f t="shared" si="24"/>
        <v>SE-3537</v>
      </c>
      <c r="S23" s="19" t="str">
        <f t="shared" si="25"/>
        <v>Prev_RA-3537</v>
      </c>
      <c r="T23" s="19" t="str">
        <f t="shared" si="26"/>
        <v>Prev_Comms-3537</v>
      </c>
      <c r="U23" s="15" t="s">
        <v>75</v>
      </c>
      <c r="V23" s="15" t="s">
        <v>401</v>
      </c>
      <c r="W23" s="15" t="s">
        <v>75</v>
      </c>
      <c r="X23" s="15" t="s">
        <v>396</v>
      </c>
      <c r="Y23" s="13" t="str">
        <f t="shared" si="27"/>
        <v>Forward Add-3537</v>
      </c>
      <c r="Z23" s="15" t="s">
        <v>401</v>
      </c>
      <c r="AA23" s="133" t="str">
        <f>'Run Parameters'!$B$2</f>
        <v>2019-04-26 08:00</v>
      </c>
      <c r="AB23" s="213" t="str">
        <f>'Run Parameters'!B$3</f>
        <v>2019-04-26 18:00</v>
      </c>
      <c r="AC23" s="26">
        <f>('Run Parameters'!$B$2) - 7</f>
        <v>43574.333333333336</v>
      </c>
      <c r="AD23" s="15" t="s">
        <v>75</v>
      </c>
      <c r="AE23" s="13" t="str">
        <f t="shared" si="28"/>
        <v>LAST_METER-3537</v>
      </c>
      <c r="AF23" s="133" t="str">
        <f>'Run Parameters'!$B$2</f>
        <v>2019-04-26 08:00</v>
      </c>
      <c r="AG23" s="13" t="str">
        <f>'Run Parameters'!B$4</f>
        <v>AUTOTEST2</v>
      </c>
      <c r="AH23" s="19" t="str">
        <f t="shared" si="29"/>
        <v>Site_Contact_3537</v>
      </c>
      <c r="AI23" s="133" t="str">
        <f>'Run Parameters'!B$2</f>
        <v>2019-04-26 08:00</v>
      </c>
      <c r="AJ23" s="213" t="str">
        <f>'Run Parameters'!B$3</f>
        <v>2019-04-26 18:00</v>
      </c>
      <c r="AK23" s="13" t="s">
        <v>396</v>
      </c>
      <c r="AL23" s="19" t="str">
        <f t="shared" si="30"/>
        <v>011593537</v>
      </c>
      <c r="AM23" s="13" t="str">
        <f t="shared" si="31"/>
        <v>01153537</v>
      </c>
      <c r="AN23" s="15"/>
      <c r="AO23" s="15"/>
      <c r="AP23" s="13">
        <v>1</v>
      </c>
      <c r="AQ23" s="15" t="s">
        <v>49</v>
      </c>
      <c r="AR23" s="15"/>
      <c r="AS23" s="13"/>
      <c r="AT23" s="15" t="s">
        <v>400</v>
      </c>
      <c r="AU23" s="15"/>
      <c r="AV23" s="13">
        <f t="shared" si="32"/>
        <v>3537</v>
      </c>
      <c r="AW23" s="13" t="s">
        <v>1054</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GAS_ENQ_NO-3537</v>
      </c>
      <c r="CK23" s="15" t="s">
        <v>1055</v>
      </c>
      <c r="CL23" s="15" t="s">
        <v>391</v>
      </c>
      <c r="CM23" s="15" t="s">
        <v>391</v>
      </c>
      <c r="CN23" s="13" t="s">
        <v>1053</v>
      </c>
      <c r="CO23" s="13" t="str">
        <f t="shared" si="34"/>
        <v>GAS_JOB_ID-3537</v>
      </c>
      <c r="CP23" s="15"/>
      <c r="CQ23" s="13" t="str">
        <f t="shared" si="35"/>
        <v>100003537</v>
      </c>
      <c r="CR23" s="13" t="s">
        <v>154</v>
      </c>
      <c r="CS23" s="15" t="s">
        <v>51</v>
      </c>
      <c r="CT23" s="217" t="str">
        <f t="shared" si="36"/>
        <v>GMETER3537</v>
      </c>
      <c r="CU23" s="13" t="s">
        <v>161</v>
      </c>
      <c r="CV23" s="15" t="s">
        <v>1055</v>
      </c>
      <c r="CW23" s="15" t="s">
        <v>414</v>
      </c>
      <c r="CX23" s="15"/>
      <c r="CY23" s="15"/>
      <c r="CZ23" s="15" t="s">
        <v>394</v>
      </c>
      <c r="DA23" s="15" t="s">
        <v>395</v>
      </c>
      <c r="DB23" s="13" t="str">
        <f t="shared" si="17"/>
        <v>GAS_INST_ID-3537</v>
      </c>
      <c r="DC23" s="15" t="s">
        <v>161</v>
      </c>
      <c r="DD23" s="15"/>
      <c r="DE23" s="15" t="s">
        <v>51</v>
      </c>
      <c r="DF23" s="15" t="s">
        <v>264</v>
      </c>
      <c r="DG23" s="15"/>
      <c r="DH23" s="15" t="s">
        <v>397</v>
      </c>
      <c r="DI23" s="15" t="s">
        <v>399</v>
      </c>
      <c r="DJ23" s="15" t="s">
        <v>1056</v>
      </c>
      <c r="DK23" s="15" t="s">
        <v>140</v>
      </c>
      <c r="DL23" s="218"/>
      <c r="DM23" s="218"/>
      <c r="DN23" s="13" t="str">
        <f t="shared" si="18"/>
        <v>DS_Pass-3537</v>
      </c>
      <c r="DO23" s="15"/>
      <c r="DP23" s="15"/>
      <c r="DQ23" s="15"/>
      <c r="DR23" s="13"/>
      <c r="DS23" s="13"/>
      <c r="DT23" s="15" t="s">
        <v>52</v>
      </c>
      <c r="DU23" s="15"/>
      <c r="DV23" s="15"/>
      <c r="DW23" s="13"/>
      <c r="DX23" s="15" t="s">
        <v>54</v>
      </c>
      <c r="DY23" s="15" t="s">
        <v>61</v>
      </c>
      <c r="DZ23" s="15" t="s">
        <v>402</v>
      </c>
      <c r="EA23" s="19" t="str">
        <f t="shared" si="37"/>
        <v>3537CUSTOMER_ADDRESSRMVE1 ROADCUSTOMER_ADDRESSTESTINGHAMCUSTOMER_ADDRESSTESTINGHAMSHIRE</v>
      </c>
      <c r="EB23" s="15" t="s">
        <v>1056</v>
      </c>
      <c r="EC23" s="218"/>
      <c r="ED23" s="218"/>
      <c r="EE23" s="218"/>
    </row>
    <row r="24" spans="1:136" s="219" customFormat="1" x14ac:dyDescent="0.2">
      <c r="A24" s="209" t="s">
        <v>1061</v>
      </c>
      <c r="B24" s="209" t="s">
        <v>892</v>
      </c>
      <c r="C24" s="209" t="s">
        <v>865</v>
      </c>
      <c r="D24" s="13">
        <f>'Run Parameters'!$B$1 + ROW()-1</f>
        <v>3538</v>
      </c>
      <c r="E24" s="15" t="s">
        <v>47</v>
      </c>
      <c r="F24" s="13" t="s">
        <v>1053</v>
      </c>
      <c r="G24" s="13" t="str">
        <f t="shared" si="20"/>
        <v>Access Dtls-3538</v>
      </c>
      <c r="H24" s="15" t="s">
        <v>275</v>
      </c>
      <c r="I24" s="13" t="str">
        <f>("MR. Test_23_RMVE1_"&amp;D24&amp;"")</f>
        <v>MR. Test_23_RMVE1_3538</v>
      </c>
      <c r="J24" s="13"/>
      <c r="K24" s="19" t="s">
        <v>425</v>
      </c>
      <c r="L24" s="13" t="str">
        <f t="shared" si="21"/>
        <v>Cust. Ref-3538</v>
      </c>
      <c r="M24" s="15" t="s">
        <v>48</v>
      </c>
      <c r="N24" s="15" t="s">
        <v>425</v>
      </c>
      <c r="O24" s="13"/>
      <c r="P24" s="13" t="str">
        <f t="shared" si="22"/>
        <v>SN-3538</v>
      </c>
      <c r="Q24" s="13" t="str">
        <f t="shared" si="23"/>
        <v>SI-3538</v>
      </c>
      <c r="R24" s="13" t="str">
        <f t="shared" si="24"/>
        <v>SE-3538</v>
      </c>
      <c r="S24" s="19" t="str">
        <f t="shared" si="25"/>
        <v>Prev_RA-3538</v>
      </c>
      <c r="T24" s="19" t="str">
        <f t="shared" si="26"/>
        <v>Prev_Comms-3538</v>
      </c>
      <c r="U24" s="15" t="s">
        <v>75</v>
      </c>
      <c r="V24" s="15" t="s">
        <v>401</v>
      </c>
      <c r="W24" s="15" t="s">
        <v>75</v>
      </c>
      <c r="X24" s="15" t="s">
        <v>396</v>
      </c>
      <c r="Y24" s="13" t="str">
        <f t="shared" si="27"/>
        <v>Forward Add-3538</v>
      </c>
      <c r="Z24" s="15" t="s">
        <v>401</v>
      </c>
      <c r="AA24" s="133" t="str">
        <f>'Run Parameters'!$B$2</f>
        <v>2019-04-26 08:00</v>
      </c>
      <c r="AB24" s="213" t="str">
        <f>'Run Parameters'!B$3</f>
        <v>2019-04-26 18:00</v>
      </c>
      <c r="AC24" s="26">
        <f>('Run Parameters'!$B$2) - 7</f>
        <v>43574.333333333336</v>
      </c>
      <c r="AD24" s="15" t="s">
        <v>75</v>
      </c>
      <c r="AE24" s="13" t="str">
        <f t="shared" si="28"/>
        <v>LAST_METER-3538</v>
      </c>
      <c r="AF24" s="133" t="str">
        <f>'Run Parameters'!$B$2</f>
        <v>2019-04-26 08:00</v>
      </c>
      <c r="AG24" s="13" t="str">
        <f>'Run Parameters'!B$4</f>
        <v>AUTOTEST2</v>
      </c>
      <c r="AH24" s="19" t="str">
        <f t="shared" si="29"/>
        <v>Site_Contact_3538</v>
      </c>
      <c r="AI24" s="133" t="str">
        <f>'Run Parameters'!B$2</f>
        <v>2019-04-26 08:00</v>
      </c>
      <c r="AJ24" s="213" t="str">
        <f>'Run Parameters'!B$3</f>
        <v>2019-04-26 18:00</v>
      </c>
      <c r="AK24" s="13" t="s">
        <v>396</v>
      </c>
      <c r="AL24" s="19" t="str">
        <f t="shared" si="30"/>
        <v>011593538</v>
      </c>
      <c r="AM24" s="13" t="str">
        <f t="shared" si="31"/>
        <v>01153538</v>
      </c>
      <c r="AN24" s="15"/>
      <c r="AO24" s="15"/>
      <c r="AP24" s="13">
        <v>1</v>
      </c>
      <c r="AQ24" s="15" t="s">
        <v>49</v>
      </c>
      <c r="AR24" s="15"/>
      <c r="AS24" s="13"/>
      <c r="AT24" s="15" t="s">
        <v>400</v>
      </c>
      <c r="AU24" s="15"/>
      <c r="AV24" s="13">
        <f t="shared" si="32"/>
        <v>3538</v>
      </c>
      <c r="AW24" s="13" t="s">
        <v>1054</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GAS_ENQ_NO-3538</v>
      </c>
      <c r="CK24" s="15" t="s">
        <v>1055</v>
      </c>
      <c r="CL24" s="15" t="s">
        <v>391</v>
      </c>
      <c r="CM24" s="15" t="s">
        <v>391</v>
      </c>
      <c r="CN24" s="13" t="s">
        <v>1053</v>
      </c>
      <c r="CO24" s="13" t="str">
        <f t="shared" si="34"/>
        <v>GAS_JOB_ID-3538</v>
      </c>
      <c r="CP24" s="15"/>
      <c r="CQ24" s="13" t="str">
        <f t="shared" si="35"/>
        <v>100003538</v>
      </c>
      <c r="CR24" s="13" t="s">
        <v>154</v>
      </c>
      <c r="CS24" s="15" t="s">
        <v>51</v>
      </c>
      <c r="CT24" s="217" t="str">
        <f t="shared" si="36"/>
        <v>GMETER3538</v>
      </c>
      <c r="CU24" s="13" t="s">
        <v>161</v>
      </c>
      <c r="CV24" s="15" t="s">
        <v>1055</v>
      </c>
      <c r="CW24" s="15" t="s">
        <v>414</v>
      </c>
      <c r="CX24" s="15"/>
      <c r="CY24" s="15"/>
      <c r="CZ24" s="15" t="s">
        <v>394</v>
      </c>
      <c r="DA24" s="15" t="s">
        <v>395</v>
      </c>
      <c r="DB24" s="13" t="str">
        <f t="shared" si="17"/>
        <v>GAS_INST_ID-3538</v>
      </c>
      <c r="DC24" s="15" t="s">
        <v>161</v>
      </c>
      <c r="DD24" s="15"/>
      <c r="DE24" s="15" t="s">
        <v>51</v>
      </c>
      <c r="DF24" s="15" t="s">
        <v>264</v>
      </c>
      <c r="DG24" s="15"/>
      <c r="DH24" s="15" t="s">
        <v>397</v>
      </c>
      <c r="DI24" s="15" t="s">
        <v>399</v>
      </c>
      <c r="DJ24" s="15" t="s">
        <v>1056</v>
      </c>
      <c r="DK24" s="15" t="s">
        <v>140</v>
      </c>
      <c r="DL24" s="218"/>
      <c r="DM24" s="218"/>
      <c r="DN24" s="13" t="str">
        <f t="shared" si="18"/>
        <v>DS_Pass-3538</v>
      </c>
      <c r="DO24" s="15"/>
      <c r="DP24" s="15"/>
      <c r="DQ24" s="15"/>
      <c r="DR24" s="13"/>
      <c r="DS24" s="13"/>
      <c r="DT24" s="15" t="s">
        <v>52</v>
      </c>
      <c r="DU24" s="15"/>
      <c r="DV24" s="15"/>
      <c r="DW24" s="13"/>
      <c r="DX24" s="15" t="s">
        <v>54</v>
      </c>
      <c r="DY24" s="15" t="s">
        <v>61</v>
      </c>
      <c r="DZ24" s="15" t="s">
        <v>402</v>
      </c>
      <c r="EA24" s="19" t="str">
        <f t="shared" si="37"/>
        <v>3538CUSTOMER_ADDRESSRMVE1 ROADCUSTOMER_ADDRESSTESTINGHAMCUSTOMER_ADDRESSTESTINGHAMSHIRE</v>
      </c>
      <c r="EB24" s="15" t="s">
        <v>1056</v>
      </c>
      <c r="EC24" s="218"/>
      <c r="ED24" s="218"/>
      <c r="EE24" s="218"/>
    </row>
    <row r="25" spans="1:136" s="219" customFormat="1" x14ac:dyDescent="0.2">
      <c r="A25" s="209" t="s">
        <v>1098</v>
      </c>
      <c r="B25" s="209" t="s">
        <v>892</v>
      </c>
      <c r="C25" s="209" t="s">
        <v>865</v>
      </c>
      <c r="D25" s="13">
        <f>'Run Parameters'!$B$1 + ROW()-1</f>
        <v>3539</v>
      </c>
      <c r="E25" s="15" t="s">
        <v>47</v>
      </c>
      <c r="F25" s="13" t="s">
        <v>1053</v>
      </c>
      <c r="G25" s="13" t="str">
        <f t="shared" si="20"/>
        <v>Access Dtls-3539</v>
      </c>
      <c r="H25" s="15" t="s">
        <v>275</v>
      </c>
      <c r="I25" s="13" t="str">
        <f>("MR. Test_24_RMVE1_"&amp;D25&amp;"")</f>
        <v>MR. Test_24_RMVE1_3539</v>
      </c>
      <c r="J25" s="13"/>
      <c r="K25" s="19" t="s">
        <v>425</v>
      </c>
      <c r="L25" s="13" t="str">
        <f t="shared" si="21"/>
        <v>Cust. Ref-3539</v>
      </c>
      <c r="M25" s="15" t="s">
        <v>48</v>
      </c>
      <c r="N25" s="15" t="s">
        <v>425</v>
      </c>
      <c r="O25" s="13"/>
      <c r="P25" s="13" t="str">
        <f t="shared" si="22"/>
        <v>SN-3539</v>
      </c>
      <c r="Q25" s="13" t="str">
        <f t="shared" si="23"/>
        <v>SI-3539</v>
      </c>
      <c r="R25" s="13" t="str">
        <f t="shared" si="24"/>
        <v>SE-3539</v>
      </c>
      <c r="S25" s="19" t="str">
        <f t="shared" si="25"/>
        <v>Prev_RA-3539</v>
      </c>
      <c r="T25" s="19" t="str">
        <f t="shared" si="26"/>
        <v>Prev_Comms-3539</v>
      </c>
      <c r="U25" s="15" t="s">
        <v>75</v>
      </c>
      <c r="V25" s="15" t="s">
        <v>401</v>
      </c>
      <c r="W25" s="15" t="s">
        <v>75</v>
      </c>
      <c r="X25" s="15" t="s">
        <v>1087</v>
      </c>
      <c r="Y25" s="13" t="str">
        <f t="shared" si="27"/>
        <v>Forward Add-3539</v>
      </c>
      <c r="Z25" s="15" t="s">
        <v>401</v>
      </c>
      <c r="AA25" s="133" t="str">
        <f>'Run Parameters'!$B$2</f>
        <v>2019-04-26 08:00</v>
      </c>
      <c r="AB25" s="213" t="str">
        <f>'Run Parameters'!B$3</f>
        <v>2019-04-26 18:00</v>
      </c>
      <c r="AC25" s="26">
        <f>('Run Parameters'!$B$2) - 7</f>
        <v>43574.333333333336</v>
      </c>
      <c r="AD25" s="15" t="s">
        <v>75</v>
      </c>
      <c r="AE25" s="13" t="str">
        <f t="shared" si="28"/>
        <v>LAST_METER-3539</v>
      </c>
      <c r="AF25" s="133" t="str">
        <f>'Run Parameters'!$B$2</f>
        <v>2019-04-26 08:00</v>
      </c>
      <c r="AG25" s="13" t="str">
        <f>'Run Parameters'!B$4</f>
        <v>AUTOTEST2</v>
      </c>
      <c r="AH25" s="19" t="str">
        <f t="shared" si="29"/>
        <v>Site_Contact_3539</v>
      </c>
      <c r="AI25" s="133" t="str">
        <f>'Run Parameters'!B$2</f>
        <v>2019-04-26 08:00</v>
      </c>
      <c r="AJ25" s="213" t="str">
        <f>'Run Parameters'!B$3</f>
        <v>2019-04-26 18:00</v>
      </c>
      <c r="AK25" s="13" t="s">
        <v>1087</v>
      </c>
      <c r="AL25" s="19" t="str">
        <f t="shared" si="30"/>
        <v>011593539</v>
      </c>
      <c r="AM25" s="13" t="str">
        <f t="shared" si="31"/>
        <v>01153539</v>
      </c>
      <c r="AN25" s="15"/>
      <c r="AO25" s="15"/>
      <c r="AP25" s="13">
        <v>1</v>
      </c>
      <c r="AQ25" s="15" t="s">
        <v>49</v>
      </c>
      <c r="AR25" s="15"/>
      <c r="AS25" s="13"/>
      <c r="AT25" s="15" t="s">
        <v>400</v>
      </c>
      <c r="AU25" s="15"/>
      <c r="AV25" s="13">
        <f t="shared" si="32"/>
        <v>3539</v>
      </c>
      <c r="AW25" s="13" t="s">
        <v>1054</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GAS_ENQ_NO-3539</v>
      </c>
      <c r="CK25" s="15" t="s">
        <v>1055</v>
      </c>
      <c r="CL25" s="15" t="s">
        <v>391</v>
      </c>
      <c r="CM25" s="15" t="s">
        <v>391</v>
      </c>
      <c r="CN25" s="13" t="s">
        <v>1053</v>
      </c>
      <c r="CO25" s="13" t="str">
        <f t="shared" si="34"/>
        <v>GAS_JOB_ID-3539</v>
      </c>
      <c r="CP25" s="15"/>
      <c r="CQ25" s="13" t="str">
        <f t="shared" si="35"/>
        <v>100003539</v>
      </c>
      <c r="CR25" s="13" t="s">
        <v>154</v>
      </c>
      <c r="CS25" s="15" t="s">
        <v>51</v>
      </c>
      <c r="CT25" s="217" t="str">
        <f t="shared" si="36"/>
        <v>GMETER3539</v>
      </c>
      <c r="CU25" s="13" t="s">
        <v>161</v>
      </c>
      <c r="CV25" s="15" t="s">
        <v>1055</v>
      </c>
      <c r="CW25" s="15" t="s">
        <v>414</v>
      </c>
      <c r="CX25" s="15"/>
      <c r="CY25" s="15"/>
      <c r="CZ25" s="15" t="s">
        <v>394</v>
      </c>
      <c r="DA25" s="15" t="s">
        <v>395</v>
      </c>
      <c r="DB25" s="13" t="str">
        <f t="shared" si="17"/>
        <v>GAS_INST_ID-3539</v>
      </c>
      <c r="DC25" s="15" t="s">
        <v>161</v>
      </c>
      <c r="DD25" s="15"/>
      <c r="DE25" s="15" t="s">
        <v>51</v>
      </c>
      <c r="DF25" s="15" t="s">
        <v>264</v>
      </c>
      <c r="DG25" s="15"/>
      <c r="DH25" s="15" t="s">
        <v>397</v>
      </c>
      <c r="DI25" s="15" t="s">
        <v>399</v>
      </c>
      <c r="DJ25" s="15" t="s">
        <v>1056</v>
      </c>
      <c r="DK25" s="15" t="s">
        <v>140</v>
      </c>
      <c r="DL25" s="218"/>
      <c r="DM25" s="218"/>
      <c r="DN25" s="13" t="str">
        <f t="shared" si="18"/>
        <v>DS_Pass-3539</v>
      </c>
      <c r="DO25" s="15"/>
      <c r="DP25" s="15"/>
      <c r="DQ25" s="15"/>
      <c r="DR25" s="13"/>
      <c r="DS25" s="13"/>
      <c r="DT25" s="15" t="s">
        <v>52</v>
      </c>
      <c r="DU25" s="15"/>
      <c r="DV25" s="15"/>
      <c r="DW25" s="13"/>
      <c r="DX25" s="15" t="s">
        <v>54</v>
      </c>
      <c r="DY25" s="15" t="s">
        <v>61</v>
      </c>
      <c r="DZ25" s="15" t="s">
        <v>402</v>
      </c>
      <c r="EA25" s="19" t="str">
        <f t="shared" si="37"/>
        <v>3539CUSTOMER_ADDRESSRMVE1 ROADCUSTOMER_ADDRESSTESTINGHAMCUSTOMER_ADDRESSTESTINGHAMSHIRE</v>
      </c>
      <c r="EB25" s="15" t="s">
        <v>1056</v>
      </c>
      <c r="EC25" s="218"/>
      <c r="ED25" s="218"/>
      <c r="EE25" s="218"/>
    </row>
    <row r="26" spans="1:136" s="219" customFormat="1" x14ac:dyDescent="0.2">
      <c r="A26" s="209" t="s">
        <v>1062</v>
      </c>
      <c r="B26" s="209" t="s">
        <v>892</v>
      </c>
      <c r="C26" s="209" t="s">
        <v>865</v>
      </c>
      <c r="D26" s="13">
        <f>'Run Parameters'!$B$1 + ROW()-1</f>
        <v>3540</v>
      </c>
      <c r="E26" s="15" t="s">
        <v>47</v>
      </c>
      <c r="F26" s="13" t="s">
        <v>1053</v>
      </c>
      <c r="G26" s="13" t="str">
        <f t="shared" si="20"/>
        <v>Access Dtls-3540</v>
      </c>
      <c r="H26" s="15" t="s">
        <v>275</v>
      </c>
      <c r="I26" s="13" t="str">
        <f>("MR. Test_25_RMVE1_"&amp;D26&amp;"")</f>
        <v>MR. Test_25_RMVE1_3540</v>
      </c>
      <c r="J26" s="13"/>
      <c r="K26" s="19" t="s">
        <v>425</v>
      </c>
      <c r="L26" s="13" t="str">
        <f t="shared" si="21"/>
        <v>Cust. Ref-3540</v>
      </c>
      <c r="M26" s="15" t="s">
        <v>48</v>
      </c>
      <c r="N26" s="15" t="s">
        <v>425</v>
      </c>
      <c r="O26" s="13"/>
      <c r="P26" s="13" t="str">
        <f t="shared" si="22"/>
        <v>SN-3540</v>
      </c>
      <c r="Q26" s="13" t="str">
        <f t="shared" si="23"/>
        <v>SI-3540</v>
      </c>
      <c r="R26" s="13" t="str">
        <f t="shared" si="24"/>
        <v>SE-3540</v>
      </c>
      <c r="S26" s="19" t="str">
        <f t="shared" si="25"/>
        <v>Prev_RA-3540</v>
      </c>
      <c r="T26" s="19" t="str">
        <f t="shared" si="26"/>
        <v>Prev_Comms-3540</v>
      </c>
      <c r="U26" s="15" t="s">
        <v>75</v>
      </c>
      <c r="V26" s="15" t="s">
        <v>401</v>
      </c>
      <c r="W26" s="15" t="s">
        <v>75</v>
      </c>
      <c r="X26" s="15" t="s">
        <v>396</v>
      </c>
      <c r="Y26" s="13" t="str">
        <f t="shared" si="27"/>
        <v>Forward Add-3540</v>
      </c>
      <c r="Z26" s="15" t="s">
        <v>401</v>
      </c>
      <c r="AA26" s="133" t="str">
        <f>'Run Parameters'!$B$2</f>
        <v>2019-04-26 08:00</v>
      </c>
      <c r="AB26" s="213" t="str">
        <f>'Run Parameters'!B$3</f>
        <v>2019-04-26 18:00</v>
      </c>
      <c r="AC26" s="26">
        <f>('Run Parameters'!$B$2) - 7</f>
        <v>43574.333333333336</v>
      </c>
      <c r="AD26" s="15" t="s">
        <v>75</v>
      </c>
      <c r="AE26" s="13" t="str">
        <f t="shared" si="28"/>
        <v>LAST_METER-3540</v>
      </c>
      <c r="AF26" s="133" t="str">
        <f>'Run Parameters'!$B$2</f>
        <v>2019-04-26 08:00</v>
      </c>
      <c r="AG26" s="13" t="str">
        <f>'Run Parameters'!B$4</f>
        <v>AUTOTEST2</v>
      </c>
      <c r="AH26" s="19" t="str">
        <f t="shared" si="29"/>
        <v>Site_Contact_3540</v>
      </c>
      <c r="AI26" s="133" t="str">
        <f>'Run Parameters'!B$2</f>
        <v>2019-04-26 08:00</v>
      </c>
      <c r="AJ26" s="213" t="str">
        <f>'Run Parameters'!B$3</f>
        <v>2019-04-26 18:00</v>
      </c>
      <c r="AK26" s="13" t="s">
        <v>396</v>
      </c>
      <c r="AL26" s="19" t="str">
        <f t="shared" si="30"/>
        <v>011593540</v>
      </c>
      <c r="AM26" s="13" t="str">
        <f t="shared" si="31"/>
        <v>01153540</v>
      </c>
      <c r="AN26" s="15"/>
      <c r="AO26" s="15"/>
      <c r="AP26" s="13">
        <v>1</v>
      </c>
      <c r="AQ26" s="15" t="s">
        <v>49</v>
      </c>
      <c r="AR26" s="15"/>
      <c r="AS26" s="13"/>
      <c r="AT26" s="15" t="s">
        <v>400</v>
      </c>
      <c r="AU26" s="15"/>
      <c r="AV26" s="13">
        <f t="shared" si="32"/>
        <v>3540</v>
      </c>
      <c r="AW26" s="13" t="s">
        <v>1054</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GAS_ENQ_NO-3540</v>
      </c>
      <c r="CK26" s="15" t="s">
        <v>1055</v>
      </c>
      <c r="CL26" s="15" t="s">
        <v>391</v>
      </c>
      <c r="CM26" s="15" t="s">
        <v>391</v>
      </c>
      <c r="CN26" s="13" t="s">
        <v>1053</v>
      </c>
      <c r="CO26" s="13" t="str">
        <f t="shared" si="34"/>
        <v>GAS_JOB_ID-3540</v>
      </c>
      <c r="CP26" s="15"/>
      <c r="CQ26" s="13" t="str">
        <f t="shared" si="35"/>
        <v>100003540</v>
      </c>
      <c r="CR26" s="13" t="s">
        <v>154</v>
      </c>
      <c r="CS26" s="15" t="s">
        <v>51</v>
      </c>
      <c r="CT26" s="217" t="str">
        <f t="shared" si="36"/>
        <v>GMETER3540</v>
      </c>
      <c r="CU26" s="13" t="s">
        <v>161</v>
      </c>
      <c r="CV26" s="15" t="s">
        <v>1055</v>
      </c>
      <c r="CW26" s="15" t="s">
        <v>414</v>
      </c>
      <c r="CX26" s="15"/>
      <c r="CY26" s="15"/>
      <c r="CZ26" s="15" t="s">
        <v>394</v>
      </c>
      <c r="DA26" s="15" t="s">
        <v>395</v>
      </c>
      <c r="DB26" s="13" t="str">
        <f t="shared" si="17"/>
        <v>GAS_INST_ID-3540</v>
      </c>
      <c r="DC26" s="15" t="s">
        <v>161</v>
      </c>
      <c r="DD26" s="15"/>
      <c r="DE26" s="15" t="s">
        <v>51</v>
      </c>
      <c r="DF26" s="15" t="s">
        <v>264</v>
      </c>
      <c r="DG26" s="15"/>
      <c r="DH26" s="15" t="s">
        <v>397</v>
      </c>
      <c r="DI26" s="15" t="s">
        <v>399</v>
      </c>
      <c r="DJ26" s="15" t="s">
        <v>1056</v>
      </c>
      <c r="DK26" s="15" t="s">
        <v>140</v>
      </c>
      <c r="DL26" s="218"/>
      <c r="DM26" s="218"/>
      <c r="DN26" s="13" t="str">
        <f t="shared" si="18"/>
        <v>DS_Pass-3540</v>
      </c>
      <c r="DO26" s="15"/>
      <c r="DP26" s="15"/>
      <c r="DQ26" s="15"/>
      <c r="DR26" s="13"/>
      <c r="DS26" s="13"/>
      <c r="DT26" s="15" t="s">
        <v>52</v>
      </c>
      <c r="DU26" s="15"/>
      <c r="DV26" s="15"/>
      <c r="DW26" s="13"/>
      <c r="DX26" s="15" t="s">
        <v>54</v>
      </c>
      <c r="DY26" s="15" t="s">
        <v>61</v>
      </c>
      <c r="DZ26" s="15" t="s">
        <v>402</v>
      </c>
      <c r="EA26" s="19" t="str">
        <f t="shared" si="37"/>
        <v>3540CUSTOMER_ADDRESSRMVE1 ROADCUSTOMER_ADDRESSTESTINGHAMCUSTOMER_ADDRESSTESTINGHAMSHIRE</v>
      </c>
      <c r="EB26" s="15" t="s">
        <v>1056</v>
      </c>
      <c r="EC26" s="218"/>
      <c r="ED26" s="218"/>
      <c r="EE26" s="218"/>
    </row>
    <row r="27" spans="1:136" s="219" customFormat="1" x14ac:dyDescent="0.2">
      <c r="A27" s="209" t="s">
        <v>1063</v>
      </c>
      <c r="B27" s="209" t="s">
        <v>868</v>
      </c>
      <c r="C27" s="209" t="s">
        <v>865</v>
      </c>
      <c r="D27" s="13">
        <f>'Run Parameters'!$B$1 + ROW()-1</f>
        <v>3541</v>
      </c>
      <c r="E27" s="15" t="s">
        <v>47</v>
      </c>
      <c r="F27" s="13" t="s">
        <v>1053</v>
      </c>
      <c r="G27" s="13" t="str">
        <f t="shared" si="20"/>
        <v>Access Dtls-3541</v>
      </c>
      <c r="H27" s="15" t="s">
        <v>275</v>
      </c>
      <c r="I27" s="13" t="str">
        <f>("MR. Test_26_RMVE1_"&amp;D27&amp;"")</f>
        <v>MR. Test_26_RMVE1_3541</v>
      </c>
      <c r="J27" s="13"/>
      <c r="K27" s="19" t="s">
        <v>425</v>
      </c>
      <c r="L27" s="13" t="str">
        <f t="shared" si="21"/>
        <v>Cust. Ref-3541</v>
      </c>
      <c r="M27" s="15" t="s">
        <v>48</v>
      </c>
      <c r="N27" s="15" t="s">
        <v>425</v>
      </c>
      <c r="O27" s="13"/>
      <c r="P27" s="13" t="str">
        <f t="shared" si="22"/>
        <v>SN-3541</v>
      </c>
      <c r="Q27" s="13" t="str">
        <f t="shared" si="23"/>
        <v>SI-3541</v>
      </c>
      <c r="R27" s="13" t="str">
        <f t="shared" si="24"/>
        <v>SE-3541</v>
      </c>
      <c r="S27" s="19" t="str">
        <f t="shared" si="25"/>
        <v>Prev_RA-3541</v>
      </c>
      <c r="T27" s="19" t="str">
        <f t="shared" si="26"/>
        <v>Prev_Comms-3541</v>
      </c>
      <c r="U27" s="15" t="s">
        <v>75</v>
      </c>
      <c r="V27" s="15" t="s">
        <v>401</v>
      </c>
      <c r="W27" s="15" t="s">
        <v>75</v>
      </c>
      <c r="X27" s="15" t="s">
        <v>396</v>
      </c>
      <c r="Y27" s="13" t="str">
        <f t="shared" si="27"/>
        <v>Forward Add-3541</v>
      </c>
      <c r="Z27" s="15" t="s">
        <v>401</v>
      </c>
      <c r="AA27" s="133" t="str">
        <f>'Run Parameters'!$B$2</f>
        <v>2019-04-26 08:00</v>
      </c>
      <c r="AB27" s="213" t="str">
        <f>'Run Parameters'!B$3</f>
        <v>2019-04-26 18:00</v>
      </c>
      <c r="AC27" s="26">
        <f>('Run Parameters'!$B$2) - 7</f>
        <v>43574.333333333336</v>
      </c>
      <c r="AD27" s="15" t="s">
        <v>75</v>
      </c>
      <c r="AE27" s="13" t="str">
        <f t="shared" si="28"/>
        <v>LAST_METER-3541</v>
      </c>
      <c r="AF27" s="133" t="str">
        <f>'Run Parameters'!$B$2</f>
        <v>2019-04-26 08:00</v>
      </c>
      <c r="AG27" s="13" t="str">
        <f>'Run Parameters'!B$4</f>
        <v>AUTOTEST2</v>
      </c>
      <c r="AH27" s="19" t="str">
        <f t="shared" si="29"/>
        <v>Site_Contact_3541</v>
      </c>
      <c r="AI27" s="133" t="str">
        <f>'Run Parameters'!B$2</f>
        <v>2019-04-26 08:00</v>
      </c>
      <c r="AJ27" s="213" t="str">
        <f>'Run Parameters'!B$3</f>
        <v>2019-04-26 18:00</v>
      </c>
      <c r="AK27" s="13" t="s">
        <v>396</v>
      </c>
      <c r="AL27" s="19" t="str">
        <f t="shared" si="30"/>
        <v>011593541</v>
      </c>
      <c r="AM27" s="13" t="str">
        <f t="shared" si="31"/>
        <v>01153541</v>
      </c>
      <c r="AN27" s="15"/>
      <c r="AO27" s="15"/>
      <c r="AP27" s="13">
        <v>1</v>
      </c>
      <c r="AQ27" s="15" t="s">
        <v>49</v>
      </c>
      <c r="AR27" s="15"/>
      <c r="AS27" s="13"/>
      <c r="AT27" s="15" t="s">
        <v>400</v>
      </c>
      <c r="AU27" s="15"/>
      <c r="AV27" s="13">
        <f t="shared" si="32"/>
        <v>3541</v>
      </c>
      <c r="AW27" s="13" t="s">
        <v>1054</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GAS_ENQ_NO-3541</v>
      </c>
      <c r="CK27" s="15" t="s">
        <v>1055</v>
      </c>
      <c r="CL27" s="15" t="s">
        <v>391</v>
      </c>
      <c r="CM27" s="15" t="s">
        <v>391</v>
      </c>
      <c r="CN27" s="13" t="s">
        <v>1053</v>
      </c>
      <c r="CO27" s="13" t="str">
        <f t="shared" si="34"/>
        <v>GAS_JOB_ID-3541</v>
      </c>
      <c r="CP27" s="15"/>
      <c r="CQ27" s="13" t="str">
        <f t="shared" si="35"/>
        <v>100003541</v>
      </c>
      <c r="CR27" s="13" t="s">
        <v>154</v>
      </c>
      <c r="CS27" s="15" t="s">
        <v>51</v>
      </c>
      <c r="CT27" s="217" t="str">
        <f t="shared" si="36"/>
        <v>GMETER3541</v>
      </c>
      <c r="CU27" s="13" t="s">
        <v>161</v>
      </c>
      <c r="CV27" s="15" t="s">
        <v>1055</v>
      </c>
      <c r="CW27" s="15" t="s">
        <v>414</v>
      </c>
      <c r="CX27" s="15"/>
      <c r="CY27" s="15"/>
      <c r="CZ27" s="15" t="s">
        <v>394</v>
      </c>
      <c r="DA27" s="15" t="s">
        <v>395</v>
      </c>
      <c r="DB27" s="13" t="str">
        <f t="shared" si="17"/>
        <v>GAS_INST_ID-3541</v>
      </c>
      <c r="DC27" s="15" t="s">
        <v>161</v>
      </c>
      <c r="DD27" s="15"/>
      <c r="DE27" s="15" t="s">
        <v>51</v>
      </c>
      <c r="DF27" s="15" t="s">
        <v>264</v>
      </c>
      <c r="DG27" s="15"/>
      <c r="DH27" s="15" t="s">
        <v>397</v>
      </c>
      <c r="DI27" s="15" t="s">
        <v>399</v>
      </c>
      <c r="DJ27" s="15" t="s">
        <v>1056</v>
      </c>
      <c r="DK27" s="15" t="s">
        <v>140</v>
      </c>
      <c r="DL27" s="218"/>
      <c r="DM27" s="218"/>
      <c r="DN27" s="13" t="str">
        <f t="shared" si="18"/>
        <v>DS_Pass-3541</v>
      </c>
      <c r="DO27" s="15"/>
      <c r="DP27" s="15"/>
      <c r="DQ27" s="15"/>
      <c r="DR27" s="13"/>
      <c r="DS27" s="13"/>
      <c r="DT27" s="15" t="s">
        <v>52</v>
      </c>
      <c r="DU27" s="15"/>
      <c r="DV27" s="15"/>
      <c r="DW27" s="13"/>
      <c r="DX27" s="15" t="s">
        <v>54</v>
      </c>
      <c r="DY27" s="15" t="s">
        <v>61</v>
      </c>
      <c r="DZ27" s="15" t="s">
        <v>402</v>
      </c>
      <c r="EA27" s="19" t="str">
        <f t="shared" si="37"/>
        <v>3541CUSTOMER_ADDRESSRMVE1 ROADCUSTOMER_ADDRESSTESTINGHAMCUSTOMER_ADDRESSTESTINGHAMSHIRE</v>
      </c>
      <c r="EB27" s="15" t="s">
        <v>1056</v>
      </c>
      <c r="EC27" s="218"/>
      <c r="ED27" s="218"/>
      <c r="EE27" s="218"/>
    </row>
    <row r="28" spans="1:136" s="219" customFormat="1" x14ac:dyDescent="0.2">
      <c r="A28" s="209" t="s">
        <v>1064</v>
      </c>
      <c r="B28" s="209" t="s">
        <v>892</v>
      </c>
      <c r="C28" s="209" t="s">
        <v>865</v>
      </c>
      <c r="D28" s="13">
        <f>'Run Parameters'!$B$1 + ROW()-1</f>
        <v>3542</v>
      </c>
      <c r="E28" s="15" t="s">
        <v>47</v>
      </c>
      <c r="F28" s="13" t="s">
        <v>1053</v>
      </c>
      <c r="G28" s="13" t="str">
        <f t="shared" si="20"/>
        <v>Access Dtls-3542</v>
      </c>
      <c r="H28" s="15" t="s">
        <v>275</v>
      </c>
      <c r="I28" s="13" t="str">
        <f>("MR. Test_27_RMVE1_"&amp;D28&amp;"")</f>
        <v>MR. Test_27_RMVE1_3542</v>
      </c>
      <c r="J28" s="13"/>
      <c r="K28" s="19" t="s">
        <v>425</v>
      </c>
      <c r="L28" s="13" t="str">
        <f t="shared" si="21"/>
        <v>Cust. Ref-3542</v>
      </c>
      <c r="M28" s="15" t="s">
        <v>48</v>
      </c>
      <c r="N28" s="15" t="s">
        <v>425</v>
      </c>
      <c r="O28" s="13"/>
      <c r="P28" s="13" t="str">
        <f t="shared" si="22"/>
        <v>SN-3542</v>
      </c>
      <c r="Q28" s="13" t="str">
        <f t="shared" si="23"/>
        <v>SI-3542</v>
      </c>
      <c r="R28" s="13" t="str">
        <f t="shared" si="24"/>
        <v>SE-3542</v>
      </c>
      <c r="S28" s="19" t="str">
        <f t="shared" si="25"/>
        <v>Prev_RA-3542</v>
      </c>
      <c r="T28" s="19" t="str">
        <f t="shared" si="26"/>
        <v>Prev_Comms-3542</v>
      </c>
      <c r="U28" s="15" t="s">
        <v>75</v>
      </c>
      <c r="V28" s="15" t="s">
        <v>401</v>
      </c>
      <c r="W28" s="15" t="s">
        <v>75</v>
      </c>
      <c r="X28" s="15" t="s">
        <v>396</v>
      </c>
      <c r="Y28" s="13" t="str">
        <f t="shared" si="27"/>
        <v>Forward Add-3542</v>
      </c>
      <c r="Z28" s="15" t="s">
        <v>401</v>
      </c>
      <c r="AA28" s="133" t="str">
        <f>'Run Parameters'!$B$2</f>
        <v>2019-04-26 08:00</v>
      </c>
      <c r="AB28" s="213" t="str">
        <f>'Run Parameters'!B$3</f>
        <v>2019-04-26 18:00</v>
      </c>
      <c r="AC28" s="26">
        <f>('Run Parameters'!$B$2) - 7</f>
        <v>43574.333333333336</v>
      </c>
      <c r="AD28" s="15" t="s">
        <v>75</v>
      </c>
      <c r="AE28" s="13" t="str">
        <f t="shared" si="28"/>
        <v>LAST_METER-3542</v>
      </c>
      <c r="AF28" s="133" t="str">
        <f>'Run Parameters'!$B$2</f>
        <v>2019-04-26 08:00</v>
      </c>
      <c r="AG28" s="13" t="str">
        <f>'Run Parameters'!B$4</f>
        <v>AUTOTEST2</v>
      </c>
      <c r="AH28" s="19" t="str">
        <f t="shared" si="29"/>
        <v>Site_Contact_3542</v>
      </c>
      <c r="AI28" s="133" t="str">
        <f>'Run Parameters'!B$2</f>
        <v>2019-04-26 08:00</v>
      </c>
      <c r="AJ28" s="213" t="str">
        <f>'Run Parameters'!B$3</f>
        <v>2019-04-26 18:00</v>
      </c>
      <c r="AK28" s="13" t="s">
        <v>396</v>
      </c>
      <c r="AL28" s="19" t="str">
        <f t="shared" si="30"/>
        <v>011593542</v>
      </c>
      <c r="AM28" s="13" t="str">
        <f t="shared" si="31"/>
        <v>01153542</v>
      </c>
      <c r="AN28" s="15"/>
      <c r="AO28" s="15"/>
      <c r="AP28" s="13">
        <v>1</v>
      </c>
      <c r="AQ28" s="15" t="s">
        <v>49</v>
      </c>
      <c r="AR28" s="15"/>
      <c r="AS28" s="13"/>
      <c r="AT28" s="15" t="s">
        <v>400</v>
      </c>
      <c r="AU28" s="15"/>
      <c r="AV28" s="13">
        <f t="shared" si="32"/>
        <v>3542</v>
      </c>
      <c r="AW28" s="13" t="s">
        <v>1054</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GAS_ENQ_NO-3542</v>
      </c>
      <c r="CK28" s="15" t="s">
        <v>1055</v>
      </c>
      <c r="CL28" s="15" t="s">
        <v>391</v>
      </c>
      <c r="CM28" s="15" t="s">
        <v>391</v>
      </c>
      <c r="CN28" s="13" t="s">
        <v>1053</v>
      </c>
      <c r="CO28" s="13" t="str">
        <f t="shared" si="34"/>
        <v>GAS_JOB_ID-3542</v>
      </c>
      <c r="CP28" s="15"/>
      <c r="CQ28" s="13" t="str">
        <f t="shared" si="35"/>
        <v>100003542</v>
      </c>
      <c r="CR28" s="13" t="s">
        <v>154</v>
      </c>
      <c r="CS28" s="15" t="s">
        <v>51</v>
      </c>
      <c r="CT28" s="217" t="str">
        <f t="shared" si="36"/>
        <v>GMETER3542</v>
      </c>
      <c r="CU28" s="13" t="s">
        <v>161</v>
      </c>
      <c r="CV28" s="15" t="s">
        <v>1055</v>
      </c>
      <c r="CW28" s="15" t="s">
        <v>414</v>
      </c>
      <c r="CX28" s="15"/>
      <c r="CY28" s="15"/>
      <c r="CZ28" s="15" t="s">
        <v>394</v>
      </c>
      <c r="DA28" s="15" t="s">
        <v>395</v>
      </c>
      <c r="DB28" s="13" t="str">
        <f t="shared" si="17"/>
        <v>GAS_INST_ID-3542</v>
      </c>
      <c r="DC28" s="15" t="s">
        <v>161</v>
      </c>
      <c r="DD28" s="15"/>
      <c r="DE28" s="15" t="s">
        <v>51</v>
      </c>
      <c r="DF28" s="15" t="s">
        <v>264</v>
      </c>
      <c r="DG28" s="15"/>
      <c r="DH28" s="15" t="s">
        <v>397</v>
      </c>
      <c r="DI28" s="15" t="s">
        <v>399</v>
      </c>
      <c r="DJ28" s="15" t="s">
        <v>1056</v>
      </c>
      <c r="DK28" s="15" t="s">
        <v>140</v>
      </c>
      <c r="DL28" s="218"/>
      <c r="DM28" s="218"/>
      <c r="DN28" s="13" t="str">
        <f t="shared" si="18"/>
        <v>DS_Pass-3542</v>
      </c>
      <c r="DO28" s="15"/>
      <c r="DP28" s="15"/>
      <c r="DQ28" s="15"/>
      <c r="DR28" s="13"/>
      <c r="DS28" s="13"/>
      <c r="DT28" s="15" t="s">
        <v>52</v>
      </c>
      <c r="DU28" s="15"/>
      <c r="DV28" s="15"/>
      <c r="DW28" s="13"/>
      <c r="DX28" s="15" t="s">
        <v>54</v>
      </c>
      <c r="DY28" s="15" t="s">
        <v>61</v>
      </c>
      <c r="DZ28" s="15" t="s">
        <v>402</v>
      </c>
      <c r="EA28" s="19" t="str">
        <f t="shared" si="37"/>
        <v>3542CUSTOMER_ADDRESSRMVE1 ROADCUSTOMER_ADDRESSTESTINGHAMCUSTOMER_ADDRESSTESTINGHAMSHIRE</v>
      </c>
      <c r="EB28" s="15" t="s">
        <v>1056</v>
      </c>
      <c r="EC28" s="218"/>
      <c r="ED28" s="218"/>
      <c r="EE28" s="218"/>
    </row>
    <row r="29" spans="1:136" s="219" customFormat="1" x14ac:dyDescent="0.2">
      <c r="A29" s="209" t="s">
        <v>1065</v>
      </c>
      <c r="B29" s="209" t="s">
        <v>868</v>
      </c>
      <c r="C29" s="209" t="s">
        <v>865</v>
      </c>
      <c r="D29" s="13">
        <f>'Run Parameters'!$B$1 + ROW()-1</f>
        <v>3543</v>
      </c>
      <c r="E29" s="15" t="s">
        <v>47</v>
      </c>
      <c r="F29" s="13" t="s">
        <v>1053</v>
      </c>
      <c r="G29" s="13" t="str">
        <f t="shared" si="20"/>
        <v>Access Dtls-3543</v>
      </c>
      <c r="H29" s="15" t="s">
        <v>275</v>
      </c>
      <c r="I29" s="13" t="str">
        <f>("MR. Test_28_RMVE1_"&amp;D29&amp;"")</f>
        <v>MR. Test_28_RMVE1_3543</v>
      </c>
      <c r="J29" s="13"/>
      <c r="K29" s="19" t="s">
        <v>425</v>
      </c>
      <c r="L29" s="13" t="str">
        <f t="shared" si="21"/>
        <v>Cust. Ref-3543</v>
      </c>
      <c r="M29" s="15" t="s">
        <v>48</v>
      </c>
      <c r="N29" s="15" t="s">
        <v>425</v>
      </c>
      <c r="O29" s="13"/>
      <c r="P29" s="13" t="str">
        <f t="shared" si="22"/>
        <v>SN-3543</v>
      </c>
      <c r="Q29" s="13" t="str">
        <f t="shared" si="23"/>
        <v>SI-3543</v>
      </c>
      <c r="R29" s="13" t="str">
        <f t="shared" si="24"/>
        <v>SE-3543</v>
      </c>
      <c r="S29" s="19" t="str">
        <f t="shared" si="25"/>
        <v>Prev_RA-3543</v>
      </c>
      <c r="T29" s="19" t="str">
        <f t="shared" si="26"/>
        <v>Prev_Comms-3543</v>
      </c>
      <c r="U29" s="15" t="s">
        <v>75</v>
      </c>
      <c r="V29" s="15" t="s">
        <v>401</v>
      </c>
      <c r="W29" s="15" t="s">
        <v>75</v>
      </c>
      <c r="X29" s="15" t="s">
        <v>396</v>
      </c>
      <c r="Y29" s="13" t="str">
        <f t="shared" si="27"/>
        <v>Forward Add-3543</v>
      </c>
      <c r="Z29" s="15" t="s">
        <v>401</v>
      </c>
      <c r="AA29" s="133" t="str">
        <f>'Run Parameters'!$B$2</f>
        <v>2019-04-26 08:00</v>
      </c>
      <c r="AB29" s="213" t="str">
        <f>'Run Parameters'!B$3</f>
        <v>2019-04-26 18:00</v>
      </c>
      <c r="AC29" s="26">
        <f>('Run Parameters'!$B$2) - 7</f>
        <v>43574.333333333336</v>
      </c>
      <c r="AD29" s="15" t="s">
        <v>75</v>
      </c>
      <c r="AE29" s="13" t="str">
        <f t="shared" si="28"/>
        <v>LAST_METER-3543</v>
      </c>
      <c r="AF29" s="133" t="str">
        <f>'Run Parameters'!$B$2</f>
        <v>2019-04-26 08:00</v>
      </c>
      <c r="AG29" s="13" t="str">
        <f>'Run Parameters'!B$4</f>
        <v>AUTOTEST2</v>
      </c>
      <c r="AH29" s="19" t="str">
        <f t="shared" si="29"/>
        <v>Site_Contact_3543</v>
      </c>
      <c r="AI29" s="133" t="str">
        <f>'Run Parameters'!B$2</f>
        <v>2019-04-26 08:00</v>
      </c>
      <c r="AJ29" s="213" t="str">
        <f>'Run Parameters'!B$3</f>
        <v>2019-04-26 18:00</v>
      </c>
      <c r="AK29" s="13" t="s">
        <v>396</v>
      </c>
      <c r="AL29" s="19" t="str">
        <f t="shared" si="30"/>
        <v>011593543</v>
      </c>
      <c r="AM29" s="13" t="str">
        <f t="shared" si="31"/>
        <v>01153543</v>
      </c>
      <c r="AN29" s="15"/>
      <c r="AO29" s="15"/>
      <c r="AP29" s="13">
        <v>1</v>
      </c>
      <c r="AQ29" s="15" t="s">
        <v>49</v>
      </c>
      <c r="AR29" s="15"/>
      <c r="AS29" s="13"/>
      <c r="AT29" s="15" t="s">
        <v>400</v>
      </c>
      <c r="AU29" s="15"/>
      <c r="AV29" s="13">
        <f t="shared" si="32"/>
        <v>3543</v>
      </c>
      <c r="AW29" s="13" t="s">
        <v>1054</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GAS_ENQ_NO-3543</v>
      </c>
      <c r="CK29" s="15" t="s">
        <v>1055</v>
      </c>
      <c r="CL29" s="15" t="s">
        <v>391</v>
      </c>
      <c r="CM29" s="15" t="s">
        <v>391</v>
      </c>
      <c r="CN29" s="13" t="s">
        <v>1053</v>
      </c>
      <c r="CO29" s="13" t="str">
        <f t="shared" si="34"/>
        <v>GAS_JOB_ID-3543</v>
      </c>
      <c r="CP29" s="15"/>
      <c r="CQ29" s="13" t="str">
        <f t="shared" si="35"/>
        <v>100003543</v>
      </c>
      <c r="CR29" s="13" t="s">
        <v>154</v>
      </c>
      <c r="CS29" s="15" t="s">
        <v>51</v>
      </c>
      <c r="CT29" s="217" t="str">
        <f t="shared" si="36"/>
        <v>GMETER3543</v>
      </c>
      <c r="CU29" s="13" t="s">
        <v>161</v>
      </c>
      <c r="CV29" s="15" t="s">
        <v>1055</v>
      </c>
      <c r="CW29" s="15" t="s">
        <v>414</v>
      </c>
      <c r="CX29" s="15"/>
      <c r="CY29" s="15"/>
      <c r="CZ29" s="15" t="s">
        <v>394</v>
      </c>
      <c r="DA29" s="15" t="s">
        <v>395</v>
      </c>
      <c r="DB29" s="13" t="str">
        <f t="shared" si="17"/>
        <v>GAS_INST_ID-3543</v>
      </c>
      <c r="DC29" s="15" t="s">
        <v>161</v>
      </c>
      <c r="DD29" s="15"/>
      <c r="DE29" s="15" t="s">
        <v>51</v>
      </c>
      <c r="DF29" s="15" t="s">
        <v>264</v>
      </c>
      <c r="DG29" s="15"/>
      <c r="DH29" s="15" t="s">
        <v>397</v>
      </c>
      <c r="DI29" s="15" t="s">
        <v>399</v>
      </c>
      <c r="DJ29" s="15" t="s">
        <v>1056</v>
      </c>
      <c r="DK29" s="15" t="s">
        <v>140</v>
      </c>
      <c r="DL29" s="218"/>
      <c r="DM29" s="218"/>
      <c r="DN29" s="13" t="str">
        <f t="shared" si="18"/>
        <v>DS_Pass-3543</v>
      </c>
      <c r="DO29" s="15"/>
      <c r="DP29" s="15"/>
      <c r="DQ29" s="15"/>
      <c r="DR29" s="13"/>
      <c r="DS29" s="13"/>
      <c r="DT29" s="15" t="s">
        <v>52</v>
      </c>
      <c r="DU29" s="15"/>
      <c r="DV29" s="15"/>
      <c r="DW29" s="13"/>
      <c r="DX29" s="15" t="s">
        <v>54</v>
      </c>
      <c r="DY29" s="15" t="s">
        <v>61</v>
      </c>
      <c r="DZ29" s="15" t="s">
        <v>402</v>
      </c>
      <c r="EA29" s="19" t="str">
        <f t="shared" si="37"/>
        <v>3543CUSTOMER_ADDRESSRMVE1 ROADCUSTOMER_ADDRESSTESTINGHAMCUSTOMER_ADDRESSTESTINGHAMSHIRE</v>
      </c>
      <c r="EB29" s="15" t="s">
        <v>1056</v>
      </c>
      <c r="EC29" s="218"/>
      <c r="ED29" s="218"/>
      <c r="EE29" s="218"/>
    </row>
    <row r="30" spans="1:136" s="219" customFormat="1" x14ac:dyDescent="0.2">
      <c r="A30" s="209" t="s">
        <v>1066</v>
      </c>
      <c r="B30" s="209" t="s">
        <v>892</v>
      </c>
      <c r="C30" s="209" t="s">
        <v>865</v>
      </c>
      <c r="D30" s="13">
        <f>'Run Parameters'!$B$1 + ROW()-1</f>
        <v>3544</v>
      </c>
      <c r="E30" s="15" t="s">
        <v>47</v>
      </c>
      <c r="F30" s="13" t="s">
        <v>1053</v>
      </c>
      <c r="G30" s="13" t="str">
        <f t="shared" si="20"/>
        <v>Access Dtls-3544</v>
      </c>
      <c r="H30" s="15" t="s">
        <v>275</v>
      </c>
      <c r="I30" s="13" t="str">
        <f>("MR. Test_29_RMVE1_"&amp;D30&amp;"")</f>
        <v>MR. Test_29_RMVE1_3544</v>
      </c>
      <c r="J30" s="13"/>
      <c r="K30" s="19" t="s">
        <v>425</v>
      </c>
      <c r="L30" s="13" t="str">
        <f t="shared" si="21"/>
        <v>Cust. Ref-3544</v>
      </c>
      <c r="M30" s="15" t="s">
        <v>48</v>
      </c>
      <c r="N30" s="15" t="s">
        <v>425</v>
      </c>
      <c r="O30" s="13"/>
      <c r="P30" s="13" t="str">
        <f t="shared" si="22"/>
        <v>SN-3544</v>
      </c>
      <c r="Q30" s="13" t="str">
        <f t="shared" si="23"/>
        <v>SI-3544</v>
      </c>
      <c r="R30" s="13" t="str">
        <f t="shared" si="24"/>
        <v>SE-3544</v>
      </c>
      <c r="S30" s="19" t="str">
        <f t="shared" si="25"/>
        <v>Prev_RA-3544</v>
      </c>
      <c r="T30" s="19" t="str">
        <f t="shared" si="26"/>
        <v>Prev_Comms-3544</v>
      </c>
      <c r="U30" s="15" t="s">
        <v>75</v>
      </c>
      <c r="V30" s="15" t="s">
        <v>401</v>
      </c>
      <c r="W30" s="15" t="s">
        <v>75</v>
      </c>
      <c r="X30" s="15" t="s">
        <v>396</v>
      </c>
      <c r="Y30" s="13" t="str">
        <f t="shared" si="27"/>
        <v>Forward Add-3544</v>
      </c>
      <c r="Z30" s="15" t="s">
        <v>401</v>
      </c>
      <c r="AA30" s="133" t="str">
        <f>'Run Parameters'!$B$2</f>
        <v>2019-04-26 08:00</v>
      </c>
      <c r="AB30" s="213" t="str">
        <f>'Run Parameters'!B$3</f>
        <v>2019-04-26 18:00</v>
      </c>
      <c r="AC30" s="26">
        <f>('Run Parameters'!$B$2) - 7</f>
        <v>43574.333333333336</v>
      </c>
      <c r="AD30" s="15" t="s">
        <v>75</v>
      </c>
      <c r="AE30" s="13" t="str">
        <f t="shared" si="28"/>
        <v>LAST_METER-3544</v>
      </c>
      <c r="AF30" s="133" t="str">
        <f>'Run Parameters'!$B$2</f>
        <v>2019-04-26 08:00</v>
      </c>
      <c r="AG30" s="13" t="str">
        <f>'Run Parameters'!B$4</f>
        <v>AUTOTEST2</v>
      </c>
      <c r="AH30" s="19" t="str">
        <f t="shared" si="29"/>
        <v>Site_Contact_3544</v>
      </c>
      <c r="AI30" s="133" t="str">
        <f>'Run Parameters'!B$2</f>
        <v>2019-04-26 08:00</v>
      </c>
      <c r="AJ30" s="213" t="str">
        <f>'Run Parameters'!B$3</f>
        <v>2019-04-26 18:00</v>
      </c>
      <c r="AK30" s="13" t="s">
        <v>396</v>
      </c>
      <c r="AL30" s="19" t="str">
        <f t="shared" si="30"/>
        <v>011593544</v>
      </c>
      <c r="AM30" s="13" t="str">
        <f t="shared" si="31"/>
        <v>01153544</v>
      </c>
      <c r="AN30" s="15"/>
      <c r="AO30" s="15"/>
      <c r="AP30" s="13">
        <v>1</v>
      </c>
      <c r="AQ30" s="15" t="s">
        <v>49</v>
      </c>
      <c r="AR30" s="15"/>
      <c r="AS30" s="13"/>
      <c r="AT30" s="15" t="s">
        <v>400</v>
      </c>
      <c r="AU30" s="15"/>
      <c r="AV30" s="13">
        <f t="shared" si="32"/>
        <v>3544</v>
      </c>
      <c r="AW30" s="13" t="s">
        <v>1054</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GAS_ENQ_NO-3544</v>
      </c>
      <c r="CK30" s="15" t="s">
        <v>1055</v>
      </c>
      <c r="CL30" s="15" t="s">
        <v>391</v>
      </c>
      <c r="CM30" s="15" t="s">
        <v>391</v>
      </c>
      <c r="CN30" s="13" t="s">
        <v>1053</v>
      </c>
      <c r="CO30" s="13" t="str">
        <f t="shared" si="34"/>
        <v>GAS_JOB_ID-3544</v>
      </c>
      <c r="CP30" s="15"/>
      <c r="CQ30" s="13" t="str">
        <f t="shared" si="35"/>
        <v>100003544</v>
      </c>
      <c r="CR30" s="13" t="s">
        <v>154</v>
      </c>
      <c r="CS30" s="15" t="s">
        <v>51</v>
      </c>
      <c r="CT30" s="217" t="str">
        <f t="shared" si="36"/>
        <v>GMETER3544</v>
      </c>
      <c r="CU30" s="13" t="s">
        <v>161</v>
      </c>
      <c r="CV30" s="15" t="s">
        <v>1055</v>
      </c>
      <c r="CW30" s="15" t="s">
        <v>414</v>
      </c>
      <c r="CX30" s="15"/>
      <c r="CY30" s="15"/>
      <c r="CZ30" s="15" t="s">
        <v>394</v>
      </c>
      <c r="DA30" s="15" t="s">
        <v>395</v>
      </c>
      <c r="DB30" s="13" t="str">
        <f t="shared" si="17"/>
        <v>GAS_INST_ID-3544</v>
      </c>
      <c r="DC30" s="15" t="s">
        <v>161</v>
      </c>
      <c r="DD30" s="15"/>
      <c r="DE30" s="15" t="s">
        <v>51</v>
      </c>
      <c r="DF30" s="15" t="s">
        <v>264</v>
      </c>
      <c r="DG30" s="15"/>
      <c r="DH30" s="15" t="s">
        <v>397</v>
      </c>
      <c r="DI30" s="15" t="s">
        <v>399</v>
      </c>
      <c r="DJ30" s="15" t="s">
        <v>1056</v>
      </c>
      <c r="DK30" s="15" t="s">
        <v>140</v>
      </c>
      <c r="DL30" s="218"/>
      <c r="DM30" s="218"/>
      <c r="DN30" s="13" t="str">
        <f t="shared" si="18"/>
        <v>DS_Pass-3544</v>
      </c>
      <c r="DO30" s="15"/>
      <c r="DP30" s="15"/>
      <c r="DQ30" s="15"/>
      <c r="DR30" s="13"/>
      <c r="DS30" s="13"/>
      <c r="DT30" s="15" t="s">
        <v>52</v>
      </c>
      <c r="DU30" s="15"/>
      <c r="DV30" s="15"/>
      <c r="DW30" s="13"/>
      <c r="DX30" s="15" t="s">
        <v>54</v>
      </c>
      <c r="DY30" s="15" t="s">
        <v>61</v>
      </c>
      <c r="DZ30" s="15" t="s">
        <v>402</v>
      </c>
      <c r="EA30" s="19" t="str">
        <f t="shared" si="37"/>
        <v>3544CUSTOMER_ADDRESSRMVE1 ROADCUSTOMER_ADDRESSTESTINGHAMCUSTOMER_ADDRESSTESTINGHAMSHIRE</v>
      </c>
      <c r="EB30" s="15" t="s">
        <v>1056</v>
      </c>
      <c r="EC30" s="218"/>
      <c r="ED30" s="218"/>
      <c r="EE30" s="218"/>
    </row>
    <row r="31" spans="1:136" s="219" customFormat="1" x14ac:dyDescent="0.2">
      <c r="A31" s="209" t="s">
        <v>1067</v>
      </c>
      <c r="B31" s="209" t="s">
        <v>868</v>
      </c>
      <c r="C31" s="209" t="s">
        <v>865</v>
      </c>
      <c r="D31" s="13">
        <f>'Run Parameters'!$B$1 + ROW()-1</f>
        <v>3545</v>
      </c>
      <c r="E31" s="15" t="s">
        <v>47</v>
      </c>
      <c r="F31" s="13" t="s">
        <v>1053</v>
      </c>
      <c r="G31" s="13" t="str">
        <f t="shared" si="20"/>
        <v>Access Dtls-3545</v>
      </c>
      <c r="H31" s="15" t="s">
        <v>275</v>
      </c>
      <c r="I31" s="13" t="str">
        <f>("MR. Test_30_RMVE1_"&amp;D31&amp;"")</f>
        <v>MR. Test_30_RMVE1_3545</v>
      </c>
      <c r="J31" s="13"/>
      <c r="K31" s="19" t="s">
        <v>425</v>
      </c>
      <c r="L31" s="13" t="str">
        <f t="shared" si="21"/>
        <v>Cust. Ref-3545</v>
      </c>
      <c r="M31" s="15" t="s">
        <v>48</v>
      </c>
      <c r="N31" s="15" t="s">
        <v>425</v>
      </c>
      <c r="O31" s="13"/>
      <c r="P31" s="13" t="str">
        <f t="shared" si="22"/>
        <v>SN-3545</v>
      </c>
      <c r="Q31" s="13" t="str">
        <f t="shared" si="23"/>
        <v>SI-3545</v>
      </c>
      <c r="R31" s="13" t="str">
        <f t="shared" si="24"/>
        <v>SE-3545</v>
      </c>
      <c r="S31" s="19" t="str">
        <f t="shared" si="25"/>
        <v>Prev_RA-3545</v>
      </c>
      <c r="T31" s="19" t="str">
        <f t="shared" si="26"/>
        <v>Prev_Comms-3545</v>
      </c>
      <c r="U31" s="15" t="s">
        <v>75</v>
      </c>
      <c r="V31" s="15" t="s">
        <v>401</v>
      </c>
      <c r="W31" s="15" t="s">
        <v>75</v>
      </c>
      <c r="X31" s="15" t="s">
        <v>396</v>
      </c>
      <c r="Y31" s="13" t="str">
        <f t="shared" si="27"/>
        <v>Forward Add-3545</v>
      </c>
      <c r="Z31" s="15" t="s">
        <v>401</v>
      </c>
      <c r="AA31" s="133" t="str">
        <f>'Run Parameters'!$B$2</f>
        <v>2019-04-26 08:00</v>
      </c>
      <c r="AB31" s="213" t="str">
        <f>'Run Parameters'!B$3</f>
        <v>2019-04-26 18:00</v>
      </c>
      <c r="AC31" s="26">
        <f>('Run Parameters'!$B$2) - 7</f>
        <v>43574.333333333336</v>
      </c>
      <c r="AD31" s="15" t="s">
        <v>75</v>
      </c>
      <c r="AE31" s="13" t="str">
        <f t="shared" si="28"/>
        <v>LAST_METER-3545</v>
      </c>
      <c r="AF31" s="133" t="str">
        <f>'Run Parameters'!$B$2</f>
        <v>2019-04-26 08:00</v>
      </c>
      <c r="AG31" s="13" t="str">
        <f>'Run Parameters'!B$4</f>
        <v>AUTOTEST2</v>
      </c>
      <c r="AH31" s="19" t="str">
        <f t="shared" si="29"/>
        <v>Site_Contact_3545</v>
      </c>
      <c r="AI31" s="133" t="str">
        <f>'Run Parameters'!B$2</f>
        <v>2019-04-26 08:00</v>
      </c>
      <c r="AJ31" s="213" t="str">
        <f>'Run Parameters'!B$3</f>
        <v>2019-04-26 18:00</v>
      </c>
      <c r="AK31" s="13" t="s">
        <v>396</v>
      </c>
      <c r="AL31" s="19" t="str">
        <f t="shared" si="30"/>
        <v>011593545</v>
      </c>
      <c r="AM31" s="13" t="str">
        <f t="shared" si="31"/>
        <v>01153545</v>
      </c>
      <c r="AN31" s="15"/>
      <c r="AO31" s="15"/>
      <c r="AP31" s="13">
        <v>1</v>
      </c>
      <c r="AQ31" s="15" t="s">
        <v>49</v>
      </c>
      <c r="AR31" s="15"/>
      <c r="AS31" s="13"/>
      <c r="AT31" s="15" t="s">
        <v>400</v>
      </c>
      <c r="AU31" s="15"/>
      <c r="AV31" s="13">
        <f t="shared" si="32"/>
        <v>3545</v>
      </c>
      <c r="AW31" s="13" t="s">
        <v>1054</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GAS_ENQ_NO-3545</v>
      </c>
      <c r="CK31" s="15" t="s">
        <v>1055</v>
      </c>
      <c r="CL31" s="15" t="s">
        <v>391</v>
      </c>
      <c r="CM31" s="15" t="s">
        <v>391</v>
      </c>
      <c r="CN31" s="13" t="s">
        <v>1053</v>
      </c>
      <c r="CO31" s="13" t="str">
        <f t="shared" si="34"/>
        <v>GAS_JOB_ID-3545</v>
      </c>
      <c r="CP31" s="15"/>
      <c r="CQ31" s="13" t="str">
        <f t="shared" si="35"/>
        <v>100003545</v>
      </c>
      <c r="CR31" s="13" t="s">
        <v>154</v>
      </c>
      <c r="CS31" s="15" t="s">
        <v>51</v>
      </c>
      <c r="CT31" s="217" t="str">
        <f t="shared" si="36"/>
        <v>GMETER3545</v>
      </c>
      <c r="CU31" s="13" t="s">
        <v>161</v>
      </c>
      <c r="CV31" s="15" t="s">
        <v>1055</v>
      </c>
      <c r="CW31" s="15" t="s">
        <v>414</v>
      </c>
      <c r="CX31" s="15"/>
      <c r="CY31" s="15"/>
      <c r="CZ31" s="15" t="s">
        <v>394</v>
      </c>
      <c r="DA31" s="15" t="s">
        <v>395</v>
      </c>
      <c r="DB31" s="13" t="str">
        <f t="shared" si="17"/>
        <v>GAS_INST_ID-3545</v>
      </c>
      <c r="DC31" s="15" t="s">
        <v>161</v>
      </c>
      <c r="DD31" s="15"/>
      <c r="DE31" s="15" t="s">
        <v>51</v>
      </c>
      <c r="DF31" s="15" t="s">
        <v>264</v>
      </c>
      <c r="DG31" s="15"/>
      <c r="DH31" s="15" t="s">
        <v>397</v>
      </c>
      <c r="DI31" s="15" t="s">
        <v>399</v>
      </c>
      <c r="DJ31" s="15" t="s">
        <v>1056</v>
      </c>
      <c r="DK31" s="15" t="s">
        <v>140</v>
      </c>
      <c r="DL31" s="218"/>
      <c r="DM31" s="218"/>
      <c r="DN31" s="13" t="str">
        <f t="shared" si="18"/>
        <v>DS_Pass-3545</v>
      </c>
      <c r="DO31" s="15"/>
      <c r="DP31" s="15"/>
      <c r="DQ31" s="15"/>
      <c r="DR31" s="13"/>
      <c r="DS31" s="13"/>
      <c r="DT31" s="15" t="s">
        <v>52</v>
      </c>
      <c r="DU31" s="15"/>
      <c r="DV31" s="15"/>
      <c r="DW31" s="13"/>
      <c r="DX31" s="15" t="s">
        <v>54</v>
      </c>
      <c r="DY31" s="15" t="s">
        <v>61</v>
      </c>
      <c r="DZ31" s="15" t="s">
        <v>402</v>
      </c>
      <c r="EA31" s="19" t="str">
        <f t="shared" si="37"/>
        <v>3545CUSTOMER_ADDRESSRMVE1 ROADCUSTOMER_ADDRESSTESTINGHAMCUSTOMER_ADDRESSTESTINGHAMSHIRE</v>
      </c>
      <c r="EB31" s="15" t="s">
        <v>1056</v>
      </c>
      <c r="EC31" s="218"/>
      <c r="ED31" s="218"/>
      <c r="EE31" s="218"/>
    </row>
    <row r="32" spans="1:136" s="136" customFormat="1" x14ac:dyDescent="0.2">
      <c r="A32" s="209" t="s">
        <v>911</v>
      </c>
      <c r="B32" s="209" t="s">
        <v>892</v>
      </c>
      <c r="C32" s="209" t="s">
        <v>865</v>
      </c>
      <c r="D32" s="13">
        <f>'Run Parameters'!$B$1 + ROW()-1</f>
        <v>3546</v>
      </c>
      <c r="E32" s="15" t="s">
        <v>47</v>
      </c>
      <c r="F32" s="13" t="s">
        <v>738</v>
      </c>
      <c r="G32" s="13" t="str">
        <f>("Access Dtls-" &amp; D32)</f>
        <v>Access Dtls-3546</v>
      </c>
      <c r="H32" s="15" t="s">
        <v>275</v>
      </c>
      <c r="I32" s="13" t="str">
        <f>("MR. Test_31_NMEX5_"&amp;D32&amp;"")</f>
        <v>MR. Test_31_NMEX5_3546</v>
      </c>
      <c r="J32" s="13"/>
      <c r="K32" s="19" t="s">
        <v>425</v>
      </c>
      <c r="L32" s="13" t="str">
        <f>("Cust. Ref-" &amp; D32)</f>
        <v>Cust. Ref-3546</v>
      </c>
      <c r="M32" s="15" t="s">
        <v>48</v>
      </c>
      <c r="N32" s="15" t="s">
        <v>425</v>
      </c>
      <c r="O32" s="13"/>
      <c r="P32" s="13" t="str">
        <f>("SN-" &amp; D32)</f>
        <v>SN-3546</v>
      </c>
      <c r="Q32" s="13" t="str">
        <f>("SI-" &amp; D32)</f>
        <v>SI-3546</v>
      </c>
      <c r="R32" s="13" t="str">
        <f>("SE-" &amp; D32)</f>
        <v>SE-3546</v>
      </c>
      <c r="S32" s="19" t="str">
        <f>("Prev_RA-" &amp; D32)</f>
        <v>Prev_RA-3546</v>
      </c>
      <c r="T32" s="19" t="str">
        <f>("Prev_Comms-" &amp; D32)</f>
        <v>Prev_Comms-3546</v>
      </c>
      <c r="U32" s="17" t="s">
        <v>75</v>
      </c>
      <c r="V32" s="15" t="s">
        <v>401</v>
      </c>
      <c r="W32" s="17" t="s">
        <v>75</v>
      </c>
      <c r="X32" s="15" t="s">
        <v>396</v>
      </c>
      <c r="Y32" s="13" t="str">
        <f>("Forward Add-" &amp; D32)</f>
        <v>Forward Add-3546</v>
      </c>
      <c r="Z32" s="15" t="s">
        <v>401</v>
      </c>
      <c r="AA32" s="133" t="str">
        <f>'Run Parameters'!$B$2</f>
        <v>2019-04-26 08:00</v>
      </c>
      <c r="AB32" s="213" t="str">
        <f>'Run Parameters'!B$3</f>
        <v>2019-04-26 18:00</v>
      </c>
      <c r="AC32" s="26">
        <f>('Run Parameters'!$B$2) - 7</f>
        <v>43574.333333333336</v>
      </c>
      <c r="AD32" s="17" t="s">
        <v>75</v>
      </c>
      <c r="AE32" s="13" t="str">
        <f>("LAST_METER-" &amp; D32)</f>
        <v>LAST_METER-3546</v>
      </c>
      <c r="AF32" s="133" t="str">
        <f>'Run Parameters'!$B$2</f>
        <v>2019-04-26 08:00</v>
      </c>
      <c r="AG32" s="13" t="str">
        <f>'Run Parameters'!B$4</f>
        <v>AUTOTEST2</v>
      </c>
      <c r="AH32" s="19" t="str">
        <f>("Site_Contact_" &amp; D32)</f>
        <v>Site_Contact_3546</v>
      </c>
      <c r="AI32" s="133" t="str">
        <f>'Run Parameters'!B$2</f>
        <v>2019-04-26 08:00</v>
      </c>
      <c r="AJ32" s="213" t="str">
        <f>'Run Parameters'!B$3</f>
        <v>2019-04-26 18:00</v>
      </c>
      <c r="AK32" s="13" t="s">
        <v>396</v>
      </c>
      <c r="AL32" s="19" t="str">
        <f>"01159" &amp; D32</f>
        <v>011593546</v>
      </c>
      <c r="AM32" s="13" t="str">
        <f>("0115" &amp; D32)</f>
        <v>01153546</v>
      </c>
      <c r="AN32" s="15"/>
      <c r="AO32" s="15"/>
      <c r="AP32" s="13">
        <v>1</v>
      </c>
      <c r="AQ32" s="15" t="s">
        <v>49</v>
      </c>
      <c r="AR32" s="15"/>
      <c r="AS32" s="13"/>
      <c r="AT32" s="12"/>
      <c r="AU32" s="12"/>
      <c r="AV32" s="13">
        <f>D32</f>
        <v>3546</v>
      </c>
      <c r="AW32" s="13" t="s">
        <v>739</v>
      </c>
      <c r="AX32" s="13" t="s">
        <v>420</v>
      </c>
      <c r="AY32" s="13" t="s">
        <v>421</v>
      </c>
      <c r="AZ32" s="15" t="s">
        <v>334</v>
      </c>
      <c r="BA32" s="15" t="s">
        <v>154</v>
      </c>
      <c r="BB32" s="21">
        <v>1</v>
      </c>
      <c r="BC32" s="21">
        <f>D32</f>
        <v>3546</v>
      </c>
      <c r="BD32" s="17" t="s">
        <v>740</v>
      </c>
      <c r="BE32" s="17" t="s">
        <v>391</v>
      </c>
      <c r="BF32" s="17" t="s">
        <v>391</v>
      </c>
      <c r="BG32" s="21" t="s">
        <v>738</v>
      </c>
      <c r="BH32" s="21" t="str">
        <f>BC32&amp;"_"&amp;BB32</f>
        <v>3546_1</v>
      </c>
      <c r="BI32" s="21"/>
      <c r="BJ32" s="21" t="str">
        <f>"10000000" &amp; D32</f>
        <v>100000003546</v>
      </c>
      <c r="BK32" s="17" t="s">
        <v>51</v>
      </c>
      <c r="BL32" s="17" t="s">
        <v>54</v>
      </c>
      <c r="BM32" s="21" t="s">
        <v>741</v>
      </c>
      <c r="BN32" s="17" t="s">
        <v>51</v>
      </c>
      <c r="BO32" s="21" t="str">
        <f>"S05S" &amp; D32</f>
        <v>S05S3546</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DS_Pass-3546</v>
      </c>
      <c r="DO32" s="40"/>
      <c r="DP32" s="40"/>
      <c r="DQ32" s="40"/>
      <c r="DR32" s="41"/>
      <c r="DS32" s="41"/>
      <c r="DT32" s="40"/>
      <c r="DU32" s="40"/>
      <c r="DV32" s="40"/>
      <c r="DW32" s="41"/>
      <c r="DX32" s="40"/>
      <c r="DY32" s="40"/>
      <c r="DZ32" s="40" t="s">
        <v>409</v>
      </c>
      <c r="EA32" s="120"/>
      <c r="EB32" s="40"/>
      <c r="EC32" s="40"/>
      <c r="ED32" s="17"/>
      <c r="EE32" s="2"/>
      <c r="EF32" s="135"/>
    </row>
    <row r="33" spans="1:136" s="136" customFormat="1" x14ac:dyDescent="0.2">
      <c r="A33" s="209" t="s">
        <v>912</v>
      </c>
      <c r="B33" s="209" t="s">
        <v>868</v>
      </c>
      <c r="C33" s="209" t="s">
        <v>865</v>
      </c>
      <c r="D33" s="13">
        <f>'Run Parameters'!$B$1 + ROW()-1</f>
        <v>3547</v>
      </c>
      <c r="E33" s="15" t="s">
        <v>47</v>
      </c>
      <c r="F33" s="13" t="s">
        <v>738</v>
      </c>
      <c r="G33" s="13" t="str">
        <f t="shared" ref="G33:G41" si="39">("Access Dtls-" &amp; D33)</f>
        <v>Access Dtls-3547</v>
      </c>
      <c r="H33" s="15" t="s">
        <v>275</v>
      </c>
      <c r="I33" s="13" t="str">
        <f>("MR. Test_32_NMEX5_"&amp;D33&amp;"")</f>
        <v>MR. Test_32_NMEX5_3547</v>
      </c>
      <c r="J33" s="13"/>
      <c r="K33" s="19" t="s">
        <v>425</v>
      </c>
      <c r="L33" s="13" t="str">
        <f t="shared" ref="L33:L41" si="40">("Cust. Ref-" &amp; D33)</f>
        <v>Cust. Ref-3547</v>
      </c>
      <c r="M33" s="15" t="s">
        <v>48</v>
      </c>
      <c r="N33" s="15" t="s">
        <v>425</v>
      </c>
      <c r="O33" s="13"/>
      <c r="P33" s="13" t="str">
        <f t="shared" ref="P33:P41" si="41">("SN-" &amp; D33)</f>
        <v>SN-3547</v>
      </c>
      <c r="Q33" s="13" t="str">
        <f t="shared" ref="Q33:Q41" si="42">("SI-" &amp; D33)</f>
        <v>SI-3547</v>
      </c>
      <c r="R33" s="13" t="str">
        <f t="shared" ref="R33:R41" si="43">("SE-" &amp; D33)</f>
        <v>SE-3547</v>
      </c>
      <c r="S33" s="19" t="str">
        <f t="shared" ref="S33:S41" si="44">("Prev_RA-" &amp; D33)</f>
        <v>Prev_RA-3547</v>
      </c>
      <c r="T33" s="19" t="str">
        <f t="shared" ref="T33:T41" si="45">("Prev_Comms-" &amp; D33)</f>
        <v>Prev_Comms-3547</v>
      </c>
      <c r="U33" s="17" t="s">
        <v>75</v>
      </c>
      <c r="V33" s="15" t="s">
        <v>401</v>
      </c>
      <c r="W33" s="17" t="s">
        <v>75</v>
      </c>
      <c r="X33" s="15" t="s">
        <v>396</v>
      </c>
      <c r="Y33" s="13" t="str">
        <f t="shared" ref="Y33:Y41" si="46">("Forward Add-" &amp; D33)</f>
        <v>Forward Add-3547</v>
      </c>
      <c r="Z33" s="15" t="s">
        <v>401</v>
      </c>
      <c r="AA33" s="133" t="str">
        <f>'Run Parameters'!$B$2</f>
        <v>2019-04-26 08:00</v>
      </c>
      <c r="AB33" s="213" t="str">
        <f>'Run Parameters'!B$3</f>
        <v>2019-04-26 18:00</v>
      </c>
      <c r="AC33" s="26">
        <f>('Run Parameters'!$B$2) - 7</f>
        <v>43574.333333333336</v>
      </c>
      <c r="AD33" s="17" t="s">
        <v>75</v>
      </c>
      <c r="AE33" s="13" t="str">
        <f t="shared" ref="AE33:AE41" si="47">("LAST_METER-" &amp; D33)</f>
        <v>LAST_METER-3547</v>
      </c>
      <c r="AF33" s="133" t="str">
        <f>'Run Parameters'!$B$2</f>
        <v>2019-04-26 08:00</v>
      </c>
      <c r="AG33" s="13" t="str">
        <f>'Run Parameters'!B$4</f>
        <v>AUTOTEST2</v>
      </c>
      <c r="AH33" s="19" t="str">
        <f t="shared" ref="AH33:AH41" si="48">("Site_Contact_" &amp; D33)</f>
        <v>Site_Contact_3547</v>
      </c>
      <c r="AI33" s="133" t="str">
        <f>'Run Parameters'!B$2</f>
        <v>2019-04-26 08:00</v>
      </c>
      <c r="AJ33" s="213" t="str">
        <f>'Run Parameters'!B$3</f>
        <v>2019-04-26 18:00</v>
      </c>
      <c r="AK33" s="13" t="s">
        <v>396</v>
      </c>
      <c r="AL33" s="19" t="str">
        <f t="shared" ref="AL33:AL41" si="49">"01159" &amp; D33</f>
        <v>011593547</v>
      </c>
      <c r="AM33" s="13" t="str">
        <f t="shared" ref="AM33:AM41" si="50">("0115" &amp; D33)</f>
        <v>01153547</v>
      </c>
      <c r="AN33" s="15"/>
      <c r="AO33" s="15"/>
      <c r="AP33" s="13">
        <v>1</v>
      </c>
      <c r="AQ33" s="15" t="s">
        <v>49</v>
      </c>
      <c r="AR33" s="15"/>
      <c r="AS33" s="13"/>
      <c r="AT33" s="12"/>
      <c r="AU33" s="12"/>
      <c r="AV33" s="13">
        <f t="shared" ref="AV33:AV41" si="51">D33</f>
        <v>3547</v>
      </c>
      <c r="AW33" s="13" t="s">
        <v>739</v>
      </c>
      <c r="AX33" s="13" t="s">
        <v>420</v>
      </c>
      <c r="AY33" s="13" t="s">
        <v>421</v>
      </c>
      <c r="AZ33" s="15" t="s">
        <v>334</v>
      </c>
      <c r="BA33" s="15" t="s">
        <v>154</v>
      </c>
      <c r="BB33" s="21">
        <v>1</v>
      </c>
      <c r="BC33" s="21">
        <f t="shared" ref="BC33:BC41" si="52">D33</f>
        <v>3547</v>
      </c>
      <c r="BD33" s="17" t="s">
        <v>740</v>
      </c>
      <c r="BE33" s="17" t="s">
        <v>391</v>
      </c>
      <c r="BF33" s="17" t="s">
        <v>391</v>
      </c>
      <c r="BG33" s="21" t="s">
        <v>738</v>
      </c>
      <c r="BH33" s="21" t="str">
        <f t="shared" ref="BH33:BH41" si="53">BC33&amp;"_"&amp;BB33</f>
        <v>3547_1</v>
      </c>
      <c r="BI33" s="21"/>
      <c r="BJ33" s="21" t="str">
        <f t="shared" ref="BJ33:BJ41" si="54">"10000000" &amp; D33</f>
        <v>100000003547</v>
      </c>
      <c r="BK33" s="17" t="s">
        <v>51</v>
      </c>
      <c r="BL33" s="17" t="s">
        <v>54</v>
      </c>
      <c r="BM33" s="21" t="s">
        <v>741</v>
      </c>
      <c r="BN33" s="17" t="s">
        <v>51</v>
      </c>
      <c r="BO33" s="21" t="str">
        <f t="shared" ref="BO33:BO41" si="55">"S05S" &amp; D33</f>
        <v>S05S3547</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DS_Pass-3547</v>
      </c>
      <c r="DO33" s="40"/>
      <c r="DP33" s="40"/>
      <c r="DQ33" s="40"/>
      <c r="DR33" s="41"/>
      <c r="DS33" s="41"/>
      <c r="DT33" s="40"/>
      <c r="DU33" s="40"/>
      <c r="DV33" s="40"/>
      <c r="DW33" s="41"/>
      <c r="DX33" s="40"/>
      <c r="DY33" s="40"/>
      <c r="DZ33" s="40" t="s">
        <v>409</v>
      </c>
      <c r="EA33" s="120"/>
      <c r="EB33" s="40"/>
      <c r="EC33" s="40"/>
      <c r="ED33" s="17"/>
      <c r="EE33" s="2"/>
      <c r="EF33" s="135"/>
    </row>
    <row r="34" spans="1:136" s="136" customFormat="1" x14ac:dyDescent="0.2">
      <c r="A34" s="209" t="s">
        <v>913</v>
      </c>
      <c r="B34" s="209" t="s">
        <v>892</v>
      </c>
      <c r="C34" s="209" t="s">
        <v>865</v>
      </c>
      <c r="D34" s="13">
        <f>'Run Parameters'!$B$1 + ROW()-1</f>
        <v>3548</v>
      </c>
      <c r="E34" s="15" t="s">
        <v>47</v>
      </c>
      <c r="F34" s="13" t="s">
        <v>738</v>
      </c>
      <c r="G34" s="13" t="str">
        <f t="shared" si="39"/>
        <v>Access Dtls-3548</v>
      </c>
      <c r="H34" s="15" t="s">
        <v>275</v>
      </c>
      <c r="I34" s="13" t="str">
        <f>("MR. Test_33_NMEX5_"&amp;D34&amp;"")</f>
        <v>MR. Test_33_NMEX5_3548</v>
      </c>
      <c r="J34" s="13"/>
      <c r="K34" s="19" t="s">
        <v>425</v>
      </c>
      <c r="L34" s="13" t="str">
        <f t="shared" si="40"/>
        <v>Cust. Ref-3548</v>
      </c>
      <c r="M34" s="15" t="s">
        <v>48</v>
      </c>
      <c r="N34" s="15" t="s">
        <v>425</v>
      </c>
      <c r="O34" s="13"/>
      <c r="P34" s="13" t="str">
        <f t="shared" si="41"/>
        <v>SN-3548</v>
      </c>
      <c r="Q34" s="13" t="str">
        <f t="shared" si="42"/>
        <v>SI-3548</v>
      </c>
      <c r="R34" s="13" t="str">
        <f t="shared" si="43"/>
        <v>SE-3548</v>
      </c>
      <c r="S34" s="19" t="str">
        <f t="shared" si="44"/>
        <v>Prev_RA-3548</v>
      </c>
      <c r="T34" s="19" t="str">
        <f t="shared" si="45"/>
        <v>Prev_Comms-3548</v>
      </c>
      <c r="U34" s="17" t="s">
        <v>75</v>
      </c>
      <c r="V34" s="15" t="s">
        <v>401</v>
      </c>
      <c r="W34" s="17" t="s">
        <v>75</v>
      </c>
      <c r="X34" s="15" t="s">
        <v>396</v>
      </c>
      <c r="Y34" s="13" t="str">
        <f t="shared" si="46"/>
        <v>Forward Add-3548</v>
      </c>
      <c r="Z34" s="15" t="s">
        <v>401</v>
      </c>
      <c r="AA34" s="133" t="str">
        <f>'Run Parameters'!$B$2</f>
        <v>2019-04-26 08:00</v>
      </c>
      <c r="AB34" s="213" t="str">
        <f>'Run Parameters'!B$3</f>
        <v>2019-04-26 18:00</v>
      </c>
      <c r="AC34" s="26">
        <f>('Run Parameters'!$B$2) - 7</f>
        <v>43574.333333333336</v>
      </c>
      <c r="AD34" s="17" t="s">
        <v>75</v>
      </c>
      <c r="AE34" s="13" t="str">
        <f t="shared" si="47"/>
        <v>LAST_METER-3548</v>
      </c>
      <c r="AF34" s="133" t="str">
        <f>'Run Parameters'!$B$2</f>
        <v>2019-04-26 08:00</v>
      </c>
      <c r="AG34" s="13" t="str">
        <f>'Run Parameters'!B$4</f>
        <v>AUTOTEST2</v>
      </c>
      <c r="AH34" s="19" t="str">
        <f t="shared" si="48"/>
        <v>Site_Contact_3548</v>
      </c>
      <c r="AI34" s="133" t="str">
        <f>'Run Parameters'!B$2</f>
        <v>2019-04-26 08:00</v>
      </c>
      <c r="AJ34" s="213" t="str">
        <f>'Run Parameters'!B$3</f>
        <v>2019-04-26 18:00</v>
      </c>
      <c r="AK34" s="13" t="s">
        <v>396</v>
      </c>
      <c r="AL34" s="19" t="str">
        <f t="shared" si="49"/>
        <v>011593548</v>
      </c>
      <c r="AM34" s="13" t="str">
        <f t="shared" si="50"/>
        <v>01153548</v>
      </c>
      <c r="AN34" s="15"/>
      <c r="AO34" s="15"/>
      <c r="AP34" s="13">
        <v>1</v>
      </c>
      <c r="AQ34" s="15" t="s">
        <v>49</v>
      </c>
      <c r="AR34" s="15"/>
      <c r="AS34" s="13"/>
      <c r="AT34" s="12"/>
      <c r="AU34" s="12"/>
      <c r="AV34" s="13">
        <f t="shared" si="51"/>
        <v>3548</v>
      </c>
      <c r="AW34" s="13" t="s">
        <v>739</v>
      </c>
      <c r="AX34" s="13" t="s">
        <v>420</v>
      </c>
      <c r="AY34" s="13" t="s">
        <v>421</v>
      </c>
      <c r="AZ34" s="15" t="s">
        <v>334</v>
      </c>
      <c r="BA34" s="15" t="s">
        <v>154</v>
      </c>
      <c r="BB34" s="21">
        <v>1</v>
      </c>
      <c r="BC34" s="21">
        <f t="shared" si="52"/>
        <v>3548</v>
      </c>
      <c r="BD34" s="17" t="s">
        <v>740</v>
      </c>
      <c r="BE34" s="17" t="s">
        <v>391</v>
      </c>
      <c r="BF34" s="17" t="s">
        <v>391</v>
      </c>
      <c r="BG34" s="21" t="s">
        <v>738</v>
      </c>
      <c r="BH34" s="21" t="str">
        <f t="shared" si="53"/>
        <v>3548_1</v>
      </c>
      <c r="BI34" s="21"/>
      <c r="BJ34" s="21" t="str">
        <f t="shared" si="54"/>
        <v>100000003548</v>
      </c>
      <c r="BK34" s="17" t="s">
        <v>51</v>
      </c>
      <c r="BL34" s="17" t="s">
        <v>54</v>
      </c>
      <c r="BM34" s="21" t="s">
        <v>741</v>
      </c>
      <c r="BN34" s="17" t="s">
        <v>51</v>
      </c>
      <c r="BO34" s="21" t="str">
        <f t="shared" si="55"/>
        <v>S05S3548</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DS_Pass-3548</v>
      </c>
      <c r="DO34" s="40"/>
      <c r="DP34" s="40"/>
      <c r="DQ34" s="40"/>
      <c r="DR34" s="41"/>
      <c r="DS34" s="41"/>
      <c r="DT34" s="40"/>
      <c r="DU34" s="40"/>
      <c r="DV34" s="40"/>
      <c r="DW34" s="41"/>
      <c r="DX34" s="40"/>
      <c r="DY34" s="40"/>
      <c r="DZ34" s="40" t="s">
        <v>409</v>
      </c>
      <c r="EA34" s="120"/>
      <c r="EB34" s="40"/>
      <c r="EC34" s="40"/>
      <c r="ED34" s="17"/>
      <c r="EE34" s="2"/>
      <c r="EF34" s="135"/>
    </row>
    <row r="35" spans="1:136" s="136" customFormat="1" x14ac:dyDescent="0.2">
      <c r="A35" s="209" t="s">
        <v>914</v>
      </c>
      <c r="B35" s="209" t="s">
        <v>868</v>
      </c>
      <c r="C35" s="209" t="s">
        <v>865</v>
      </c>
      <c r="D35" s="13">
        <f>'Run Parameters'!$B$1 + ROW()-1</f>
        <v>3549</v>
      </c>
      <c r="E35" s="15" t="s">
        <v>47</v>
      </c>
      <c r="F35" s="13" t="s">
        <v>738</v>
      </c>
      <c r="G35" s="13" t="str">
        <f t="shared" si="39"/>
        <v>Access Dtls-3549</v>
      </c>
      <c r="H35" s="15" t="s">
        <v>275</v>
      </c>
      <c r="I35" s="13" t="str">
        <f>("MR. Test_34_NMEX5_"&amp;D35&amp;"")</f>
        <v>MR. Test_34_NMEX5_3549</v>
      </c>
      <c r="J35" s="13"/>
      <c r="K35" s="19" t="s">
        <v>425</v>
      </c>
      <c r="L35" s="13" t="str">
        <f t="shared" si="40"/>
        <v>Cust. Ref-3549</v>
      </c>
      <c r="M35" s="15" t="s">
        <v>48</v>
      </c>
      <c r="N35" s="15" t="s">
        <v>425</v>
      </c>
      <c r="O35" s="13"/>
      <c r="P35" s="13" t="str">
        <f t="shared" si="41"/>
        <v>SN-3549</v>
      </c>
      <c r="Q35" s="13" t="str">
        <f t="shared" si="42"/>
        <v>SI-3549</v>
      </c>
      <c r="R35" s="13" t="str">
        <f t="shared" si="43"/>
        <v>SE-3549</v>
      </c>
      <c r="S35" s="19" t="str">
        <f t="shared" si="44"/>
        <v>Prev_RA-3549</v>
      </c>
      <c r="T35" s="19" t="str">
        <f t="shared" si="45"/>
        <v>Prev_Comms-3549</v>
      </c>
      <c r="U35" s="17" t="s">
        <v>75</v>
      </c>
      <c r="V35" s="15" t="s">
        <v>401</v>
      </c>
      <c r="W35" s="17" t="s">
        <v>75</v>
      </c>
      <c r="X35" s="15" t="s">
        <v>396</v>
      </c>
      <c r="Y35" s="13" t="str">
        <f t="shared" si="46"/>
        <v>Forward Add-3549</v>
      </c>
      <c r="Z35" s="15" t="s">
        <v>401</v>
      </c>
      <c r="AA35" s="133" t="str">
        <f>'Run Parameters'!$B$2</f>
        <v>2019-04-26 08:00</v>
      </c>
      <c r="AB35" s="213" t="str">
        <f>'Run Parameters'!B$3</f>
        <v>2019-04-26 18:00</v>
      </c>
      <c r="AC35" s="26">
        <f>('Run Parameters'!$B$2) - 7</f>
        <v>43574.333333333336</v>
      </c>
      <c r="AD35" s="17" t="s">
        <v>75</v>
      </c>
      <c r="AE35" s="13" t="str">
        <f t="shared" si="47"/>
        <v>LAST_METER-3549</v>
      </c>
      <c r="AF35" s="133" t="str">
        <f>'Run Parameters'!$B$2</f>
        <v>2019-04-26 08:00</v>
      </c>
      <c r="AG35" s="13" t="str">
        <f>'Run Parameters'!B$4</f>
        <v>AUTOTEST2</v>
      </c>
      <c r="AH35" s="19" t="str">
        <f t="shared" si="48"/>
        <v>Site_Contact_3549</v>
      </c>
      <c r="AI35" s="133" t="str">
        <f>'Run Parameters'!B$2</f>
        <v>2019-04-26 08:00</v>
      </c>
      <c r="AJ35" s="213" t="str">
        <f>'Run Parameters'!B$3</f>
        <v>2019-04-26 18:00</v>
      </c>
      <c r="AK35" s="13" t="s">
        <v>396</v>
      </c>
      <c r="AL35" s="19" t="str">
        <f t="shared" si="49"/>
        <v>011593549</v>
      </c>
      <c r="AM35" s="13" t="str">
        <f t="shared" si="50"/>
        <v>01153549</v>
      </c>
      <c r="AN35" s="15"/>
      <c r="AO35" s="15"/>
      <c r="AP35" s="13">
        <v>1</v>
      </c>
      <c r="AQ35" s="15" t="s">
        <v>49</v>
      </c>
      <c r="AR35" s="15"/>
      <c r="AS35" s="13"/>
      <c r="AT35" s="12"/>
      <c r="AU35" s="12"/>
      <c r="AV35" s="13">
        <f t="shared" si="51"/>
        <v>3549</v>
      </c>
      <c r="AW35" s="13" t="s">
        <v>739</v>
      </c>
      <c r="AX35" s="13" t="s">
        <v>420</v>
      </c>
      <c r="AY35" s="13" t="s">
        <v>421</v>
      </c>
      <c r="AZ35" s="15" t="s">
        <v>334</v>
      </c>
      <c r="BA35" s="15" t="s">
        <v>154</v>
      </c>
      <c r="BB35" s="21">
        <v>1</v>
      </c>
      <c r="BC35" s="21">
        <f t="shared" si="52"/>
        <v>3549</v>
      </c>
      <c r="BD35" s="17" t="s">
        <v>740</v>
      </c>
      <c r="BE35" s="17" t="s">
        <v>391</v>
      </c>
      <c r="BF35" s="17" t="s">
        <v>391</v>
      </c>
      <c r="BG35" s="21" t="s">
        <v>738</v>
      </c>
      <c r="BH35" s="21" t="str">
        <f t="shared" si="53"/>
        <v>3549_1</v>
      </c>
      <c r="BI35" s="21"/>
      <c r="BJ35" s="21" t="str">
        <f t="shared" si="54"/>
        <v>100000003549</v>
      </c>
      <c r="BK35" s="17" t="s">
        <v>51</v>
      </c>
      <c r="BL35" s="17" t="s">
        <v>54</v>
      </c>
      <c r="BM35" s="21" t="s">
        <v>741</v>
      </c>
      <c r="BN35" s="17" t="s">
        <v>51</v>
      </c>
      <c r="BO35" s="21" t="str">
        <f t="shared" si="55"/>
        <v>S05S3549</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DS_Pass-3549</v>
      </c>
      <c r="DO35" s="40"/>
      <c r="DP35" s="40"/>
      <c r="DQ35" s="40"/>
      <c r="DR35" s="41"/>
      <c r="DS35" s="41"/>
      <c r="DT35" s="40"/>
      <c r="DU35" s="40"/>
      <c r="DV35" s="40"/>
      <c r="DW35" s="41"/>
      <c r="DX35" s="40"/>
      <c r="DY35" s="40"/>
      <c r="DZ35" s="40" t="s">
        <v>409</v>
      </c>
      <c r="EA35" s="120"/>
      <c r="EB35" s="40"/>
      <c r="EC35" s="40"/>
      <c r="ED35" s="17"/>
      <c r="EE35" s="2"/>
      <c r="EF35" s="135"/>
    </row>
    <row r="36" spans="1:136" s="136" customFormat="1" x14ac:dyDescent="0.2">
      <c r="A36" s="209" t="s">
        <v>915</v>
      </c>
      <c r="B36" s="209" t="s">
        <v>892</v>
      </c>
      <c r="C36" s="209" t="s">
        <v>865</v>
      </c>
      <c r="D36" s="13">
        <f>'Run Parameters'!$B$1 + ROW()-1</f>
        <v>3550</v>
      </c>
      <c r="E36" s="15" t="s">
        <v>47</v>
      </c>
      <c r="F36" s="13" t="s">
        <v>738</v>
      </c>
      <c r="G36" s="13" t="str">
        <f t="shared" si="39"/>
        <v>Access Dtls-3550</v>
      </c>
      <c r="H36" s="15" t="s">
        <v>275</v>
      </c>
      <c r="I36" s="13" t="str">
        <f>("MR. Test_35_NMEX5_"&amp;D36&amp;"")</f>
        <v>MR. Test_35_NMEX5_3550</v>
      </c>
      <c r="J36" s="13"/>
      <c r="K36" s="19" t="s">
        <v>425</v>
      </c>
      <c r="L36" s="13" t="str">
        <f t="shared" si="40"/>
        <v>Cust. Ref-3550</v>
      </c>
      <c r="M36" s="15" t="s">
        <v>48</v>
      </c>
      <c r="N36" s="15" t="s">
        <v>425</v>
      </c>
      <c r="O36" s="13"/>
      <c r="P36" s="13" t="str">
        <f t="shared" si="41"/>
        <v>SN-3550</v>
      </c>
      <c r="Q36" s="13" t="str">
        <f t="shared" si="42"/>
        <v>SI-3550</v>
      </c>
      <c r="R36" s="13" t="str">
        <f t="shared" si="43"/>
        <v>SE-3550</v>
      </c>
      <c r="S36" s="19" t="str">
        <f t="shared" si="44"/>
        <v>Prev_RA-3550</v>
      </c>
      <c r="T36" s="19" t="str">
        <f t="shared" si="45"/>
        <v>Prev_Comms-3550</v>
      </c>
      <c r="U36" s="17" t="s">
        <v>75</v>
      </c>
      <c r="V36" s="15" t="s">
        <v>401</v>
      </c>
      <c r="W36" s="17" t="s">
        <v>75</v>
      </c>
      <c r="X36" s="15" t="s">
        <v>396</v>
      </c>
      <c r="Y36" s="13" t="str">
        <f t="shared" si="46"/>
        <v>Forward Add-3550</v>
      </c>
      <c r="Z36" s="15" t="s">
        <v>401</v>
      </c>
      <c r="AA36" s="133" t="str">
        <f>'Run Parameters'!$B$2</f>
        <v>2019-04-26 08:00</v>
      </c>
      <c r="AB36" s="213" t="str">
        <f>'Run Parameters'!B$3</f>
        <v>2019-04-26 18:00</v>
      </c>
      <c r="AC36" s="26">
        <f>('Run Parameters'!$B$2) - 7</f>
        <v>43574.333333333336</v>
      </c>
      <c r="AD36" s="17" t="s">
        <v>75</v>
      </c>
      <c r="AE36" s="13" t="str">
        <f t="shared" si="47"/>
        <v>LAST_METER-3550</v>
      </c>
      <c r="AF36" s="133" t="str">
        <f>'Run Parameters'!$B$2</f>
        <v>2019-04-26 08:00</v>
      </c>
      <c r="AG36" s="13" t="str">
        <f>'Run Parameters'!B$4</f>
        <v>AUTOTEST2</v>
      </c>
      <c r="AH36" s="19" t="str">
        <f t="shared" si="48"/>
        <v>Site_Contact_3550</v>
      </c>
      <c r="AI36" s="133" t="str">
        <f>'Run Parameters'!B$2</f>
        <v>2019-04-26 08:00</v>
      </c>
      <c r="AJ36" s="213" t="str">
        <f>'Run Parameters'!B$3</f>
        <v>2019-04-26 18:00</v>
      </c>
      <c r="AK36" s="13" t="s">
        <v>396</v>
      </c>
      <c r="AL36" s="19" t="str">
        <f t="shared" si="49"/>
        <v>011593550</v>
      </c>
      <c r="AM36" s="13" t="str">
        <f t="shared" si="50"/>
        <v>01153550</v>
      </c>
      <c r="AN36" s="15"/>
      <c r="AO36" s="15"/>
      <c r="AP36" s="13">
        <v>1</v>
      </c>
      <c r="AQ36" s="15" t="s">
        <v>49</v>
      </c>
      <c r="AR36" s="15"/>
      <c r="AS36" s="13"/>
      <c r="AT36" s="12"/>
      <c r="AU36" s="12"/>
      <c r="AV36" s="13">
        <f t="shared" si="51"/>
        <v>3550</v>
      </c>
      <c r="AW36" s="13" t="s">
        <v>739</v>
      </c>
      <c r="AX36" s="13" t="s">
        <v>420</v>
      </c>
      <c r="AY36" s="13" t="s">
        <v>421</v>
      </c>
      <c r="AZ36" s="15" t="s">
        <v>334</v>
      </c>
      <c r="BA36" s="15" t="s">
        <v>154</v>
      </c>
      <c r="BB36" s="21">
        <v>1</v>
      </c>
      <c r="BC36" s="21">
        <f t="shared" si="52"/>
        <v>3550</v>
      </c>
      <c r="BD36" s="17" t="s">
        <v>740</v>
      </c>
      <c r="BE36" s="17" t="s">
        <v>391</v>
      </c>
      <c r="BF36" s="17" t="s">
        <v>391</v>
      </c>
      <c r="BG36" s="21" t="s">
        <v>738</v>
      </c>
      <c r="BH36" s="21" t="str">
        <f t="shared" si="53"/>
        <v>3550_1</v>
      </c>
      <c r="BI36" s="21"/>
      <c r="BJ36" s="21" t="str">
        <f t="shared" si="54"/>
        <v>100000003550</v>
      </c>
      <c r="BK36" s="17" t="s">
        <v>51</v>
      </c>
      <c r="BL36" s="17" t="s">
        <v>54</v>
      </c>
      <c r="BM36" s="21" t="s">
        <v>741</v>
      </c>
      <c r="BN36" s="17" t="s">
        <v>51</v>
      </c>
      <c r="BO36" s="21" t="str">
        <f t="shared" si="55"/>
        <v>S05S3550</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DS_Pass-3550</v>
      </c>
      <c r="DO36" s="40"/>
      <c r="DP36" s="40"/>
      <c r="DQ36" s="40"/>
      <c r="DR36" s="41"/>
      <c r="DS36" s="41"/>
      <c r="DT36" s="40"/>
      <c r="DU36" s="40"/>
      <c r="DV36" s="40"/>
      <c r="DW36" s="41"/>
      <c r="DX36" s="40"/>
      <c r="DY36" s="40"/>
      <c r="DZ36" s="40" t="s">
        <v>409</v>
      </c>
      <c r="EA36" s="120"/>
      <c r="EB36" s="40"/>
      <c r="EC36" s="40"/>
      <c r="ED36" s="17"/>
      <c r="EE36" s="2"/>
      <c r="EF36" s="135"/>
    </row>
    <row r="37" spans="1:136" s="136" customFormat="1" x14ac:dyDescent="0.2">
      <c r="A37" s="209" t="s">
        <v>916</v>
      </c>
      <c r="B37" s="209" t="s">
        <v>868</v>
      </c>
      <c r="C37" s="209" t="s">
        <v>865</v>
      </c>
      <c r="D37" s="13">
        <f>'Run Parameters'!$B$1 + ROW()-1</f>
        <v>3551</v>
      </c>
      <c r="E37" s="15" t="s">
        <v>47</v>
      </c>
      <c r="F37" s="13" t="s">
        <v>738</v>
      </c>
      <c r="G37" s="13" t="str">
        <f t="shared" si="39"/>
        <v>Access Dtls-3551</v>
      </c>
      <c r="H37" s="15" t="s">
        <v>275</v>
      </c>
      <c r="I37" s="13" t="str">
        <f>("MR. Test_36_NMEX5_"&amp;D37&amp;"")</f>
        <v>MR. Test_36_NMEX5_3551</v>
      </c>
      <c r="J37" s="13"/>
      <c r="K37" s="19" t="s">
        <v>425</v>
      </c>
      <c r="L37" s="13" t="str">
        <f t="shared" si="40"/>
        <v>Cust. Ref-3551</v>
      </c>
      <c r="M37" s="15" t="s">
        <v>48</v>
      </c>
      <c r="N37" s="15" t="s">
        <v>425</v>
      </c>
      <c r="O37" s="13"/>
      <c r="P37" s="13" t="str">
        <f t="shared" si="41"/>
        <v>SN-3551</v>
      </c>
      <c r="Q37" s="13" t="str">
        <f t="shared" si="42"/>
        <v>SI-3551</v>
      </c>
      <c r="R37" s="13" t="str">
        <f t="shared" si="43"/>
        <v>SE-3551</v>
      </c>
      <c r="S37" s="19" t="str">
        <f t="shared" si="44"/>
        <v>Prev_RA-3551</v>
      </c>
      <c r="T37" s="19" t="str">
        <f t="shared" si="45"/>
        <v>Prev_Comms-3551</v>
      </c>
      <c r="U37" s="17" t="s">
        <v>75</v>
      </c>
      <c r="V37" s="15" t="s">
        <v>401</v>
      </c>
      <c r="W37" s="17" t="s">
        <v>75</v>
      </c>
      <c r="X37" s="15" t="s">
        <v>396</v>
      </c>
      <c r="Y37" s="13" t="str">
        <f t="shared" si="46"/>
        <v>Forward Add-3551</v>
      </c>
      <c r="Z37" s="15" t="s">
        <v>401</v>
      </c>
      <c r="AA37" s="133" t="str">
        <f>'Run Parameters'!$B$2</f>
        <v>2019-04-26 08:00</v>
      </c>
      <c r="AB37" s="213" t="str">
        <f>'Run Parameters'!B$3</f>
        <v>2019-04-26 18:00</v>
      </c>
      <c r="AC37" s="26">
        <f>('Run Parameters'!$B$2) - 7</f>
        <v>43574.333333333336</v>
      </c>
      <c r="AD37" s="17" t="s">
        <v>75</v>
      </c>
      <c r="AE37" s="13" t="str">
        <f t="shared" si="47"/>
        <v>LAST_METER-3551</v>
      </c>
      <c r="AF37" s="133" t="str">
        <f>'Run Parameters'!$B$2</f>
        <v>2019-04-26 08:00</v>
      </c>
      <c r="AG37" s="13" t="str">
        <f>'Run Parameters'!B$4</f>
        <v>AUTOTEST2</v>
      </c>
      <c r="AH37" s="19" t="str">
        <f t="shared" si="48"/>
        <v>Site_Contact_3551</v>
      </c>
      <c r="AI37" s="133" t="str">
        <f>'Run Parameters'!B$2</f>
        <v>2019-04-26 08:00</v>
      </c>
      <c r="AJ37" s="213" t="str">
        <f>'Run Parameters'!B$3</f>
        <v>2019-04-26 18:00</v>
      </c>
      <c r="AK37" s="13" t="s">
        <v>396</v>
      </c>
      <c r="AL37" s="19" t="str">
        <f t="shared" si="49"/>
        <v>011593551</v>
      </c>
      <c r="AM37" s="13" t="str">
        <f t="shared" si="50"/>
        <v>01153551</v>
      </c>
      <c r="AN37" s="15"/>
      <c r="AO37" s="15"/>
      <c r="AP37" s="13">
        <v>1</v>
      </c>
      <c r="AQ37" s="15" t="s">
        <v>49</v>
      </c>
      <c r="AR37" s="15"/>
      <c r="AS37" s="13"/>
      <c r="AT37" s="12"/>
      <c r="AU37" s="12"/>
      <c r="AV37" s="13">
        <f t="shared" si="51"/>
        <v>3551</v>
      </c>
      <c r="AW37" s="13" t="s">
        <v>739</v>
      </c>
      <c r="AX37" s="13" t="s">
        <v>420</v>
      </c>
      <c r="AY37" s="13" t="s">
        <v>421</v>
      </c>
      <c r="AZ37" s="15" t="s">
        <v>334</v>
      </c>
      <c r="BA37" s="15" t="s">
        <v>154</v>
      </c>
      <c r="BB37" s="21">
        <v>1</v>
      </c>
      <c r="BC37" s="21">
        <f t="shared" si="52"/>
        <v>3551</v>
      </c>
      <c r="BD37" s="17" t="s">
        <v>740</v>
      </c>
      <c r="BE37" s="17" t="s">
        <v>391</v>
      </c>
      <c r="BF37" s="17" t="s">
        <v>391</v>
      </c>
      <c r="BG37" s="21" t="s">
        <v>738</v>
      </c>
      <c r="BH37" s="21" t="str">
        <f t="shared" si="53"/>
        <v>3551_1</v>
      </c>
      <c r="BI37" s="21"/>
      <c r="BJ37" s="21" t="str">
        <f t="shared" si="54"/>
        <v>100000003551</v>
      </c>
      <c r="BK37" s="17" t="s">
        <v>51</v>
      </c>
      <c r="BL37" s="17" t="s">
        <v>54</v>
      </c>
      <c r="BM37" s="21" t="s">
        <v>741</v>
      </c>
      <c r="BN37" s="17" t="s">
        <v>51</v>
      </c>
      <c r="BO37" s="21" t="str">
        <f t="shared" si="55"/>
        <v>S05S3551</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DS_Pass-3551</v>
      </c>
      <c r="DO37" s="40"/>
      <c r="DP37" s="40"/>
      <c r="DQ37" s="40"/>
      <c r="DR37" s="41"/>
      <c r="DS37" s="41"/>
      <c r="DT37" s="40"/>
      <c r="DU37" s="40"/>
      <c r="DV37" s="40"/>
      <c r="DW37" s="41"/>
      <c r="DX37" s="40"/>
      <c r="DY37" s="40"/>
      <c r="DZ37" s="40" t="s">
        <v>409</v>
      </c>
      <c r="EA37" s="120"/>
      <c r="EB37" s="40"/>
      <c r="EC37" s="40"/>
      <c r="ED37" s="17"/>
      <c r="EE37" s="2"/>
      <c r="EF37" s="135"/>
    </row>
    <row r="38" spans="1:136" s="136" customFormat="1" x14ac:dyDescent="0.2">
      <c r="A38" s="209" t="s">
        <v>917</v>
      </c>
      <c r="B38" s="209" t="s">
        <v>892</v>
      </c>
      <c r="C38" s="209" t="s">
        <v>865</v>
      </c>
      <c r="D38" s="13">
        <f>'Run Parameters'!$B$1 + ROW()-1</f>
        <v>3552</v>
      </c>
      <c r="E38" s="15" t="s">
        <v>47</v>
      </c>
      <c r="F38" s="13" t="s">
        <v>738</v>
      </c>
      <c r="G38" s="13" t="str">
        <f t="shared" si="39"/>
        <v>Access Dtls-3552</v>
      </c>
      <c r="H38" s="15" t="s">
        <v>275</v>
      </c>
      <c r="I38" s="13" t="str">
        <f>("MR. Test_37_NMEX5_"&amp;D38&amp;"")</f>
        <v>MR. Test_37_NMEX5_3552</v>
      </c>
      <c r="J38" s="13"/>
      <c r="K38" s="19" t="s">
        <v>425</v>
      </c>
      <c r="L38" s="13" t="str">
        <f t="shared" si="40"/>
        <v>Cust. Ref-3552</v>
      </c>
      <c r="M38" s="15" t="s">
        <v>48</v>
      </c>
      <c r="N38" s="15" t="s">
        <v>425</v>
      </c>
      <c r="O38" s="13"/>
      <c r="P38" s="13" t="str">
        <f t="shared" si="41"/>
        <v>SN-3552</v>
      </c>
      <c r="Q38" s="13" t="str">
        <f t="shared" si="42"/>
        <v>SI-3552</v>
      </c>
      <c r="R38" s="13" t="str">
        <f t="shared" si="43"/>
        <v>SE-3552</v>
      </c>
      <c r="S38" s="19" t="str">
        <f t="shared" si="44"/>
        <v>Prev_RA-3552</v>
      </c>
      <c r="T38" s="19" t="str">
        <f t="shared" si="45"/>
        <v>Prev_Comms-3552</v>
      </c>
      <c r="U38" s="17" t="s">
        <v>75</v>
      </c>
      <c r="V38" s="15" t="s">
        <v>401</v>
      </c>
      <c r="W38" s="17" t="s">
        <v>75</v>
      </c>
      <c r="X38" s="15" t="s">
        <v>396</v>
      </c>
      <c r="Y38" s="13" t="str">
        <f t="shared" si="46"/>
        <v>Forward Add-3552</v>
      </c>
      <c r="Z38" s="15" t="s">
        <v>401</v>
      </c>
      <c r="AA38" s="133" t="str">
        <f>'Run Parameters'!$B$2</f>
        <v>2019-04-26 08:00</v>
      </c>
      <c r="AB38" s="213" t="str">
        <f>'Run Parameters'!B$3</f>
        <v>2019-04-26 18:00</v>
      </c>
      <c r="AC38" s="26">
        <f>('Run Parameters'!$B$2) - 7</f>
        <v>43574.333333333336</v>
      </c>
      <c r="AD38" s="17" t="s">
        <v>75</v>
      </c>
      <c r="AE38" s="13" t="str">
        <f t="shared" si="47"/>
        <v>LAST_METER-3552</v>
      </c>
      <c r="AF38" s="133" t="str">
        <f>'Run Parameters'!$B$2</f>
        <v>2019-04-26 08:00</v>
      </c>
      <c r="AG38" s="13" t="str">
        <f>'Run Parameters'!B$4</f>
        <v>AUTOTEST2</v>
      </c>
      <c r="AH38" s="19" t="str">
        <f t="shared" si="48"/>
        <v>Site_Contact_3552</v>
      </c>
      <c r="AI38" s="133" t="str">
        <f>'Run Parameters'!B$2</f>
        <v>2019-04-26 08:00</v>
      </c>
      <c r="AJ38" s="213" t="str">
        <f>'Run Parameters'!B$3</f>
        <v>2019-04-26 18:00</v>
      </c>
      <c r="AK38" s="13" t="s">
        <v>396</v>
      </c>
      <c r="AL38" s="19" t="str">
        <f t="shared" si="49"/>
        <v>011593552</v>
      </c>
      <c r="AM38" s="13" t="str">
        <f t="shared" si="50"/>
        <v>01153552</v>
      </c>
      <c r="AN38" s="15"/>
      <c r="AO38" s="15"/>
      <c r="AP38" s="13">
        <v>1</v>
      </c>
      <c r="AQ38" s="15" t="s">
        <v>49</v>
      </c>
      <c r="AR38" s="15"/>
      <c r="AS38" s="13"/>
      <c r="AT38" s="12"/>
      <c r="AU38" s="12"/>
      <c r="AV38" s="13">
        <f t="shared" si="51"/>
        <v>3552</v>
      </c>
      <c r="AW38" s="13" t="s">
        <v>739</v>
      </c>
      <c r="AX38" s="13" t="s">
        <v>420</v>
      </c>
      <c r="AY38" s="13" t="s">
        <v>421</v>
      </c>
      <c r="AZ38" s="15" t="s">
        <v>334</v>
      </c>
      <c r="BA38" s="15" t="s">
        <v>154</v>
      </c>
      <c r="BB38" s="21">
        <v>1</v>
      </c>
      <c r="BC38" s="21">
        <f t="shared" si="52"/>
        <v>3552</v>
      </c>
      <c r="BD38" s="17" t="s">
        <v>740</v>
      </c>
      <c r="BE38" s="17" t="s">
        <v>391</v>
      </c>
      <c r="BF38" s="17" t="s">
        <v>391</v>
      </c>
      <c r="BG38" s="21" t="s">
        <v>738</v>
      </c>
      <c r="BH38" s="21" t="str">
        <f t="shared" si="53"/>
        <v>3552_1</v>
      </c>
      <c r="BI38" s="21"/>
      <c r="BJ38" s="21" t="str">
        <f t="shared" si="54"/>
        <v>100000003552</v>
      </c>
      <c r="BK38" s="17" t="s">
        <v>51</v>
      </c>
      <c r="BL38" s="17" t="s">
        <v>54</v>
      </c>
      <c r="BM38" s="21" t="s">
        <v>741</v>
      </c>
      <c r="BN38" s="17" t="s">
        <v>51</v>
      </c>
      <c r="BO38" s="21" t="str">
        <f t="shared" si="55"/>
        <v>S05S3552</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DS_Pass-3552</v>
      </c>
      <c r="DO38" s="40"/>
      <c r="DP38" s="40"/>
      <c r="DQ38" s="40"/>
      <c r="DR38" s="41"/>
      <c r="DS38" s="41"/>
      <c r="DT38" s="40"/>
      <c r="DU38" s="40"/>
      <c r="DV38" s="40"/>
      <c r="DW38" s="41"/>
      <c r="DX38" s="40"/>
      <c r="DY38" s="40"/>
      <c r="DZ38" s="40" t="s">
        <v>409</v>
      </c>
      <c r="EA38" s="120"/>
      <c r="EB38" s="40"/>
      <c r="EC38" s="40"/>
      <c r="ED38" s="17"/>
      <c r="EE38" s="2"/>
      <c r="EF38" s="135"/>
    </row>
    <row r="39" spans="1:136" s="136" customFormat="1" x14ac:dyDescent="0.2">
      <c r="A39" s="209" t="s">
        <v>918</v>
      </c>
      <c r="B39" s="209" t="s">
        <v>868</v>
      </c>
      <c r="C39" s="209" t="s">
        <v>865</v>
      </c>
      <c r="D39" s="13">
        <f>'Run Parameters'!$B$1 + ROW()-1</f>
        <v>3553</v>
      </c>
      <c r="E39" s="15" t="s">
        <v>47</v>
      </c>
      <c r="F39" s="13" t="s">
        <v>738</v>
      </c>
      <c r="G39" s="13" t="str">
        <f t="shared" si="39"/>
        <v>Access Dtls-3553</v>
      </c>
      <c r="H39" s="15" t="s">
        <v>275</v>
      </c>
      <c r="I39" s="13" t="str">
        <f>("MR. Test_38_NMEX5_"&amp;D39&amp;"")</f>
        <v>MR. Test_38_NMEX5_3553</v>
      </c>
      <c r="J39" s="13"/>
      <c r="K39" s="19" t="s">
        <v>425</v>
      </c>
      <c r="L39" s="13" t="str">
        <f t="shared" si="40"/>
        <v>Cust. Ref-3553</v>
      </c>
      <c r="M39" s="15" t="s">
        <v>48</v>
      </c>
      <c r="N39" s="15" t="s">
        <v>425</v>
      </c>
      <c r="O39" s="13"/>
      <c r="P39" s="13" t="str">
        <f t="shared" si="41"/>
        <v>SN-3553</v>
      </c>
      <c r="Q39" s="13" t="str">
        <f t="shared" si="42"/>
        <v>SI-3553</v>
      </c>
      <c r="R39" s="13" t="str">
        <f t="shared" si="43"/>
        <v>SE-3553</v>
      </c>
      <c r="S39" s="19" t="str">
        <f t="shared" si="44"/>
        <v>Prev_RA-3553</v>
      </c>
      <c r="T39" s="19" t="str">
        <f t="shared" si="45"/>
        <v>Prev_Comms-3553</v>
      </c>
      <c r="U39" s="17" t="s">
        <v>75</v>
      </c>
      <c r="V39" s="15" t="s">
        <v>401</v>
      </c>
      <c r="W39" s="17" t="s">
        <v>75</v>
      </c>
      <c r="X39" s="15" t="s">
        <v>396</v>
      </c>
      <c r="Y39" s="13" t="str">
        <f t="shared" si="46"/>
        <v>Forward Add-3553</v>
      </c>
      <c r="Z39" s="15" t="s">
        <v>401</v>
      </c>
      <c r="AA39" s="133" t="str">
        <f>'Run Parameters'!$B$2</f>
        <v>2019-04-26 08:00</v>
      </c>
      <c r="AB39" s="213" t="str">
        <f>'Run Parameters'!B$3</f>
        <v>2019-04-26 18:00</v>
      </c>
      <c r="AC39" s="26">
        <f>('Run Parameters'!$B$2) - 7</f>
        <v>43574.333333333336</v>
      </c>
      <c r="AD39" s="17" t="s">
        <v>75</v>
      </c>
      <c r="AE39" s="13" t="str">
        <f t="shared" si="47"/>
        <v>LAST_METER-3553</v>
      </c>
      <c r="AF39" s="133" t="str">
        <f>'Run Parameters'!$B$2</f>
        <v>2019-04-26 08:00</v>
      </c>
      <c r="AG39" s="13" t="str">
        <f>'Run Parameters'!B$4</f>
        <v>AUTOTEST2</v>
      </c>
      <c r="AH39" s="19" t="str">
        <f t="shared" si="48"/>
        <v>Site_Contact_3553</v>
      </c>
      <c r="AI39" s="133" t="str">
        <f>'Run Parameters'!B$2</f>
        <v>2019-04-26 08:00</v>
      </c>
      <c r="AJ39" s="213" t="str">
        <f>'Run Parameters'!B$3</f>
        <v>2019-04-26 18:00</v>
      </c>
      <c r="AK39" s="13" t="s">
        <v>396</v>
      </c>
      <c r="AL39" s="19" t="str">
        <f t="shared" si="49"/>
        <v>011593553</v>
      </c>
      <c r="AM39" s="13" t="str">
        <f t="shared" si="50"/>
        <v>01153553</v>
      </c>
      <c r="AN39" s="15"/>
      <c r="AO39" s="15"/>
      <c r="AP39" s="13">
        <v>1</v>
      </c>
      <c r="AQ39" s="15" t="s">
        <v>49</v>
      </c>
      <c r="AR39" s="15"/>
      <c r="AS39" s="13"/>
      <c r="AT39" s="12"/>
      <c r="AU39" s="12"/>
      <c r="AV39" s="13">
        <f t="shared" si="51"/>
        <v>3553</v>
      </c>
      <c r="AW39" s="13" t="s">
        <v>739</v>
      </c>
      <c r="AX39" s="13" t="s">
        <v>420</v>
      </c>
      <c r="AY39" s="13" t="s">
        <v>421</v>
      </c>
      <c r="AZ39" s="15" t="s">
        <v>334</v>
      </c>
      <c r="BA39" s="15" t="s">
        <v>154</v>
      </c>
      <c r="BB39" s="21">
        <v>1</v>
      </c>
      <c r="BC39" s="21">
        <f t="shared" si="52"/>
        <v>3553</v>
      </c>
      <c r="BD39" s="17" t="s">
        <v>740</v>
      </c>
      <c r="BE39" s="17" t="s">
        <v>391</v>
      </c>
      <c r="BF39" s="17" t="s">
        <v>391</v>
      </c>
      <c r="BG39" s="21" t="s">
        <v>738</v>
      </c>
      <c r="BH39" s="21" t="str">
        <f t="shared" si="53"/>
        <v>3553_1</v>
      </c>
      <c r="BI39" s="21"/>
      <c r="BJ39" s="21" t="str">
        <f t="shared" si="54"/>
        <v>100000003553</v>
      </c>
      <c r="BK39" s="17" t="s">
        <v>51</v>
      </c>
      <c r="BL39" s="17" t="s">
        <v>54</v>
      </c>
      <c r="BM39" s="21" t="s">
        <v>741</v>
      </c>
      <c r="BN39" s="17" t="s">
        <v>51</v>
      </c>
      <c r="BO39" s="21" t="str">
        <f t="shared" si="55"/>
        <v>S05S3553</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DS_Pass-3553</v>
      </c>
      <c r="DO39" s="40"/>
      <c r="DP39" s="40"/>
      <c r="DQ39" s="40"/>
      <c r="DR39" s="41"/>
      <c r="DS39" s="41"/>
      <c r="DT39" s="40"/>
      <c r="DU39" s="40"/>
      <c r="DV39" s="40"/>
      <c r="DW39" s="41"/>
      <c r="DX39" s="40"/>
      <c r="DY39" s="40"/>
      <c r="DZ39" s="40" t="s">
        <v>409</v>
      </c>
      <c r="EA39" s="120"/>
      <c r="EB39" s="40"/>
      <c r="EC39" s="40"/>
      <c r="ED39" s="17"/>
      <c r="EE39" s="2"/>
      <c r="EF39" s="135"/>
    </row>
    <row r="40" spans="1:136" s="136" customFormat="1" x14ac:dyDescent="0.2">
      <c r="A40" s="209" t="s">
        <v>919</v>
      </c>
      <c r="B40" s="209" t="s">
        <v>892</v>
      </c>
      <c r="C40" s="209" t="s">
        <v>865</v>
      </c>
      <c r="D40" s="13">
        <f>'Run Parameters'!$B$1 + ROW()-1</f>
        <v>3554</v>
      </c>
      <c r="E40" s="15" t="s">
        <v>47</v>
      </c>
      <c r="F40" s="13" t="s">
        <v>738</v>
      </c>
      <c r="G40" s="13" t="str">
        <f t="shared" si="39"/>
        <v>Access Dtls-3554</v>
      </c>
      <c r="H40" s="15" t="s">
        <v>275</v>
      </c>
      <c r="I40" s="13" t="str">
        <f>("MR. Test_39_NMEX5_"&amp;D40&amp;"")</f>
        <v>MR. Test_39_NMEX5_3554</v>
      </c>
      <c r="J40" s="13"/>
      <c r="K40" s="19" t="s">
        <v>425</v>
      </c>
      <c r="L40" s="13" t="str">
        <f t="shared" si="40"/>
        <v>Cust. Ref-3554</v>
      </c>
      <c r="M40" s="15" t="s">
        <v>48</v>
      </c>
      <c r="N40" s="15" t="s">
        <v>425</v>
      </c>
      <c r="O40" s="13"/>
      <c r="P40" s="13" t="str">
        <f t="shared" si="41"/>
        <v>SN-3554</v>
      </c>
      <c r="Q40" s="13" t="str">
        <f t="shared" si="42"/>
        <v>SI-3554</v>
      </c>
      <c r="R40" s="13" t="str">
        <f t="shared" si="43"/>
        <v>SE-3554</v>
      </c>
      <c r="S40" s="19" t="str">
        <f t="shared" si="44"/>
        <v>Prev_RA-3554</v>
      </c>
      <c r="T40" s="19" t="str">
        <f t="shared" si="45"/>
        <v>Prev_Comms-3554</v>
      </c>
      <c r="U40" s="17" t="s">
        <v>75</v>
      </c>
      <c r="V40" s="15" t="s">
        <v>401</v>
      </c>
      <c r="W40" s="17" t="s">
        <v>75</v>
      </c>
      <c r="X40" s="15" t="s">
        <v>396</v>
      </c>
      <c r="Y40" s="13" t="str">
        <f t="shared" si="46"/>
        <v>Forward Add-3554</v>
      </c>
      <c r="Z40" s="15" t="s">
        <v>401</v>
      </c>
      <c r="AA40" s="133" t="str">
        <f>'Run Parameters'!$B$2</f>
        <v>2019-04-26 08:00</v>
      </c>
      <c r="AB40" s="213" t="str">
        <f>'Run Parameters'!B$3</f>
        <v>2019-04-26 18:00</v>
      </c>
      <c r="AC40" s="26">
        <f>('Run Parameters'!$B$2) - 7</f>
        <v>43574.333333333336</v>
      </c>
      <c r="AD40" s="17" t="s">
        <v>75</v>
      </c>
      <c r="AE40" s="13" t="str">
        <f t="shared" si="47"/>
        <v>LAST_METER-3554</v>
      </c>
      <c r="AF40" s="133" t="str">
        <f>'Run Parameters'!$B$2</f>
        <v>2019-04-26 08:00</v>
      </c>
      <c r="AG40" s="13" t="str">
        <f>'Run Parameters'!B$4</f>
        <v>AUTOTEST2</v>
      </c>
      <c r="AH40" s="19" t="str">
        <f t="shared" si="48"/>
        <v>Site_Contact_3554</v>
      </c>
      <c r="AI40" s="133" t="str">
        <f>'Run Parameters'!B$2</f>
        <v>2019-04-26 08:00</v>
      </c>
      <c r="AJ40" s="213" t="str">
        <f>'Run Parameters'!B$3</f>
        <v>2019-04-26 18:00</v>
      </c>
      <c r="AK40" s="13" t="s">
        <v>396</v>
      </c>
      <c r="AL40" s="19" t="str">
        <f t="shared" si="49"/>
        <v>011593554</v>
      </c>
      <c r="AM40" s="13" t="str">
        <f t="shared" si="50"/>
        <v>01153554</v>
      </c>
      <c r="AN40" s="15"/>
      <c r="AO40" s="15"/>
      <c r="AP40" s="13">
        <v>1</v>
      </c>
      <c r="AQ40" s="15" t="s">
        <v>49</v>
      </c>
      <c r="AR40" s="15"/>
      <c r="AS40" s="13"/>
      <c r="AT40" s="12"/>
      <c r="AU40" s="12"/>
      <c r="AV40" s="13">
        <f t="shared" si="51"/>
        <v>3554</v>
      </c>
      <c r="AW40" s="13" t="s">
        <v>739</v>
      </c>
      <c r="AX40" s="13" t="s">
        <v>420</v>
      </c>
      <c r="AY40" s="13" t="s">
        <v>421</v>
      </c>
      <c r="AZ40" s="15" t="s">
        <v>334</v>
      </c>
      <c r="BA40" s="15" t="s">
        <v>154</v>
      </c>
      <c r="BB40" s="21">
        <v>1</v>
      </c>
      <c r="BC40" s="21">
        <f t="shared" si="52"/>
        <v>3554</v>
      </c>
      <c r="BD40" s="17" t="s">
        <v>740</v>
      </c>
      <c r="BE40" s="17" t="s">
        <v>391</v>
      </c>
      <c r="BF40" s="17" t="s">
        <v>391</v>
      </c>
      <c r="BG40" s="21" t="s">
        <v>738</v>
      </c>
      <c r="BH40" s="21" t="str">
        <f t="shared" si="53"/>
        <v>3554_1</v>
      </c>
      <c r="BI40" s="21"/>
      <c r="BJ40" s="21" t="str">
        <f t="shared" si="54"/>
        <v>100000003554</v>
      </c>
      <c r="BK40" s="17" t="s">
        <v>51</v>
      </c>
      <c r="BL40" s="17" t="s">
        <v>54</v>
      </c>
      <c r="BM40" s="21" t="s">
        <v>741</v>
      </c>
      <c r="BN40" s="17" t="s">
        <v>51</v>
      </c>
      <c r="BO40" s="21" t="str">
        <f t="shared" si="55"/>
        <v>S05S3554</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DS_Pass-3554</v>
      </c>
      <c r="DO40" s="40"/>
      <c r="DP40" s="40"/>
      <c r="DQ40" s="40"/>
      <c r="DR40" s="41"/>
      <c r="DS40" s="41"/>
      <c r="DT40" s="40"/>
      <c r="DU40" s="40"/>
      <c r="DV40" s="40"/>
      <c r="DW40" s="41"/>
      <c r="DX40" s="40"/>
      <c r="DY40" s="40"/>
      <c r="DZ40" s="40" t="s">
        <v>409</v>
      </c>
      <c r="EA40" s="120"/>
      <c r="EB40" s="40"/>
      <c r="EC40" s="40"/>
      <c r="ED40" s="17"/>
      <c r="EE40" s="2"/>
      <c r="EF40" s="135"/>
    </row>
    <row r="41" spans="1:136" s="136" customFormat="1" x14ac:dyDescent="0.2">
      <c r="A41" s="209" t="s">
        <v>1097</v>
      </c>
      <c r="B41" s="209" t="s">
        <v>892</v>
      </c>
      <c r="C41" s="209" t="s">
        <v>865</v>
      </c>
      <c r="D41" s="13">
        <f>'Run Parameters'!$B$1 + ROW()-1</f>
        <v>3555</v>
      </c>
      <c r="E41" s="15" t="s">
        <v>47</v>
      </c>
      <c r="F41" s="13" t="s">
        <v>738</v>
      </c>
      <c r="G41" s="13" t="str">
        <f t="shared" si="39"/>
        <v>Access Dtls-3555</v>
      </c>
      <c r="H41" s="15" t="s">
        <v>275</v>
      </c>
      <c r="I41" s="13" t="str">
        <f>("MR. Test_40_NMEX5_"&amp;D41&amp;"")</f>
        <v>MR. Test_40_NMEX5_3555</v>
      </c>
      <c r="J41" s="13"/>
      <c r="K41" s="19" t="s">
        <v>425</v>
      </c>
      <c r="L41" s="13" t="str">
        <f t="shared" si="40"/>
        <v>Cust. Ref-3555</v>
      </c>
      <c r="M41" s="15" t="s">
        <v>48</v>
      </c>
      <c r="N41" s="15" t="s">
        <v>425</v>
      </c>
      <c r="O41" s="13"/>
      <c r="P41" s="13" t="str">
        <f t="shared" si="41"/>
        <v>SN-3555</v>
      </c>
      <c r="Q41" s="13" t="str">
        <f t="shared" si="42"/>
        <v>SI-3555</v>
      </c>
      <c r="R41" s="13" t="str">
        <f t="shared" si="43"/>
        <v>SE-3555</v>
      </c>
      <c r="S41" s="19" t="str">
        <f t="shared" si="44"/>
        <v>Prev_RA-3555</v>
      </c>
      <c r="T41" s="19" t="str">
        <f t="shared" si="45"/>
        <v>Prev_Comms-3555</v>
      </c>
      <c r="U41" s="17" t="s">
        <v>75</v>
      </c>
      <c r="V41" s="15" t="s">
        <v>401</v>
      </c>
      <c r="W41" s="17" t="s">
        <v>75</v>
      </c>
      <c r="X41" s="15" t="s">
        <v>1087</v>
      </c>
      <c r="Y41" s="13" t="str">
        <f t="shared" si="46"/>
        <v>Forward Add-3555</v>
      </c>
      <c r="Z41" s="15" t="s">
        <v>401</v>
      </c>
      <c r="AA41" s="133" t="str">
        <f>'Run Parameters'!$B$2</f>
        <v>2019-04-26 08:00</v>
      </c>
      <c r="AB41" s="213" t="str">
        <f>'Run Parameters'!B$3</f>
        <v>2019-04-26 18:00</v>
      </c>
      <c r="AC41" s="26">
        <f>('Run Parameters'!$B$2) - 7</f>
        <v>43574.333333333336</v>
      </c>
      <c r="AD41" s="17" t="s">
        <v>75</v>
      </c>
      <c r="AE41" s="13" t="str">
        <f t="shared" si="47"/>
        <v>LAST_METER-3555</v>
      </c>
      <c r="AF41" s="133" t="str">
        <f>'Run Parameters'!$B$2</f>
        <v>2019-04-26 08:00</v>
      </c>
      <c r="AG41" s="13" t="str">
        <f>'Run Parameters'!B$4</f>
        <v>AUTOTEST2</v>
      </c>
      <c r="AH41" s="19" t="str">
        <f t="shared" si="48"/>
        <v>Site_Contact_3555</v>
      </c>
      <c r="AI41" s="133" t="str">
        <f>'Run Parameters'!B$2</f>
        <v>2019-04-26 08:00</v>
      </c>
      <c r="AJ41" s="213" t="str">
        <f>'Run Parameters'!B$3</f>
        <v>2019-04-26 18:00</v>
      </c>
      <c r="AK41" s="13" t="s">
        <v>1087</v>
      </c>
      <c r="AL41" s="19" t="str">
        <f t="shared" si="49"/>
        <v>011593555</v>
      </c>
      <c r="AM41" s="13" t="str">
        <f t="shared" si="50"/>
        <v>01153555</v>
      </c>
      <c r="AN41" s="15"/>
      <c r="AO41" s="15"/>
      <c r="AP41" s="13">
        <v>1</v>
      </c>
      <c r="AQ41" s="15" t="s">
        <v>49</v>
      </c>
      <c r="AR41" s="15"/>
      <c r="AS41" s="13"/>
      <c r="AT41" s="12"/>
      <c r="AU41" s="12"/>
      <c r="AV41" s="13">
        <f t="shared" si="51"/>
        <v>3555</v>
      </c>
      <c r="AW41" s="13" t="s">
        <v>739</v>
      </c>
      <c r="AX41" s="13" t="s">
        <v>420</v>
      </c>
      <c r="AY41" s="13" t="s">
        <v>421</v>
      </c>
      <c r="AZ41" s="15" t="s">
        <v>334</v>
      </c>
      <c r="BA41" s="15" t="s">
        <v>154</v>
      </c>
      <c r="BB41" s="21">
        <v>1</v>
      </c>
      <c r="BC41" s="21">
        <f t="shared" si="52"/>
        <v>3555</v>
      </c>
      <c r="BD41" s="17" t="s">
        <v>1102</v>
      </c>
      <c r="BE41" s="17" t="s">
        <v>391</v>
      </c>
      <c r="BF41" s="17" t="s">
        <v>391</v>
      </c>
      <c r="BG41" s="21" t="s">
        <v>738</v>
      </c>
      <c r="BH41" s="21" t="str">
        <f t="shared" si="53"/>
        <v>3555_1</v>
      </c>
      <c r="BI41" s="21"/>
      <c r="BJ41" s="21" t="str">
        <f t="shared" si="54"/>
        <v>100000003555</v>
      </c>
      <c r="BK41" s="17" t="s">
        <v>51</v>
      </c>
      <c r="BL41" s="17" t="s">
        <v>54</v>
      </c>
      <c r="BM41" s="21" t="s">
        <v>741</v>
      </c>
      <c r="BN41" s="17" t="s">
        <v>51</v>
      </c>
      <c r="BO41" s="21" t="str">
        <f t="shared" si="55"/>
        <v>S05S3555</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1087</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DS_Pass-3555</v>
      </c>
      <c r="DO41" s="40"/>
      <c r="DP41" s="40"/>
      <c r="DQ41" s="40"/>
      <c r="DR41" s="41"/>
      <c r="DS41" s="41"/>
      <c r="DT41" s="40"/>
      <c r="DU41" s="40"/>
      <c r="DV41" s="40"/>
      <c r="DW41" s="41"/>
      <c r="DX41" s="40"/>
      <c r="DY41" s="40"/>
      <c r="DZ41" s="40" t="s">
        <v>409</v>
      </c>
      <c r="EA41" s="120"/>
      <c r="EB41" s="40"/>
      <c r="EC41" s="40"/>
      <c r="ED41" s="17"/>
      <c r="EE41" s="2"/>
      <c r="EF41" s="135"/>
    </row>
    <row r="42" spans="1:136" s="136" customFormat="1" x14ac:dyDescent="0.2">
      <c r="A42" s="209" t="s">
        <v>949</v>
      </c>
      <c r="B42" s="209" t="s">
        <v>892</v>
      </c>
      <c r="C42" s="209" t="s">
        <v>865</v>
      </c>
      <c r="D42" s="13">
        <f>'Run Parameters'!$B$1 + ROW()-1</f>
        <v>3556</v>
      </c>
      <c r="E42" s="15" t="s">
        <v>47</v>
      </c>
      <c r="F42" s="13" t="s">
        <v>947</v>
      </c>
      <c r="G42" s="13" t="str">
        <f>("Access Dtls-" &amp; D42)</f>
        <v>Access Dtls-3556</v>
      </c>
      <c r="H42" s="15" t="s">
        <v>275</v>
      </c>
      <c r="I42" s="13" t="str">
        <f>("MR. Test_41_FLTY2_"&amp;D42&amp;"")</f>
        <v>MR. Test_41_FLTY2_3556</v>
      </c>
      <c r="J42" s="13"/>
      <c r="K42" s="19" t="s">
        <v>425</v>
      </c>
      <c r="L42" s="13" t="str">
        <f>("Cust. Ref-" &amp; D42)</f>
        <v>Cust. Ref-3556</v>
      </c>
      <c r="M42" s="15" t="s">
        <v>48</v>
      </c>
      <c r="N42" s="15" t="s">
        <v>425</v>
      </c>
      <c r="O42" s="13"/>
      <c r="P42" s="13" t="str">
        <f>("SN-" &amp; D42)</f>
        <v>SN-3556</v>
      </c>
      <c r="Q42" s="13" t="str">
        <f>("SI-" &amp; D42)</f>
        <v>SI-3556</v>
      </c>
      <c r="R42" s="13" t="str">
        <f>("SE-" &amp; D42)</f>
        <v>SE-3556</v>
      </c>
      <c r="S42" s="19" t="str">
        <f>("Prev_RA-" &amp; D42)</f>
        <v>Prev_RA-3556</v>
      </c>
      <c r="T42" s="19" t="str">
        <f>("Prev_Comms-" &amp; D42)</f>
        <v>Prev_Comms-3556</v>
      </c>
      <c r="U42" s="17" t="s">
        <v>75</v>
      </c>
      <c r="V42" s="15" t="s">
        <v>401</v>
      </c>
      <c r="W42" s="17" t="s">
        <v>75</v>
      </c>
      <c r="X42" s="15" t="s">
        <v>396</v>
      </c>
      <c r="Y42" s="13" t="str">
        <f>("Forward Add-" &amp; D42)</f>
        <v>Forward Add-3556</v>
      </c>
      <c r="Z42" s="15" t="s">
        <v>401</v>
      </c>
      <c r="AA42" s="133" t="str">
        <f>'Run Parameters'!$B$2</f>
        <v>2019-04-26 08:00</v>
      </c>
      <c r="AB42" s="213" t="str">
        <f>'Run Parameters'!B$3</f>
        <v>2019-04-26 18:00</v>
      </c>
      <c r="AC42" s="26">
        <f>('Run Parameters'!$B$2) - 7</f>
        <v>43574.333333333336</v>
      </c>
      <c r="AD42" s="17" t="s">
        <v>75</v>
      </c>
      <c r="AE42" s="13" t="str">
        <f>("LAST_METER-" &amp; D42)</f>
        <v>LAST_METER-3556</v>
      </c>
      <c r="AF42" s="133" t="str">
        <f>'Run Parameters'!$B$2</f>
        <v>2019-04-26 08:00</v>
      </c>
      <c r="AG42" s="13" t="str">
        <f>'Run Parameters'!B$4</f>
        <v>AUTOTEST2</v>
      </c>
      <c r="AH42" s="19" t="str">
        <f>("Site_Contact_" &amp; D42)</f>
        <v>Site_Contact_3556</v>
      </c>
      <c r="AI42" s="133" t="str">
        <f>'Run Parameters'!B$2</f>
        <v>2019-04-26 08:00</v>
      </c>
      <c r="AJ42" s="213" t="str">
        <f>'Run Parameters'!B$3</f>
        <v>2019-04-26 18:00</v>
      </c>
      <c r="AK42" s="13" t="s">
        <v>396</v>
      </c>
      <c r="AL42" s="19" t="str">
        <f>"01159" &amp; D42</f>
        <v>011593556</v>
      </c>
      <c r="AM42" s="13" t="str">
        <f>("0115" &amp; D42)</f>
        <v>01153556</v>
      </c>
      <c r="AN42" s="15"/>
      <c r="AO42" s="15"/>
      <c r="AP42" s="13">
        <v>1</v>
      </c>
      <c r="AQ42" s="15" t="s">
        <v>49</v>
      </c>
      <c r="AR42" s="15"/>
      <c r="AS42" s="13"/>
      <c r="AT42" s="12"/>
      <c r="AU42" s="12"/>
      <c r="AV42" s="13">
        <f>D42</f>
        <v>3556</v>
      </c>
      <c r="AW42" s="13" t="s">
        <v>945</v>
      </c>
      <c r="AX42" s="13" t="s">
        <v>420</v>
      </c>
      <c r="AY42" s="13" t="s">
        <v>421</v>
      </c>
      <c r="AZ42" s="15" t="s">
        <v>334</v>
      </c>
      <c r="BA42" s="15" t="s">
        <v>154</v>
      </c>
      <c r="BB42" s="21">
        <v>1</v>
      </c>
      <c r="BC42" s="21">
        <f>D42</f>
        <v>3556</v>
      </c>
      <c r="BD42" s="17" t="s">
        <v>948</v>
      </c>
      <c r="BE42" s="17" t="s">
        <v>391</v>
      </c>
      <c r="BF42" s="17" t="s">
        <v>391</v>
      </c>
      <c r="BG42" s="21" t="s">
        <v>947</v>
      </c>
      <c r="BH42" s="21" t="str">
        <f>BC42&amp;"_"&amp;BB42</f>
        <v>3556_1</v>
      </c>
      <c r="BI42" s="21"/>
      <c r="BJ42" s="21" t="str">
        <f>"10000000" &amp; D42</f>
        <v>100000003556</v>
      </c>
      <c r="BK42" s="17" t="s">
        <v>51</v>
      </c>
      <c r="BL42" s="17" t="s">
        <v>54</v>
      </c>
      <c r="BM42" s="21" t="s">
        <v>741</v>
      </c>
      <c r="BN42" s="17" t="s">
        <v>51</v>
      </c>
      <c r="BO42" s="21" t="str">
        <f>"S05S" &amp; D42</f>
        <v>S05S3556</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DS_Pass-3556</v>
      </c>
      <c r="DO42" s="40"/>
      <c r="DP42" s="40"/>
      <c r="DQ42" s="40"/>
      <c r="DR42" s="41"/>
      <c r="DS42" s="41"/>
      <c r="DT42" s="40"/>
      <c r="DU42" s="40"/>
      <c r="DV42" s="40"/>
      <c r="DW42" s="41"/>
      <c r="DX42" s="40"/>
      <c r="DY42" s="40"/>
      <c r="DZ42" s="40" t="s">
        <v>409</v>
      </c>
      <c r="EA42" s="120"/>
      <c r="EB42" s="40"/>
      <c r="EC42" s="40"/>
      <c r="ED42" s="17"/>
      <c r="EE42" s="2"/>
      <c r="EF42" s="135"/>
    </row>
    <row r="43" spans="1:136" s="136" customFormat="1" x14ac:dyDescent="0.2">
      <c r="A43" s="209" t="s">
        <v>950</v>
      </c>
      <c r="B43" s="209" t="s">
        <v>868</v>
      </c>
      <c r="C43" s="209" t="s">
        <v>865</v>
      </c>
      <c r="D43" s="13">
        <f>'Run Parameters'!$B$1 + ROW()-1</f>
        <v>3557</v>
      </c>
      <c r="E43" s="15" t="s">
        <v>47</v>
      </c>
      <c r="F43" s="13" t="s">
        <v>947</v>
      </c>
      <c r="G43" s="13" t="str">
        <f t="shared" ref="G43:G53" si="56">("Access Dtls-" &amp; D43)</f>
        <v>Access Dtls-3557</v>
      </c>
      <c r="H43" s="15" t="s">
        <v>275</v>
      </c>
      <c r="I43" s="13" t="str">
        <f>("MR. Test_42_FLTY2_"&amp;D43&amp;"")</f>
        <v>MR. Test_42_FLTY2_3557</v>
      </c>
      <c r="J43" s="13"/>
      <c r="K43" s="19" t="s">
        <v>425</v>
      </c>
      <c r="L43" s="13" t="str">
        <f t="shared" ref="L43:L53" si="57">("Cust. Ref-" &amp; D43)</f>
        <v>Cust. Ref-3557</v>
      </c>
      <c r="M43" s="15" t="s">
        <v>48</v>
      </c>
      <c r="N43" s="15" t="s">
        <v>425</v>
      </c>
      <c r="O43" s="13"/>
      <c r="P43" s="13" t="str">
        <f t="shared" ref="P43:P53" si="58">("SN-" &amp; D43)</f>
        <v>SN-3557</v>
      </c>
      <c r="Q43" s="13" t="str">
        <f t="shared" ref="Q43:Q53" si="59">("SI-" &amp; D43)</f>
        <v>SI-3557</v>
      </c>
      <c r="R43" s="13" t="str">
        <f t="shared" ref="R43:R53" si="60">("SE-" &amp; D43)</f>
        <v>SE-3557</v>
      </c>
      <c r="S43" s="19" t="str">
        <f t="shared" ref="S43:S53" si="61">("Prev_RA-" &amp; D43)</f>
        <v>Prev_RA-3557</v>
      </c>
      <c r="T43" s="19" t="str">
        <f t="shared" ref="T43:T53" si="62">("Prev_Comms-" &amp; D43)</f>
        <v>Prev_Comms-3557</v>
      </c>
      <c r="U43" s="17" t="s">
        <v>75</v>
      </c>
      <c r="V43" s="15" t="s">
        <v>401</v>
      </c>
      <c r="W43" s="17" t="s">
        <v>75</v>
      </c>
      <c r="X43" s="15" t="s">
        <v>396</v>
      </c>
      <c r="Y43" s="13" t="str">
        <f t="shared" ref="Y43:Y53" si="63">("Forward Add-" &amp; D43)</f>
        <v>Forward Add-3557</v>
      </c>
      <c r="Z43" s="15" t="s">
        <v>401</v>
      </c>
      <c r="AA43" s="133" t="str">
        <f>'Run Parameters'!$B$2</f>
        <v>2019-04-26 08:00</v>
      </c>
      <c r="AB43" s="213" t="str">
        <f>'Run Parameters'!B$3</f>
        <v>2019-04-26 18:00</v>
      </c>
      <c r="AC43" s="26">
        <f>('Run Parameters'!$B$2) - 7</f>
        <v>43574.333333333336</v>
      </c>
      <c r="AD43" s="17" t="s">
        <v>75</v>
      </c>
      <c r="AE43" s="13" t="str">
        <f t="shared" ref="AE43:AE53" si="64">("LAST_METER-" &amp; D43)</f>
        <v>LAST_METER-3557</v>
      </c>
      <c r="AF43" s="133" t="str">
        <f>'Run Parameters'!$B$2</f>
        <v>2019-04-26 08:00</v>
      </c>
      <c r="AG43" s="13" t="str">
        <f>'Run Parameters'!B$4</f>
        <v>AUTOTEST2</v>
      </c>
      <c r="AH43" s="19" t="str">
        <f t="shared" ref="AH43:AH53" si="65">("Site_Contact_" &amp; D43)</f>
        <v>Site_Contact_3557</v>
      </c>
      <c r="AI43" s="133" t="str">
        <f>'Run Parameters'!B$2</f>
        <v>2019-04-26 08:00</v>
      </c>
      <c r="AJ43" s="213" t="str">
        <f>'Run Parameters'!B$3</f>
        <v>2019-04-26 18:00</v>
      </c>
      <c r="AK43" s="13" t="s">
        <v>396</v>
      </c>
      <c r="AL43" s="19" t="str">
        <f t="shared" ref="AL43:AL53" si="66">"01159" &amp; D43</f>
        <v>011593557</v>
      </c>
      <c r="AM43" s="13" t="str">
        <f t="shared" ref="AM43:AM53" si="67">("0115" &amp; D43)</f>
        <v>01153557</v>
      </c>
      <c r="AN43" s="15"/>
      <c r="AO43" s="15"/>
      <c r="AP43" s="13">
        <v>1</v>
      </c>
      <c r="AQ43" s="15" t="s">
        <v>49</v>
      </c>
      <c r="AR43" s="15"/>
      <c r="AS43" s="13"/>
      <c r="AT43" s="12"/>
      <c r="AU43" s="12"/>
      <c r="AV43" s="13">
        <f t="shared" ref="AV43:AV53" si="68">D43</f>
        <v>3557</v>
      </c>
      <c r="AW43" s="13" t="s">
        <v>945</v>
      </c>
      <c r="AX43" s="13" t="s">
        <v>420</v>
      </c>
      <c r="AY43" s="13" t="s">
        <v>421</v>
      </c>
      <c r="AZ43" s="15" t="s">
        <v>334</v>
      </c>
      <c r="BA43" s="15" t="s">
        <v>154</v>
      </c>
      <c r="BB43" s="21">
        <v>1</v>
      </c>
      <c r="BC43" s="21">
        <f t="shared" ref="BC43:BC53" si="69">D43</f>
        <v>3557</v>
      </c>
      <c r="BD43" s="17" t="s">
        <v>948</v>
      </c>
      <c r="BE43" s="17" t="s">
        <v>391</v>
      </c>
      <c r="BF43" s="17" t="s">
        <v>391</v>
      </c>
      <c r="BG43" s="21" t="s">
        <v>947</v>
      </c>
      <c r="BH43" s="21" t="str">
        <f t="shared" ref="BH43:BH53" si="70">BC43&amp;"_"&amp;BB43</f>
        <v>3557_1</v>
      </c>
      <c r="BI43" s="21"/>
      <c r="BJ43" s="21" t="str">
        <f t="shared" ref="BJ43:BJ53" si="71">"10000000" &amp; D43</f>
        <v>100000003557</v>
      </c>
      <c r="BK43" s="17" t="s">
        <v>51</v>
      </c>
      <c r="BL43" s="17" t="s">
        <v>54</v>
      </c>
      <c r="BM43" s="21" t="s">
        <v>741</v>
      </c>
      <c r="BN43" s="17" t="s">
        <v>51</v>
      </c>
      <c r="BO43" s="21" t="str">
        <f t="shared" ref="BO43:BO53" si="72">"S05S" &amp; D43</f>
        <v>S05S3557</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DS_Pass-3557</v>
      </c>
      <c r="DO43" s="40"/>
      <c r="DP43" s="40"/>
      <c r="DQ43" s="40"/>
      <c r="DR43" s="41"/>
      <c r="DS43" s="41"/>
      <c r="DT43" s="40"/>
      <c r="DU43" s="40"/>
      <c r="DV43" s="40"/>
      <c r="DW43" s="41"/>
      <c r="DX43" s="40"/>
      <c r="DY43" s="40"/>
      <c r="DZ43" s="40" t="s">
        <v>409</v>
      </c>
      <c r="EA43" s="120"/>
      <c r="EB43" s="40"/>
      <c r="EC43" s="40"/>
      <c r="ED43" s="17"/>
      <c r="EE43" s="2"/>
      <c r="EF43" s="135"/>
    </row>
    <row r="44" spans="1:136" s="136" customFormat="1" x14ac:dyDescent="0.2">
      <c r="A44" s="209" t="s">
        <v>951</v>
      </c>
      <c r="B44" s="209" t="s">
        <v>892</v>
      </c>
      <c r="C44" s="209" t="s">
        <v>865</v>
      </c>
      <c r="D44" s="13">
        <f>'Run Parameters'!$B$1 + ROW()-1</f>
        <v>3558</v>
      </c>
      <c r="E44" s="15" t="s">
        <v>47</v>
      </c>
      <c r="F44" s="13" t="s">
        <v>947</v>
      </c>
      <c r="G44" s="13" t="str">
        <f t="shared" si="56"/>
        <v>Access Dtls-3558</v>
      </c>
      <c r="H44" s="15" t="s">
        <v>275</v>
      </c>
      <c r="I44" s="13" t="str">
        <f>("MR. Test_43_FLTY2_"&amp;D44&amp;"")</f>
        <v>MR. Test_43_FLTY2_3558</v>
      </c>
      <c r="J44" s="13"/>
      <c r="K44" s="19" t="s">
        <v>425</v>
      </c>
      <c r="L44" s="13" t="str">
        <f t="shared" si="57"/>
        <v>Cust. Ref-3558</v>
      </c>
      <c r="M44" s="15" t="s">
        <v>48</v>
      </c>
      <c r="N44" s="15" t="s">
        <v>425</v>
      </c>
      <c r="O44" s="13"/>
      <c r="P44" s="13" t="str">
        <f t="shared" si="58"/>
        <v>SN-3558</v>
      </c>
      <c r="Q44" s="13" t="str">
        <f t="shared" si="59"/>
        <v>SI-3558</v>
      </c>
      <c r="R44" s="13" t="str">
        <f t="shared" si="60"/>
        <v>SE-3558</v>
      </c>
      <c r="S44" s="19" t="str">
        <f t="shared" si="61"/>
        <v>Prev_RA-3558</v>
      </c>
      <c r="T44" s="19" t="str">
        <f t="shared" si="62"/>
        <v>Prev_Comms-3558</v>
      </c>
      <c r="U44" s="17" t="s">
        <v>75</v>
      </c>
      <c r="V44" s="15" t="s">
        <v>401</v>
      </c>
      <c r="W44" s="17" t="s">
        <v>75</v>
      </c>
      <c r="X44" s="15" t="s">
        <v>396</v>
      </c>
      <c r="Y44" s="13" t="str">
        <f t="shared" si="63"/>
        <v>Forward Add-3558</v>
      </c>
      <c r="Z44" s="15" t="s">
        <v>401</v>
      </c>
      <c r="AA44" s="133" t="str">
        <f>'Run Parameters'!$B$2</f>
        <v>2019-04-26 08:00</v>
      </c>
      <c r="AB44" s="213" t="str">
        <f>'Run Parameters'!B$3</f>
        <v>2019-04-26 18:00</v>
      </c>
      <c r="AC44" s="26">
        <f>('Run Parameters'!$B$2) - 7</f>
        <v>43574.333333333336</v>
      </c>
      <c r="AD44" s="17" t="s">
        <v>75</v>
      </c>
      <c r="AE44" s="13" t="str">
        <f t="shared" si="64"/>
        <v>LAST_METER-3558</v>
      </c>
      <c r="AF44" s="133" t="str">
        <f>'Run Parameters'!$B$2</f>
        <v>2019-04-26 08:00</v>
      </c>
      <c r="AG44" s="13" t="str">
        <f>'Run Parameters'!B$4</f>
        <v>AUTOTEST2</v>
      </c>
      <c r="AH44" s="19" t="str">
        <f t="shared" si="65"/>
        <v>Site_Contact_3558</v>
      </c>
      <c r="AI44" s="133" t="str">
        <f>'Run Parameters'!B$2</f>
        <v>2019-04-26 08:00</v>
      </c>
      <c r="AJ44" s="213" t="str">
        <f>'Run Parameters'!B$3</f>
        <v>2019-04-26 18:00</v>
      </c>
      <c r="AK44" s="13" t="s">
        <v>396</v>
      </c>
      <c r="AL44" s="19" t="str">
        <f t="shared" si="66"/>
        <v>011593558</v>
      </c>
      <c r="AM44" s="13" t="str">
        <f t="shared" si="67"/>
        <v>01153558</v>
      </c>
      <c r="AN44" s="15"/>
      <c r="AO44" s="15"/>
      <c r="AP44" s="13">
        <v>1</v>
      </c>
      <c r="AQ44" s="15" t="s">
        <v>49</v>
      </c>
      <c r="AR44" s="15"/>
      <c r="AS44" s="13"/>
      <c r="AT44" s="12"/>
      <c r="AU44" s="12"/>
      <c r="AV44" s="13">
        <f t="shared" si="68"/>
        <v>3558</v>
      </c>
      <c r="AW44" s="13" t="s">
        <v>945</v>
      </c>
      <c r="AX44" s="13" t="s">
        <v>420</v>
      </c>
      <c r="AY44" s="13" t="s">
        <v>421</v>
      </c>
      <c r="AZ44" s="15" t="s">
        <v>334</v>
      </c>
      <c r="BA44" s="15" t="s">
        <v>154</v>
      </c>
      <c r="BB44" s="21">
        <v>1</v>
      </c>
      <c r="BC44" s="21">
        <f t="shared" si="69"/>
        <v>3558</v>
      </c>
      <c r="BD44" s="17" t="s">
        <v>948</v>
      </c>
      <c r="BE44" s="17" t="s">
        <v>391</v>
      </c>
      <c r="BF44" s="17" t="s">
        <v>391</v>
      </c>
      <c r="BG44" s="21" t="s">
        <v>947</v>
      </c>
      <c r="BH44" s="21" t="str">
        <f t="shared" si="70"/>
        <v>3558_1</v>
      </c>
      <c r="BI44" s="21"/>
      <c r="BJ44" s="21" t="str">
        <f t="shared" si="71"/>
        <v>100000003558</v>
      </c>
      <c r="BK44" s="17" t="s">
        <v>51</v>
      </c>
      <c r="BL44" s="17" t="s">
        <v>54</v>
      </c>
      <c r="BM44" s="21" t="s">
        <v>741</v>
      </c>
      <c r="BN44" s="17" t="s">
        <v>51</v>
      </c>
      <c r="BO44" s="21" t="str">
        <f t="shared" si="72"/>
        <v>S05S3558</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DS_Pass-3558</v>
      </c>
      <c r="DO44" s="40"/>
      <c r="DP44" s="40"/>
      <c r="DQ44" s="40"/>
      <c r="DR44" s="41"/>
      <c r="DS44" s="41"/>
      <c r="DT44" s="40"/>
      <c r="DU44" s="40"/>
      <c r="DV44" s="40"/>
      <c r="DW44" s="41"/>
      <c r="DX44" s="40"/>
      <c r="DY44" s="40"/>
      <c r="DZ44" s="40" t="s">
        <v>409</v>
      </c>
      <c r="EA44" s="120"/>
      <c r="EB44" s="40"/>
      <c r="EC44" s="40"/>
      <c r="ED44" s="17"/>
      <c r="EE44" s="2"/>
      <c r="EF44" s="135"/>
    </row>
    <row r="45" spans="1:136" s="136" customFormat="1" x14ac:dyDescent="0.2">
      <c r="A45" s="209" t="s">
        <v>952</v>
      </c>
      <c r="B45" s="209" t="s">
        <v>868</v>
      </c>
      <c r="C45" s="209" t="s">
        <v>865</v>
      </c>
      <c r="D45" s="13">
        <f>'Run Parameters'!$B$1 + ROW()-1</f>
        <v>3559</v>
      </c>
      <c r="E45" s="15" t="s">
        <v>47</v>
      </c>
      <c r="F45" s="13" t="s">
        <v>947</v>
      </c>
      <c r="G45" s="13" t="str">
        <f t="shared" si="56"/>
        <v>Access Dtls-3559</v>
      </c>
      <c r="H45" s="15" t="s">
        <v>275</v>
      </c>
      <c r="I45" s="13" t="str">
        <f>("MR. Test_44_FLTY2_"&amp;D45&amp;"")</f>
        <v>MR. Test_44_FLTY2_3559</v>
      </c>
      <c r="J45" s="13"/>
      <c r="K45" s="19" t="s">
        <v>425</v>
      </c>
      <c r="L45" s="13" t="str">
        <f t="shared" si="57"/>
        <v>Cust. Ref-3559</v>
      </c>
      <c r="M45" s="15" t="s">
        <v>48</v>
      </c>
      <c r="N45" s="15" t="s">
        <v>425</v>
      </c>
      <c r="O45" s="13"/>
      <c r="P45" s="13" t="str">
        <f t="shared" si="58"/>
        <v>SN-3559</v>
      </c>
      <c r="Q45" s="13" t="str">
        <f t="shared" si="59"/>
        <v>SI-3559</v>
      </c>
      <c r="R45" s="13" t="str">
        <f t="shared" si="60"/>
        <v>SE-3559</v>
      </c>
      <c r="S45" s="19" t="str">
        <f t="shared" si="61"/>
        <v>Prev_RA-3559</v>
      </c>
      <c r="T45" s="19" t="str">
        <f t="shared" si="62"/>
        <v>Prev_Comms-3559</v>
      </c>
      <c r="U45" s="17" t="s">
        <v>75</v>
      </c>
      <c r="V45" s="15" t="s">
        <v>401</v>
      </c>
      <c r="W45" s="17" t="s">
        <v>75</v>
      </c>
      <c r="X45" s="15" t="s">
        <v>396</v>
      </c>
      <c r="Y45" s="13" t="str">
        <f t="shared" si="63"/>
        <v>Forward Add-3559</v>
      </c>
      <c r="Z45" s="15" t="s">
        <v>401</v>
      </c>
      <c r="AA45" s="133" t="str">
        <f>'Run Parameters'!$B$2</f>
        <v>2019-04-26 08:00</v>
      </c>
      <c r="AB45" s="213" t="str">
        <f>'Run Parameters'!B$3</f>
        <v>2019-04-26 18:00</v>
      </c>
      <c r="AC45" s="26">
        <f>('Run Parameters'!$B$2) - 7</f>
        <v>43574.333333333336</v>
      </c>
      <c r="AD45" s="17" t="s">
        <v>75</v>
      </c>
      <c r="AE45" s="13" t="str">
        <f t="shared" si="64"/>
        <v>LAST_METER-3559</v>
      </c>
      <c r="AF45" s="133" t="str">
        <f>'Run Parameters'!$B$2</f>
        <v>2019-04-26 08:00</v>
      </c>
      <c r="AG45" s="13" t="str">
        <f>'Run Parameters'!B$4</f>
        <v>AUTOTEST2</v>
      </c>
      <c r="AH45" s="19" t="str">
        <f t="shared" si="65"/>
        <v>Site_Contact_3559</v>
      </c>
      <c r="AI45" s="133" t="str">
        <f>'Run Parameters'!B$2</f>
        <v>2019-04-26 08:00</v>
      </c>
      <c r="AJ45" s="213" t="str">
        <f>'Run Parameters'!B$3</f>
        <v>2019-04-26 18:00</v>
      </c>
      <c r="AK45" s="13" t="s">
        <v>396</v>
      </c>
      <c r="AL45" s="19" t="str">
        <f t="shared" si="66"/>
        <v>011593559</v>
      </c>
      <c r="AM45" s="13" t="str">
        <f t="shared" si="67"/>
        <v>01153559</v>
      </c>
      <c r="AN45" s="15"/>
      <c r="AO45" s="15"/>
      <c r="AP45" s="13">
        <v>1</v>
      </c>
      <c r="AQ45" s="15" t="s">
        <v>49</v>
      </c>
      <c r="AR45" s="15"/>
      <c r="AS45" s="13"/>
      <c r="AT45" s="12"/>
      <c r="AU45" s="12"/>
      <c r="AV45" s="13">
        <f t="shared" si="68"/>
        <v>3559</v>
      </c>
      <c r="AW45" s="13" t="s">
        <v>945</v>
      </c>
      <c r="AX45" s="13" t="s">
        <v>420</v>
      </c>
      <c r="AY45" s="13" t="s">
        <v>421</v>
      </c>
      <c r="AZ45" s="15" t="s">
        <v>334</v>
      </c>
      <c r="BA45" s="15" t="s">
        <v>154</v>
      </c>
      <c r="BB45" s="21">
        <v>1</v>
      </c>
      <c r="BC45" s="21">
        <f t="shared" si="69"/>
        <v>3559</v>
      </c>
      <c r="BD45" s="17" t="s">
        <v>948</v>
      </c>
      <c r="BE45" s="17" t="s">
        <v>391</v>
      </c>
      <c r="BF45" s="17" t="s">
        <v>391</v>
      </c>
      <c r="BG45" s="21" t="s">
        <v>947</v>
      </c>
      <c r="BH45" s="21" t="str">
        <f t="shared" si="70"/>
        <v>3559_1</v>
      </c>
      <c r="BI45" s="21"/>
      <c r="BJ45" s="21" t="str">
        <f t="shared" si="71"/>
        <v>100000003559</v>
      </c>
      <c r="BK45" s="17" t="s">
        <v>51</v>
      </c>
      <c r="BL45" s="17" t="s">
        <v>54</v>
      </c>
      <c r="BM45" s="21" t="s">
        <v>741</v>
      </c>
      <c r="BN45" s="17" t="s">
        <v>51</v>
      </c>
      <c r="BO45" s="21" t="str">
        <f t="shared" si="72"/>
        <v>S05S3559</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DS_Pass-3559</v>
      </c>
      <c r="DO45" s="40"/>
      <c r="DP45" s="40"/>
      <c r="DQ45" s="40"/>
      <c r="DR45" s="41"/>
      <c r="DS45" s="41"/>
      <c r="DT45" s="40"/>
      <c r="DU45" s="40"/>
      <c r="DV45" s="40"/>
      <c r="DW45" s="41"/>
      <c r="DX45" s="40"/>
      <c r="DY45" s="40"/>
      <c r="DZ45" s="40" t="s">
        <v>409</v>
      </c>
      <c r="EA45" s="120"/>
      <c r="EB45" s="40"/>
      <c r="EC45" s="40"/>
      <c r="ED45" s="17"/>
      <c r="EE45" s="2"/>
      <c r="EF45" s="135"/>
    </row>
    <row r="46" spans="1:136" s="136" customFormat="1" x14ac:dyDescent="0.2">
      <c r="A46" s="209" t="s">
        <v>953</v>
      </c>
      <c r="B46" s="209" t="s">
        <v>892</v>
      </c>
      <c r="C46" s="209" t="s">
        <v>865</v>
      </c>
      <c r="D46" s="13">
        <f>'Run Parameters'!$B$1 + ROW()-1</f>
        <v>3560</v>
      </c>
      <c r="E46" s="15" t="s">
        <v>47</v>
      </c>
      <c r="F46" s="13" t="s">
        <v>947</v>
      </c>
      <c r="G46" s="13" t="str">
        <f t="shared" si="56"/>
        <v>Access Dtls-3560</v>
      </c>
      <c r="H46" s="15" t="s">
        <v>275</v>
      </c>
      <c r="I46" s="13" t="str">
        <f>("MR. Test_45_FLTY2_"&amp;D46&amp;"")</f>
        <v>MR. Test_45_FLTY2_3560</v>
      </c>
      <c r="J46" s="13"/>
      <c r="K46" s="19" t="s">
        <v>425</v>
      </c>
      <c r="L46" s="13" t="str">
        <f t="shared" si="57"/>
        <v>Cust. Ref-3560</v>
      </c>
      <c r="M46" s="15" t="s">
        <v>48</v>
      </c>
      <c r="N46" s="15" t="s">
        <v>425</v>
      </c>
      <c r="O46" s="13"/>
      <c r="P46" s="13" t="str">
        <f t="shared" si="58"/>
        <v>SN-3560</v>
      </c>
      <c r="Q46" s="13" t="str">
        <f t="shared" si="59"/>
        <v>SI-3560</v>
      </c>
      <c r="R46" s="13" t="str">
        <f t="shared" si="60"/>
        <v>SE-3560</v>
      </c>
      <c r="S46" s="19" t="str">
        <f t="shared" si="61"/>
        <v>Prev_RA-3560</v>
      </c>
      <c r="T46" s="19" t="str">
        <f t="shared" si="62"/>
        <v>Prev_Comms-3560</v>
      </c>
      <c r="U46" s="17" t="s">
        <v>75</v>
      </c>
      <c r="V46" s="15" t="s">
        <v>401</v>
      </c>
      <c r="W46" s="17" t="s">
        <v>75</v>
      </c>
      <c r="X46" s="15" t="s">
        <v>396</v>
      </c>
      <c r="Y46" s="13" t="str">
        <f t="shared" si="63"/>
        <v>Forward Add-3560</v>
      </c>
      <c r="Z46" s="15" t="s">
        <v>401</v>
      </c>
      <c r="AA46" s="133" t="str">
        <f>'Run Parameters'!$B$2</f>
        <v>2019-04-26 08:00</v>
      </c>
      <c r="AB46" s="213" t="str">
        <f>'Run Parameters'!B$3</f>
        <v>2019-04-26 18:00</v>
      </c>
      <c r="AC46" s="26">
        <f>('Run Parameters'!$B$2) - 7</f>
        <v>43574.333333333336</v>
      </c>
      <c r="AD46" s="17" t="s">
        <v>75</v>
      </c>
      <c r="AE46" s="13" t="str">
        <f t="shared" si="64"/>
        <v>LAST_METER-3560</v>
      </c>
      <c r="AF46" s="133" t="str">
        <f>'Run Parameters'!$B$2</f>
        <v>2019-04-26 08:00</v>
      </c>
      <c r="AG46" s="13" t="str">
        <f>'Run Parameters'!B$4</f>
        <v>AUTOTEST2</v>
      </c>
      <c r="AH46" s="19" t="str">
        <f t="shared" si="65"/>
        <v>Site_Contact_3560</v>
      </c>
      <c r="AI46" s="133" t="str">
        <f>'Run Parameters'!B$2</f>
        <v>2019-04-26 08:00</v>
      </c>
      <c r="AJ46" s="213" t="str">
        <f>'Run Parameters'!B$3</f>
        <v>2019-04-26 18:00</v>
      </c>
      <c r="AK46" s="13" t="s">
        <v>396</v>
      </c>
      <c r="AL46" s="19" t="str">
        <f t="shared" si="66"/>
        <v>011593560</v>
      </c>
      <c r="AM46" s="13" t="str">
        <f t="shared" si="67"/>
        <v>01153560</v>
      </c>
      <c r="AN46" s="15"/>
      <c r="AO46" s="15"/>
      <c r="AP46" s="13">
        <v>1</v>
      </c>
      <c r="AQ46" s="15" t="s">
        <v>49</v>
      </c>
      <c r="AR46" s="15"/>
      <c r="AS46" s="13"/>
      <c r="AT46" s="12"/>
      <c r="AU46" s="12"/>
      <c r="AV46" s="13">
        <f t="shared" si="68"/>
        <v>3560</v>
      </c>
      <c r="AW46" s="13" t="s">
        <v>945</v>
      </c>
      <c r="AX46" s="13" t="s">
        <v>420</v>
      </c>
      <c r="AY46" s="13" t="s">
        <v>421</v>
      </c>
      <c r="AZ46" s="15" t="s">
        <v>334</v>
      </c>
      <c r="BA46" s="15" t="s">
        <v>154</v>
      </c>
      <c r="BB46" s="21">
        <v>1</v>
      </c>
      <c r="BC46" s="21">
        <f t="shared" si="69"/>
        <v>3560</v>
      </c>
      <c r="BD46" s="17" t="s">
        <v>948</v>
      </c>
      <c r="BE46" s="17" t="s">
        <v>391</v>
      </c>
      <c r="BF46" s="17" t="s">
        <v>391</v>
      </c>
      <c r="BG46" s="21" t="s">
        <v>947</v>
      </c>
      <c r="BH46" s="21" t="str">
        <f t="shared" si="70"/>
        <v>3560_1</v>
      </c>
      <c r="BI46" s="21"/>
      <c r="BJ46" s="21" t="str">
        <f t="shared" si="71"/>
        <v>100000003560</v>
      </c>
      <c r="BK46" s="17" t="s">
        <v>51</v>
      </c>
      <c r="BL46" s="17" t="s">
        <v>54</v>
      </c>
      <c r="BM46" s="21" t="s">
        <v>741</v>
      </c>
      <c r="BN46" s="17" t="s">
        <v>51</v>
      </c>
      <c r="BO46" s="21" t="str">
        <f t="shared" si="72"/>
        <v>S05S3560</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DS_Pass-3560</v>
      </c>
      <c r="DO46" s="40"/>
      <c r="DP46" s="40"/>
      <c r="DQ46" s="40"/>
      <c r="DR46" s="41"/>
      <c r="DS46" s="41"/>
      <c r="DT46" s="40"/>
      <c r="DU46" s="40"/>
      <c r="DV46" s="40"/>
      <c r="DW46" s="41"/>
      <c r="DX46" s="40"/>
      <c r="DY46" s="40"/>
      <c r="DZ46" s="40" t="s">
        <v>409</v>
      </c>
      <c r="EA46" s="120"/>
      <c r="EB46" s="40"/>
      <c r="EC46" s="40"/>
      <c r="ED46" s="17"/>
      <c r="EE46" s="2"/>
      <c r="EF46" s="135"/>
    </row>
    <row r="47" spans="1:136" s="136" customFormat="1" x14ac:dyDescent="0.2">
      <c r="A47" s="209" t="s">
        <v>956</v>
      </c>
      <c r="B47" s="209" t="s">
        <v>868</v>
      </c>
      <c r="C47" s="209" t="s">
        <v>865</v>
      </c>
      <c r="D47" s="13">
        <f>'Run Parameters'!$B$1 + ROW()-1</f>
        <v>3561</v>
      </c>
      <c r="E47" s="15" t="s">
        <v>47</v>
      </c>
      <c r="F47" s="13" t="s">
        <v>947</v>
      </c>
      <c r="G47" s="13" t="str">
        <f t="shared" si="56"/>
        <v>Access Dtls-3561</v>
      </c>
      <c r="H47" s="15" t="s">
        <v>275</v>
      </c>
      <c r="I47" s="13" t="str">
        <f>("MR. Test_46_FLTY2_"&amp;D47&amp;"")</f>
        <v>MR. Test_46_FLTY2_3561</v>
      </c>
      <c r="J47" s="13"/>
      <c r="K47" s="19" t="s">
        <v>425</v>
      </c>
      <c r="L47" s="13" t="str">
        <f t="shared" si="57"/>
        <v>Cust. Ref-3561</v>
      </c>
      <c r="M47" s="15" t="s">
        <v>48</v>
      </c>
      <c r="N47" s="15" t="s">
        <v>425</v>
      </c>
      <c r="O47" s="13"/>
      <c r="P47" s="13" t="str">
        <f t="shared" si="58"/>
        <v>SN-3561</v>
      </c>
      <c r="Q47" s="13" t="str">
        <f t="shared" si="59"/>
        <v>SI-3561</v>
      </c>
      <c r="R47" s="13" t="str">
        <f t="shared" si="60"/>
        <v>SE-3561</v>
      </c>
      <c r="S47" s="19" t="str">
        <f t="shared" si="61"/>
        <v>Prev_RA-3561</v>
      </c>
      <c r="T47" s="19" t="str">
        <f t="shared" si="62"/>
        <v>Prev_Comms-3561</v>
      </c>
      <c r="U47" s="17" t="s">
        <v>75</v>
      </c>
      <c r="V47" s="15" t="s">
        <v>401</v>
      </c>
      <c r="W47" s="17" t="s">
        <v>75</v>
      </c>
      <c r="X47" s="15" t="s">
        <v>396</v>
      </c>
      <c r="Y47" s="13" t="str">
        <f t="shared" si="63"/>
        <v>Forward Add-3561</v>
      </c>
      <c r="Z47" s="15" t="s">
        <v>401</v>
      </c>
      <c r="AA47" s="133" t="str">
        <f>'Run Parameters'!$B$2</f>
        <v>2019-04-26 08:00</v>
      </c>
      <c r="AB47" s="213" t="str">
        <f>'Run Parameters'!B$3</f>
        <v>2019-04-26 18:00</v>
      </c>
      <c r="AC47" s="26">
        <f>('Run Parameters'!$B$2) - 7</f>
        <v>43574.333333333336</v>
      </c>
      <c r="AD47" s="17" t="s">
        <v>75</v>
      </c>
      <c r="AE47" s="13" t="str">
        <f t="shared" si="64"/>
        <v>LAST_METER-3561</v>
      </c>
      <c r="AF47" s="133" t="str">
        <f>'Run Parameters'!$B$2</f>
        <v>2019-04-26 08:00</v>
      </c>
      <c r="AG47" s="13" t="str">
        <f>'Run Parameters'!B$4</f>
        <v>AUTOTEST2</v>
      </c>
      <c r="AH47" s="19" t="str">
        <f t="shared" si="65"/>
        <v>Site_Contact_3561</v>
      </c>
      <c r="AI47" s="133" t="str">
        <f>'Run Parameters'!B$2</f>
        <v>2019-04-26 08:00</v>
      </c>
      <c r="AJ47" s="213" t="str">
        <f>'Run Parameters'!B$3</f>
        <v>2019-04-26 18:00</v>
      </c>
      <c r="AK47" s="13" t="s">
        <v>396</v>
      </c>
      <c r="AL47" s="19" t="str">
        <f t="shared" si="66"/>
        <v>011593561</v>
      </c>
      <c r="AM47" s="13" t="str">
        <f t="shared" si="67"/>
        <v>01153561</v>
      </c>
      <c r="AN47" s="15"/>
      <c r="AO47" s="15"/>
      <c r="AP47" s="13">
        <v>1</v>
      </c>
      <c r="AQ47" s="15" t="s">
        <v>49</v>
      </c>
      <c r="AR47" s="15"/>
      <c r="AS47" s="13"/>
      <c r="AT47" s="12"/>
      <c r="AU47" s="12"/>
      <c r="AV47" s="13">
        <f t="shared" si="68"/>
        <v>3561</v>
      </c>
      <c r="AW47" s="13" t="s">
        <v>945</v>
      </c>
      <c r="AX47" s="13" t="s">
        <v>420</v>
      </c>
      <c r="AY47" s="13" t="s">
        <v>421</v>
      </c>
      <c r="AZ47" s="15" t="s">
        <v>334</v>
      </c>
      <c r="BA47" s="15" t="s">
        <v>154</v>
      </c>
      <c r="BB47" s="21">
        <v>1</v>
      </c>
      <c r="BC47" s="21">
        <f t="shared" si="69"/>
        <v>3561</v>
      </c>
      <c r="BD47" s="17" t="s">
        <v>948</v>
      </c>
      <c r="BE47" s="17" t="s">
        <v>391</v>
      </c>
      <c r="BF47" s="17" t="s">
        <v>391</v>
      </c>
      <c r="BG47" s="21" t="s">
        <v>947</v>
      </c>
      <c r="BH47" s="21" t="str">
        <f t="shared" si="70"/>
        <v>3561_1</v>
      </c>
      <c r="BI47" s="21"/>
      <c r="BJ47" s="21" t="str">
        <f t="shared" si="71"/>
        <v>100000003561</v>
      </c>
      <c r="BK47" s="17" t="s">
        <v>51</v>
      </c>
      <c r="BL47" s="17" t="s">
        <v>54</v>
      </c>
      <c r="BM47" s="21" t="s">
        <v>741</v>
      </c>
      <c r="BN47" s="17" t="s">
        <v>51</v>
      </c>
      <c r="BO47" s="21" t="str">
        <f t="shared" si="72"/>
        <v>S05S3561</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DS_Pass-3561</v>
      </c>
      <c r="DO47" s="40"/>
      <c r="DP47" s="40"/>
      <c r="DQ47" s="40"/>
      <c r="DR47" s="41"/>
      <c r="DS47" s="41"/>
      <c r="DT47" s="40"/>
      <c r="DU47" s="40"/>
      <c r="DV47" s="40"/>
      <c r="DW47" s="41"/>
      <c r="DX47" s="40"/>
      <c r="DY47" s="40"/>
      <c r="DZ47" s="40" t="s">
        <v>409</v>
      </c>
      <c r="EA47" s="120"/>
      <c r="EB47" s="40"/>
      <c r="EC47" s="40"/>
      <c r="ED47" s="17"/>
      <c r="EE47" s="2"/>
      <c r="EF47" s="135"/>
    </row>
    <row r="48" spans="1:136" s="136" customFormat="1" x14ac:dyDescent="0.2">
      <c r="A48" s="209" t="s">
        <v>954</v>
      </c>
      <c r="B48" s="209" t="s">
        <v>892</v>
      </c>
      <c r="C48" s="209" t="s">
        <v>865</v>
      </c>
      <c r="D48" s="13">
        <f>'Run Parameters'!$B$1 + ROW()-1</f>
        <v>3562</v>
      </c>
      <c r="E48" s="15" t="s">
        <v>47</v>
      </c>
      <c r="F48" s="13" t="s">
        <v>947</v>
      </c>
      <c r="G48" s="13" t="str">
        <f t="shared" si="56"/>
        <v>Access Dtls-3562</v>
      </c>
      <c r="H48" s="15" t="s">
        <v>275</v>
      </c>
      <c r="I48" s="13" t="str">
        <f>("MR. Test_47_FLTY2_"&amp;D48&amp;"")</f>
        <v>MR. Test_47_FLTY2_3562</v>
      </c>
      <c r="J48" s="13"/>
      <c r="K48" s="19" t="s">
        <v>425</v>
      </c>
      <c r="L48" s="13" t="str">
        <f t="shared" si="57"/>
        <v>Cust. Ref-3562</v>
      </c>
      <c r="M48" s="15" t="s">
        <v>48</v>
      </c>
      <c r="N48" s="15" t="s">
        <v>425</v>
      </c>
      <c r="O48" s="13"/>
      <c r="P48" s="13" t="str">
        <f t="shared" si="58"/>
        <v>SN-3562</v>
      </c>
      <c r="Q48" s="13" t="str">
        <f t="shared" si="59"/>
        <v>SI-3562</v>
      </c>
      <c r="R48" s="13" t="str">
        <f t="shared" si="60"/>
        <v>SE-3562</v>
      </c>
      <c r="S48" s="19" t="str">
        <f t="shared" si="61"/>
        <v>Prev_RA-3562</v>
      </c>
      <c r="T48" s="19" t="str">
        <f t="shared" si="62"/>
        <v>Prev_Comms-3562</v>
      </c>
      <c r="U48" s="17" t="s">
        <v>75</v>
      </c>
      <c r="V48" s="15" t="s">
        <v>401</v>
      </c>
      <c r="W48" s="17" t="s">
        <v>75</v>
      </c>
      <c r="X48" s="15" t="s">
        <v>396</v>
      </c>
      <c r="Y48" s="13" t="str">
        <f t="shared" si="63"/>
        <v>Forward Add-3562</v>
      </c>
      <c r="Z48" s="15" t="s">
        <v>401</v>
      </c>
      <c r="AA48" s="133" t="str">
        <f>'Run Parameters'!$B$2</f>
        <v>2019-04-26 08:00</v>
      </c>
      <c r="AB48" s="213" t="str">
        <f>'Run Parameters'!B$3</f>
        <v>2019-04-26 18:00</v>
      </c>
      <c r="AC48" s="26">
        <f>('Run Parameters'!$B$2) - 7</f>
        <v>43574.333333333336</v>
      </c>
      <c r="AD48" s="17" t="s">
        <v>75</v>
      </c>
      <c r="AE48" s="13" t="str">
        <f t="shared" si="64"/>
        <v>LAST_METER-3562</v>
      </c>
      <c r="AF48" s="133" t="str">
        <f>'Run Parameters'!$B$2</f>
        <v>2019-04-26 08:00</v>
      </c>
      <c r="AG48" s="13" t="str">
        <f>'Run Parameters'!B$4</f>
        <v>AUTOTEST2</v>
      </c>
      <c r="AH48" s="19" t="str">
        <f t="shared" si="65"/>
        <v>Site_Contact_3562</v>
      </c>
      <c r="AI48" s="133" t="str">
        <f>'Run Parameters'!B$2</f>
        <v>2019-04-26 08:00</v>
      </c>
      <c r="AJ48" s="213" t="str">
        <f>'Run Parameters'!B$3</f>
        <v>2019-04-26 18:00</v>
      </c>
      <c r="AK48" s="13" t="s">
        <v>396</v>
      </c>
      <c r="AL48" s="19" t="str">
        <f t="shared" si="66"/>
        <v>011593562</v>
      </c>
      <c r="AM48" s="13" t="str">
        <f t="shared" si="67"/>
        <v>01153562</v>
      </c>
      <c r="AN48" s="15"/>
      <c r="AO48" s="15"/>
      <c r="AP48" s="13">
        <v>1</v>
      </c>
      <c r="AQ48" s="15" t="s">
        <v>49</v>
      </c>
      <c r="AR48" s="15"/>
      <c r="AS48" s="13"/>
      <c r="AT48" s="12"/>
      <c r="AU48" s="12"/>
      <c r="AV48" s="13">
        <f t="shared" si="68"/>
        <v>3562</v>
      </c>
      <c r="AW48" s="13" t="s">
        <v>945</v>
      </c>
      <c r="AX48" s="13" t="s">
        <v>420</v>
      </c>
      <c r="AY48" s="13" t="s">
        <v>421</v>
      </c>
      <c r="AZ48" s="15" t="s">
        <v>334</v>
      </c>
      <c r="BA48" s="15" t="s">
        <v>154</v>
      </c>
      <c r="BB48" s="21">
        <v>1</v>
      </c>
      <c r="BC48" s="21">
        <f t="shared" si="69"/>
        <v>3562</v>
      </c>
      <c r="BD48" s="17" t="s">
        <v>948</v>
      </c>
      <c r="BE48" s="17" t="s">
        <v>391</v>
      </c>
      <c r="BF48" s="17" t="s">
        <v>391</v>
      </c>
      <c r="BG48" s="21" t="s">
        <v>947</v>
      </c>
      <c r="BH48" s="21" t="str">
        <f t="shared" si="70"/>
        <v>3562_1</v>
      </c>
      <c r="BI48" s="21"/>
      <c r="BJ48" s="21" t="str">
        <f t="shared" si="71"/>
        <v>100000003562</v>
      </c>
      <c r="BK48" s="17" t="s">
        <v>51</v>
      </c>
      <c r="BL48" s="17" t="s">
        <v>54</v>
      </c>
      <c r="BM48" s="21" t="s">
        <v>741</v>
      </c>
      <c r="BN48" s="17" t="s">
        <v>51</v>
      </c>
      <c r="BO48" s="21" t="str">
        <f t="shared" si="72"/>
        <v>S05S3562</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DS_Pass-3562</v>
      </c>
      <c r="DO48" s="40"/>
      <c r="DP48" s="40"/>
      <c r="DQ48" s="40"/>
      <c r="DR48" s="41"/>
      <c r="DS48" s="41"/>
      <c r="DT48" s="40"/>
      <c r="DU48" s="40"/>
      <c r="DV48" s="40"/>
      <c r="DW48" s="41"/>
      <c r="DX48" s="40"/>
      <c r="DY48" s="40"/>
      <c r="DZ48" s="40" t="s">
        <v>409</v>
      </c>
      <c r="EA48" s="120"/>
      <c r="EB48" s="40"/>
      <c r="EC48" s="40"/>
      <c r="ED48" s="17"/>
      <c r="EE48" s="2"/>
      <c r="EF48" s="135"/>
    </row>
    <row r="49" spans="1:136" s="136" customFormat="1" x14ac:dyDescent="0.2">
      <c r="A49" s="209" t="s">
        <v>955</v>
      </c>
      <c r="B49" s="209" t="s">
        <v>868</v>
      </c>
      <c r="C49" s="209" t="s">
        <v>865</v>
      </c>
      <c r="D49" s="13">
        <f>'Run Parameters'!$B$1 + ROW()-1</f>
        <v>3563</v>
      </c>
      <c r="E49" s="15" t="s">
        <v>47</v>
      </c>
      <c r="F49" s="13" t="s">
        <v>947</v>
      </c>
      <c r="G49" s="13" t="str">
        <f t="shared" si="56"/>
        <v>Access Dtls-3563</v>
      </c>
      <c r="H49" s="15" t="s">
        <v>275</v>
      </c>
      <c r="I49" s="13" t="str">
        <f>("MR. Test_48_FLTY2_"&amp;D49&amp;"")</f>
        <v>MR. Test_48_FLTY2_3563</v>
      </c>
      <c r="J49" s="13"/>
      <c r="K49" s="19" t="s">
        <v>425</v>
      </c>
      <c r="L49" s="13" t="str">
        <f t="shared" si="57"/>
        <v>Cust. Ref-3563</v>
      </c>
      <c r="M49" s="15" t="s">
        <v>48</v>
      </c>
      <c r="N49" s="15" t="s">
        <v>425</v>
      </c>
      <c r="O49" s="13"/>
      <c r="P49" s="13" t="str">
        <f t="shared" si="58"/>
        <v>SN-3563</v>
      </c>
      <c r="Q49" s="13" t="str">
        <f t="shared" si="59"/>
        <v>SI-3563</v>
      </c>
      <c r="R49" s="13" t="str">
        <f t="shared" si="60"/>
        <v>SE-3563</v>
      </c>
      <c r="S49" s="19" t="str">
        <f t="shared" si="61"/>
        <v>Prev_RA-3563</v>
      </c>
      <c r="T49" s="19" t="str">
        <f t="shared" si="62"/>
        <v>Prev_Comms-3563</v>
      </c>
      <c r="U49" s="17" t="s">
        <v>75</v>
      </c>
      <c r="V49" s="15" t="s">
        <v>401</v>
      </c>
      <c r="W49" s="17" t="s">
        <v>75</v>
      </c>
      <c r="X49" s="15" t="s">
        <v>396</v>
      </c>
      <c r="Y49" s="13" t="str">
        <f t="shared" si="63"/>
        <v>Forward Add-3563</v>
      </c>
      <c r="Z49" s="15" t="s">
        <v>401</v>
      </c>
      <c r="AA49" s="133" t="str">
        <f>'Run Parameters'!$B$2</f>
        <v>2019-04-26 08:00</v>
      </c>
      <c r="AB49" s="213" t="str">
        <f>'Run Parameters'!B$3</f>
        <v>2019-04-26 18:00</v>
      </c>
      <c r="AC49" s="26">
        <f>('Run Parameters'!$B$2) - 7</f>
        <v>43574.333333333336</v>
      </c>
      <c r="AD49" s="17" t="s">
        <v>75</v>
      </c>
      <c r="AE49" s="13" t="str">
        <f t="shared" si="64"/>
        <v>LAST_METER-3563</v>
      </c>
      <c r="AF49" s="133" t="str">
        <f>'Run Parameters'!$B$2</f>
        <v>2019-04-26 08:00</v>
      </c>
      <c r="AG49" s="13" t="str">
        <f>'Run Parameters'!B$4</f>
        <v>AUTOTEST2</v>
      </c>
      <c r="AH49" s="19" t="str">
        <f t="shared" si="65"/>
        <v>Site_Contact_3563</v>
      </c>
      <c r="AI49" s="133" t="str">
        <f>'Run Parameters'!B$2</f>
        <v>2019-04-26 08:00</v>
      </c>
      <c r="AJ49" s="213" t="str">
        <f>'Run Parameters'!B$3</f>
        <v>2019-04-26 18:00</v>
      </c>
      <c r="AK49" s="13" t="s">
        <v>396</v>
      </c>
      <c r="AL49" s="19" t="str">
        <f t="shared" si="66"/>
        <v>011593563</v>
      </c>
      <c r="AM49" s="13" t="str">
        <f t="shared" si="67"/>
        <v>01153563</v>
      </c>
      <c r="AN49" s="15"/>
      <c r="AO49" s="15"/>
      <c r="AP49" s="13">
        <v>1</v>
      </c>
      <c r="AQ49" s="15" t="s">
        <v>49</v>
      </c>
      <c r="AR49" s="15"/>
      <c r="AS49" s="13"/>
      <c r="AT49" s="12"/>
      <c r="AU49" s="12"/>
      <c r="AV49" s="13">
        <f t="shared" si="68"/>
        <v>3563</v>
      </c>
      <c r="AW49" s="13" t="s">
        <v>945</v>
      </c>
      <c r="AX49" s="13" t="s">
        <v>420</v>
      </c>
      <c r="AY49" s="13" t="s">
        <v>421</v>
      </c>
      <c r="AZ49" s="15" t="s">
        <v>334</v>
      </c>
      <c r="BA49" s="15" t="s">
        <v>154</v>
      </c>
      <c r="BB49" s="21">
        <v>1</v>
      </c>
      <c r="BC49" s="21">
        <f t="shared" si="69"/>
        <v>3563</v>
      </c>
      <c r="BD49" s="17" t="s">
        <v>948</v>
      </c>
      <c r="BE49" s="17" t="s">
        <v>391</v>
      </c>
      <c r="BF49" s="17" t="s">
        <v>391</v>
      </c>
      <c r="BG49" s="21" t="s">
        <v>947</v>
      </c>
      <c r="BH49" s="21" t="str">
        <f t="shared" si="70"/>
        <v>3563_1</v>
      </c>
      <c r="BI49" s="21"/>
      <c r="BJ49" s="21" t="str">
        <f t="shared" si="71"/>
        <v>100000003563</v>
      </c>
      <c r="BK49" s="17" t="s">
        <v>51</v>
      </c>
      <c r="BL49" s="17" t="s">
        <v>54</v>
      </c>
      <c r="BM49" s="21" t="s">
        <v>741</v>
      </c>
      <c r="BN49" s="17" t="s">
        <v>51</v>
      </c>
      <c r="BO49" s="21" t="str">
        <f t="shared" si="72"/>
        <v>S05S3563</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DS_Pass-3563</v>
      </c>
      <c r="DO49" s="40"/>
      <c r="DP49" s="40"/>
      <c r="DQ49" s="40"/>
      <c r="DR49" s="41"/>
      <c r="DS49" s="41"/>
      <c r="DT49" s="40"/>
      <c r="DU49" s="40"/>
      <c r="DV49" s="40"/>
      <c r="DW49" s="41"/>
      <c r="DX49" s="40"/>
      <c r="DY49" s="40"/>
      <c r="DZ49" s="40" t="s">
        <v>409</v>
      </c>
      <c r="EA49" s="120"/>
      <c r="EB49" s="40"/>
      <c r="EC49" s="40"/>
      <c r="ED49" s="17"/>
      <c r="EE49" s="2"/>
      <c r="EF49" s="135"/>
    </row>
    <row r="50" spans="1:136" s="136" customFormat="1" x14ac:dyDescent="0.2">
      <c r="A50" s="209" t="s">
        <v>957</v>
      </c>
      <c r="B50" s="209" t="s">
        <v>892</v>
      </c>
      <c r="C50" s="209" t="s">
        <v>865</v>
      </c>
      <c r="D50" s="13">
        <f>'Run Parameters'!$B$1 + ROW()-1</f>
        <v>3564</v>
      </c>
      <c r="E50" s="15" t="s">
        <v>47</v>
      </c>
      <c r="F50" s="13" t="s">
        <v>947</v>
      </c>
      <c r="G50" s="13" t="str">
        <f t="shared" si="56"/>
        <v>Access Dtls-3564</v>
      </c>
      <c r="H50" s="15" t="s">
        <v>275</v>
      </c>
      <c r="I50" s="13" t="str">
        <f>("MR. Test_49_FLTY2_"&amp;D50&amp;"")</f>
        <v>MR. Test_49_FLTY2_3564</v>
      </c>
      <c r="J50" s="13"/>
      <c r="K50" s="19" t="s">
        <v>425</v>
      </c>
      <c r="L50" s="13" t="str">
        <f t="shared" si="57"/>
        <v>Cust. Ref-3564</v>
      </c>
      <c r="M50" s="15" t="s">
        <v>48</v>
      </c>
      <c r="N50" s="15" t="s">
        <v>425</v>
      </c>
      <c r="O50" s="13"/>
      <c r="P50" s="13" t="str">
        <f t="shared" si="58"/>
        <v>SN-3564</v>
      </c>
      <c r="Q50" s="13" t="str">
        <f t="shared" si="59"/>
        <v>SI-3564</v>
      </c>
      <c r="R50" s="13" t="str">
        <f t="shared" si="60"/>
        <v>SE-3564</v>
      </c>
      <c r="S50" s="19" t="str">
        <f t="shared" si="61"/>
        <v>Prev_RA-3564</v>
      </c>
      <c r="T50" s="19" t="str">
        <f t="shared" si="62"/>
        <v>Prev_Comms-3564</v>
      </c>
      <c r="U50" s="17" t="s">
        <v>75</v>
      </c>
      <c r="V50" s="15" t="s">
        <v>401</v>
      </c>
      <c r="W50" s="17" t="s">
        <v>75</v>
      </c>
      <c r="X50" s="15" t="s">
        <v>396</v>
      </c>
      <c r="Y50" s="13" t="str">
        <f t="shared" si="63"/>
        <v>Forward Add-3564</v>
      </c>
      <c r="Z50" s="15" t="s">
        <v>401</v>
      </c>
      <c r="AA50" s="133" t="str">
        <f>'Run Parameters'!$B$2</f>
        <v>2019-04-26 08:00</v>
      </c>
      <c r="AB50" s="213" t="str">
        <f>'Run Parameters'!B$3</f>
        <v>2019-04-26 18:00</v>
      </c>
      <c r="AC50" s="26">
        <f>('Run Parameters'!$B$2) - 7</f>
        <v>43574.333333333336</v>
      </c>
      <c r="AD50" s="17" t="s">
        <v>75</v>
      </c>
      <c r="AE50" s="13" t="str">
        <f t="shared" si="64"/>
        <v>LAST_METER-3564</v>
      </c>
      <c r="AF50" s="133" t="str">
        <f>'Run Parameters'!$B$2</f>
        <v>2019-04-26 08:00</v>
      </c>
      <c r="AG50" s="13" t="str">
        <f>'Run Parameters'!B$4</f>
        <v>AUTOTEST2</v>
      </c>
      <c r="AH50" s="19" t="str">
        <f t="shared" si="65"/>
        <v>Site_Contact_3564</v>
      </c>
      <c r="AI50" s="133" t="str">
        <f>'Run Parameters'!B$2</f>
        <v>2019-04-26 08:00</v>
      </c>
      <c r="AJ50" s="213" t="str">
        <f>'Run Parameters'!B$3</f>
        <v>2019-04-26 18:00</v>
      </c>
      <c r="AK50" s="13" t="s">
        <v>396</v>
      </c>
      <c r="AL50" s="19" t="str">
        <f t="shared" si="66"/>
        <v>011593564</v>
      </c>
      <c r="AM50" s="13" t="str">
        <f t="shared" si="67"/>
        <v>01153564</v>
      </c>
      <c r="AN50" s="15"/>
      <c r="AO50" s="15"/>
      <c r="AP50" s="13">
        <v>1</v>
      </c>
      <c r="AQ50" s="15" t="s">
        <v>49</v>
      </c>
      <c r="AR50" s="15"/>
      <c r="AS50" s="13"/>
      <c r="AT50" s="12"/>
      <c r="AU50" s="12"/>
      <c r="AV50" s="13">
        <f t="shared" si="68"/>
        <v>3564</v>
      </c>
      <c r="AW50" s="13" t="s">
        <v>945</v>
      </c>
      <c r="AX50" s="13" t="s">
        <v>420</v>
      </c>
      <c r="AY50" s="13" t="s">
        <v>421</v>
      </c>
      <c r="AZ50" s="15" t="s">
        <v>334</v>
      </c>
      <c r="BA50" s="15" t="s">
        <v>154</v>
      </c>
      <c r="BB50" s="21">
        <v>1</v>
      </c>
      <c r="BC50" s="21">
        <f t="shared" si="69"/>
        <v>3564</v>
      </c>
      <c r="BD50" s="17" t="s">
        <v>948</v>
      </c>
      <c r="BE50" s="17" t="s">
        <v>391</v>
      </c>
      <c r="BF50" s="17" t="s">
        <v>391</v>
      </c>
      <c r="BG50" s="21" t="s">
        <v>947</v>
      </c>
      <c r="BH50" s="21" t="str">
        <f t="shared" si="70"/>
        <v>3564_1</v>
      </c>
      <c r="BI50" s="21"/>
      <c r="BJ50" s="21" t="str">
        <f t="shared" si="71"/>
        <v>100000003564</v>
      </c>
      <c r="BK50" s="17" t="s">
        <v>51</v>
      </c>
      <c r="BL50" s="17" t="s">
        <v>54</v>
      </c>
      <c r="BM50" s="21" t="s">
        <v>741</v>
      </c>
      <c r="BN50" s="17" t="s">
        <v>51</v>
      </c>
      <c r="BO50" s="21" t="str">
        <f t="shared" si="72"/>
        <v>S05S3564</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DS_Pass-3564</v>
      </c>
      <c r="DO50" s="40"/>
      <c r="DP50" s="40"/>
      <c r="DQ50" s="40"/>
      <c r="DR50" s="41"/>
      <c r="DS50" s="41"/>
      <c r="DT50" s="40"/>
      <c r="DU50" s="40"/>
      <c r="DV50" s="40"/>
      <c r="DW50" s="41"/>
      <c r="DX50" s="40"/>
      <c r="DY50" s="40"/>
      <c r="DZ50" s="40" t="s">
        <v>409</v>
      </c>
      <c r="EA50" s="120"/>
      <c r="EB50" s="40"/>
      <c r="EC50" s="40"/>
      <c r="ED50" s="17"/>
      <c r="EE50" s="2"/>
      <c r="EF50" s="135"/>
    </row>
    <row r="51" spans="1:136" s="136" customFormat="1" x14ac:dyDescent="0.2">
      <c r="A51" s="209" t="s">
        <v>958</v>
      </c>
      <c r="B51" s="209" t="s">
        <v>868</v>
      </c>
      <c r="C51" s="209" t="s">
        <v>865</v>
      </c>
      <c r="D51" s="13">
        <f>'Run Parameters'!$B$1 + ROW()-1</f>
        <v>3565</v>
      </c>
      <c r="E51" s="15" t="s">
        <v>47</v>
      </c>
      <c r="F51" s="13" t="s">
        <v>947</v>
      </c>
      <c r="G51" s="13" t="str">
        <f t="shared" si="56"/>
        <v>Access Dtls-3565</v>
      </c>
      <c r="H51" s="15" t="s">
        <v>275</v>
      </c>
      <c r="I51" s="13" t="str">
        <f>("MR. Test_50_FLTY2_"&amp;D51&amp;"")</f>
        <v>MR. Test_50_FLTY2_3565</v>
      </c>
      <c r="J51" s="13"/>
      <c r="K51" s="19" t="s">
        <v>425</v>
      </c>
      <c r="L51" s="13" t="str">
        <f t="shared" si="57"/>
        <v>Cust. Ref-3565</v>
      </c>
      <c r="M51" s="15" t="s">
        <v>48</v>
      </c>
      <c r="N51" s="15" t="s">
        <v>425</v>
      </c>
      <c r="O51" s="13"/>
      <c r="P51" s="13" t="str">
        <f t="shared" si="58"/>
        <v>SN-3565</v>
      </c>
      <c r="Q51" s="13" t="str">
        <f t="shared" si="59"/>
        <v>SI-3565</v>
      </c>
      <c r="R51" s="13" t="str">
        <f t="shared" si="60"/>
        <v>SE-3565</v>
      </c>
      <c r="S51" s="19" t="str">
        <f t="shared" si="61"/>
        <v>Prev_RA-3565</v>
      </c>
      <c r="T51" s="19" t="str">
        <f t="shared" si="62"/>
        <v>Prev_Comms-3565</v>
      </c>
      <c r="U51" s="17" t="s">
        <v>75</v>
      </c>
      <c r="V51" s="15" t="s">
        <v>401</v>
      </c>
      <c r="W51" s="17" t="s">
        <v>75</v>
      </c>
      <c r="X51" s="15" t="s">
        <v>396</v>
      </c>
      <c r="Y51" s="13" t="str">
        <f t="shared" si="63"/>
        <v>Forward Add-3565</v>
      </c>
      <c r="Z51" s="15" t="s">
        <v>401</v>
      </c>
      <c r="AA51" s="133" t="str">
        <f>'Run Parameters'!$B$2</f>
        <v>2019-04-26 08:00</v>
      </c>
      <c r="AB51" s="213" t="str">
        <f>'Run Parameters'!B$3</f>
        <v>2019-04-26 18:00</v>
      </c>
      <c r="AC51" s="26">
        <f>('Run Parameters'!$B$2) - 7</f>
        <v>43574.333333333336</v>
      </c>
      <c r="AD51" s="17" t="s">
        <v>75</v>
      </c>
      <c r="AE51" s="13" t="str">
        <f t="shared" si="64"/>
        <v>LAST_METER-3565</v>
      </c>
      <c r="AF51" s="133" t="str">
        <f>'Run Parameters'!$B$2</f>
        <v>2019-04-26 08:00</v>
      </c>
      <c r="AG51" s="13" t="str">
        <f>'Run Parameters'!B$4</f>
        <v>AUTOTEST2</v>
      </c>
      <c r="AH51" s="19" t="str">
        <f t="shared" si="65"/>
        <v>Site_Contact_3565</v>
      </c>
      <c r="AI51" s="133" t="str">
        <f>'Run Parameters'!B$2</f>
        <v>2019-04-26 08:00</v>
      </c>
      <c r="AJ51" s="213" t="str">
        <f>'Run Parameters'!B$3</f>
        <v>2019-04-26 18:00</v>
      </c>
      <c r="AK51" s="13" t="s">
        <v>396</v>
      </c>
      <c r="AL51" s="19" t="str">
        <f t="shared" si="66"/>
        <v>011593565</v>
      </c>
      <c r="AM51" s="13" t="str">
        <f t="shared" si="67"/>
        <v>01153565</v>
      </c>
      <c r="AN51" s="15"/>
      <c r="AO51" s="15"/>
      <c r="AP51" s="13">
        <v>1</v>
      </c>
      <c r="AQ51" s="15" t="s">
        <v>49</v>
      </c>
      <c r="AR51" s="15"/>
      <c r="AS51" s="13"/>
      <c r="AT51" s="12"/>
      <c r="AU51" s="12"/>
      <c r="AV51" s="13">
        <f t="shared" si="68"/>
        <v>3565</v>
      </c>
      <c r="AW51" s="13" t="s">
        <v>945</v>
      </c>
      <c r="AX51" s="13" t="s">
        <v>420</v>
      </c>
      <c r="AY51" s="13" t="s">
        <v>421</v>
      </c>
      <c r="AZ51" s="15" t="s">
        <v>334</v>
      </c>
      <c r="BA51" s="15" t="s">
        <v>154</v>
      </c>
      <c r="BB51" s="21">
        <v>1</v>
      </c>
      <c r="BC51" s="21">
        <f t="shared" si="69"/>
        <v>3565</v>
      </c>
      <c r="BD51" s="17" t="s">
        <v>948</v>
      </c>
      <c r="BE51" s="17" t="s">
        <v>391</v>
      </c>
      <c r="BF51" s="17" t="s">
        <v>391</v>
      </c>
      <c r="BG51" s="21" t="s">
        <v>947</v>
      </c>
      <c r="BH51" s="21" t="str">
        <f t="shared" si="70"/>
        <v>3565_1</v>
      </c>
      <c r="BI51" s="21"/>
      <c r="BJ51" s="21" t="str">
        <f t="shared" si="71"/>
        <v>100000003565</v>
      </c>
      <c r="BK51" s="17" t="s">
        <v>51</v>
      </c>
      <c r="BL51" s="17" t="s">
        <v>54</v>
      </c>
      <c r="BM51" s="21" t="s">
        <v>741</v>
      </c>
      <c r="BN51" s="17" t="s">
        <v>51</v>
      </c>
      <c r="BO51" s="21" t="str">
        <f t="shared" si="72"/>
        <v>S05S3565</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DS_Pass-3565</v>
      </c>
      <c r="DO51" s="40"/>
      <c r="DP51" s="40"/>
      <c r="DQ51" s="40"/>
      <c r="DR51" s="41"/>
      <c r="DS51" s="41"/>
      <c r="DT51" s="40"/>
      <c r="DU51" s="40"/>
      <c r="DV51" s="40"/>
      <c r="DW51" s="41"/>
      <c r="DX51" s="40"/>
      <c r="DY51" s="40"/>
      <c r="DZ51" s="40" t="s">
        <v>409</v>
      </c>
      <c r="EA51" s="120"/>
      <c r="EB51" s="40"/>
      <c r="EC51" s="40"/>
      <c r="ED51" s="17"/>
      <c r="EE51" s="2"/>
      <c r="EF51" s="135"/>
    </row>
    <row r="52" spans="1:136" s="136" customFormat="1" x14ac:dyDescent="0.2">
      <c r="A52" s="209" t="s">
        <v>959</v>
      </c>
      <c r="B52" s="209" t="s">
        <v>892</v>
      </c>
      <c r="C52" s="209" t="s">
        <v>865</v>
      </c>
      <c r="D52" s="13">
        <f>'Run Parameters'!$B$1 + ROW()-1</f>
        <v>3566</v>
      </c>
      <c r="E52" s="15" t="s">
        <v>47</v>
      </c>
      <c r="F52" s="13" t="s">
        <v>947</v>
      </c>
      <c r="G52" s="13" t="str">
        <f t="shared" si="56"/>
        <v>Access Dtls-3566</v>
      </c>
      <c r="H52" s="15" t="s">
        <v>275</v>
      </c>
      <c r="I52" s="13" t="str">
        <f>("MR. Test_51_FLTY2_"&amp;D52&amp;"")</f>
        <v>MR. Test_51_FLTY2_3566</v>
      </c>
      <c r="J52" s="13"/>
      <c r="K52" s="19" t="s">
        <v>425</v>
      </c>
      <c r="L52" s="13" t="str">
        <f t="shared" si="57"/>
        <v>Cust. Ref-3566</v>
      </c>
      <c r="M52" s="15" t="s">
        <v>48</v>
      </c>
      <c r="N52" s="15" t="s">
        <v>425</v>
      </c>
      <c r="O52" s="13"/>
      <c r="P52" s="13" t="str">
        <f t="shared" si="58"/>
        <v>SN-3566</v>
      </c>
      <c r="Q52" s="13" t="str">
        <f t="shared" si="59"/>
        <v>SI-3566</v>
      </c>
      <c r="R52" s="13" t="str">
        <f t="shared" si="60"/>
        <v>SE-3566</v>
      </c>
      <c r="S52" s="19" t="str">
        <f t="shared" si="61"/>
        <v>Prev_RA-3566</v>
      </c>
      <c r="T52" s="19" t="str">
        <f t="shared" si="62"/>
        <v>Prev_Comms-3566</v>
      </c>
      <c r="U52" s="17" t="s">
        <v>75</v>
      </c>
      <c r="V52" s="15" t="s">
        <v>401</v>
      </c>
      <c r="W52" s="17" t="s">
        <v>75</v>
      </c>
      <c r="X52" s="15" t="s">
        <v>396</v>
      </c>
      <c r="Y52" s="13" t="str">
        <f t="shared" si="63"/>
        <v>Forward Add-3566</v>
      </c>
      <c r="Z52" s="15" t="s">
        <v>401</v>
      </c>
      <c r="AA52" s="133" t="str">
        <f>'Run Parameters'!$B$2</f>
        <v>2019-04-26 08:00</v>
      </c>
      <c r="AB52" s="213" t="str">
        <f>'Run Parameters'!B$3</f>
        <v>2019-04-26 18:00</v>
      </c>
      <c r="AC52" s="26">
        <f>('Run Parameters'!$B$2) - 7</f>
        <v>43574.333333333336</v>
      </c>
      <c r="AD52" s="17" t="s">
        <v>75</v>
      </c>
      <c r="AE52" s="13" t="str">
        <f t="shared" si="64"/>
        <v>LAST_METER-3566</v>
      </c>
      <c r="AF52" s="133" t="str">
        <f>'Run Parameters'!$B$2</f>
        <v>2019-04-26 08:00</v>
      </c>
      <c r="AG52" s="13" t="str">
        <f>'Run Parameters'!B$4</f>
        <v>AUTOTEST2</v>
      </c>
      <c r="AH52" s="19" t="str">
        <f t="shared" si="65"/>
        <v>Site_Contact_3566</v>
      </c>
      <c r="AI52" s="133" t="str">
        <f>'Run Parameters'!B$2</f>
        <v>2019-04-26 08:00</v>
      </c>
      <c r="AJ52" s="213" t="str">
        <f>'Run Parameters'!B$3</f>
        <v>2019-04-26 18:00</v>
      </c>
      <c r="AK52" s="13" t="s">
        <v>396</v>
      </c>
      <c r="AL52" s="19" t="str">
        <f t="shared" si="66"/>
        <v>011593566</v>
      </c>
      <c r="AM52" s="13" t="str">
        <f t="shared" si="67"/>
        <v>01153566</v>
      </c>
      <c r="AN52" s="15"/>
      <c r="AO52" s="15"/>
      <c r="AP52" s="13">
        <v>1</v>
      </c>
      <c r="AQ52" s="15" t="s">
        <v>49</v>
      </c>
      <c r="AR52" s="15"/>
      <c r="AS52" s="13"/>
      <c r="AT52" s="12"/>
      <c r="AU52" s="12"/>
      <c r="AV52" s="13">
        <f t="shared" si="68"/>
        <v>3566</v>
      </c>
      <c r="AW52" s="13" t="s">
        <v>945</v>
      </c>
      <c r="AX52" s="13" t="s">
        <v>420</v>
      </c>
      <c r="AY52" s="13" t="s">
        <v>421</v>
      </c>
      <c r="AZ52" s="15" t="s">
        <v>334</v>
      </c>
      <c r="BA52" s="15" t="s">
        <v>154</v>
      </c>
      <c r="BB52" s="21">
        <v>1</v>
      </c>
      <c r="BC52" s="21">
        <f t="shared" si="69"/>
        <v>3566</v>
      </c>
      <c r="BD52" s="17" t="s">
        <v>948</v>
      </c>
      <c r="BE52" s="17" t="s">
        <v>391</v>
      </c>
      <c r="BF52" s="17" t="s">
        <v>391</v>
      </c>
      <c r="BG52" s="21" t="s">
        <v>947</v>
      </c>
      <c r="BH52" s="21" t="str">
        <f t="shared" si="70"/>
        <v>3566_1</v>
      </c>
      <c r="BI52" s="21"/>
      <c r="BJ52" s="21" t="str">
        <f t="shared" si="71"/>
        <v>100000003566</v>
      </c>
      <c r="BK52" s="17" t="s">
        <v>51</v>
      </c>
      <c r="BL52" s="17" t="s">
        <v>54</v>
      </c>
      <c r="BM52" s="21" t="s">
        <v>741</v>
      </c>
      <c r="BN52" s="17" t="s">
        <v>51</v>
      </c>
      <c r="BO52" s="21" t="str">
        <f t="shared" si="72"/>
        <v>S05S3566</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DS_Pass-3566</v>
      </c>
      <c r="DO52" s="40"/>
      <c r="DP52" s="40"/>
      <c r="DQ52" s="40"/>
      <c r="DR52" s="41"/>
      <c r="DS52" s="41"/>
      <c r="DT52" s="40"/>
      <c r="DU52" s="40"/>
      <c r="DV52" s="40"/>
      <c r="DW52" s="41"/>
      <c r="DX52" s="40"/>
      <c r="DY52" s="40"/>
      <c r="DZ52" s="40" t="s">
        <v>409</v>
      </c>
      <c r="EA52" s="120"/>
      <c r="EB52" s="40"/>
      <c r="EC52" s="40"/>
      <c r="ED52" s="17"/>
      <c r="EE52" s="2"/>
      <c r="EF52" s="135"/>
    </row>
    <row r="53" spans="1:136" s="136" customFormat="1" x14ac:dyDescent="0.2">
      <c r="A53" s="209" t="s">
        <v>960</v>
      </c>
      <c r="B53" s="209" t="s">
        <v>868</v>
      </c>
      <c r="C53" s="209" t="s">
        <v>865</v>
      </c>
      <c r="D53" s="13">
        <f>'Run Parameters'!$B$1 + ROW()-1</f>
        <v>3567</v>
      </c>
      <c r="E53" s="15" t="s">
        <v>47</v>
      </c>
      <c r="F53" s="13" t="s">
        <v>947</v>
      </c>
      <c r="G53" s="13" t="str">
        <f t="shared" si="56"/>
        <v>Access Dtls-3567</v>
      </c>
      <c r="H53" s="15" t="s">
        <v>275</v>
      </c>
      <c r="I53" s="13" t="str">
        <f>("MR. Test_52_FLTY2_"&amp;D53&amp;"")</f>
        <v>MR. Test_52_FLTY2_3567</v>
      </c>
      <c r="J53" s="13"/>
      <c r="K53" s="19" t="s">
        <v>425</v>
      </c>
      <c r="L53" s="13" t="str">
        <f t="shared" si="57"/>
        <v>Cust. Ref-3567</v>
      </c>
      <c r="M53" s="15" t="s">
        <v>48</v>
      </c>
      <c r="N53" s="15" t="s">
        <v>425</v>
      </c>
      <c r="O53" s="13"/>
      <c r="P53" s="13" t="str">
        <f t="shared" si="58"/>
        <v>SN-3567</v>
      </c>
      <c r="Q53" s="13" t="str">
        <f t="shared" si="59"/>
        <v>SI-3567</v>
      </c>
      <c r="R53" s="13" t="str">
        <f t="shared" si="60"/>
        <v>SE-3567</v>
      </c>
      <c r="S53" s="19" t="str">
        <f t="shared" si="61"/>
        <v>Prev_RA-3567</v>
      </c>
      <c r="T53" s="19" t="str">
        <f t="shared" si="62"/>
        <v>Prev_Comms-3567</v>
      </c>
      <c r="U53" s="17" t="s">
        <v>75</v>
      </c>
      <c r="V53" s="15" t="s">
        <v>401</v>
      </c>
      <c r="W53" s="17" t="s">
        <v>75</v>
      </c>
      <c r="X53" s="15" t="s">
        <v>396</v>
      </c>
      <c r="Y53" s="13" t="str">
        <f t="shared" si="63"/>
        <v>Forward Add-3567</v>
      </c>
      <c r="Z53" s="15" t="s">
        <v>401</v>
      </c>
      <c r="AA53" s="133" t="str">
        <f>'Run Parameters'!$B$2</f>
        <v>2019-04-26 08:00</v>
      </c>
      <c r="AB53" s="213" t="str">
        <f>'Run Parameters'!B$3</f>
        <v>2019-04-26 18:00</v>
      </c>
      <c r="AC53" s="26">
        <f>('Run Parameters'!$B$2) - 7</f>
        <v>43574.333333333336</v>
      </c>
      <c r="AD53" s="17" t="s">
        <v>75</v>
      </c>
      <c r="AE53" s="13" t="str">
        <f t="shared" si="64"/>
        <v>LAST_METER-3567</v>
      </c>
      <c r="AF53" s="133" t="str">
        <f>'Run Parameters'!$B$2</f>
        <v>2019-04-26 08:00</v>
      </c>
      <c r="AG53" s="13" t="str">
        <f>'Run Parameters'!B$4</f>
        <v>AUTOTEST2</v>
      </c>
      <c r="AH53" s="19" t="str">
        <f t="shared" si="65"/>
        <v>Site_Contact_3567</v>
      </c>
      <c r="AI53" s="133" t="str">
        <f>'Run Parameters'!B$2</f>
        <v>2019-04-26 08:00</v>
      </c>
      <c r="AJ53" s="213" t="str">
        <f>'Run Parameters'!B$3</f>
        <v>2019-04-26 18:00</v>
      </c>
      <c r="AK53" s="13" t="s">
        <v>396</v>
      </c>
      <c r="AL53" s="19" t="str">
        <f t="shared" si="66"/>
        <v>011593567</v>
      </c>
      <c r="AM53" s="13" t="str">
        <f t="shared" si="67"/>
        <v>01153567</v>
      </c>
      <c r="AN53" s="15"/>
      <c r="AO53" s="15"/>
      <c r="AP53" s="13">
        <v>1</v>
      </c>
      <c r="AQ53" s="15" t="s">
        <v>49</v>
      </c>
      <c r="AR53" s="15"/>
      <c r="AS53" s="13"/>
      <c r="AT53" s="12"/>
      <c r="AU53" s="12"/>
      <c r="AV53" s="13">
        <f t="shared" si="68"/>
        <v>3567</v>
      </c>
      <c r="AW53" s="13" t="s">
        <v>945</v>
      </c>
      <c r="AX53" s="13" t="s">
        <v>420</v>
      </c>
      <c r="AY53" s="13" t="s">
        <v>421</v>
      </c>
      <c r="AZ53" s="15" t="s">
        <v>334</v>
      </c>
      <c r="BA53" s="15" t="s">
        <v>154</v>
      </c>
      <c r="BB53" s="21">
        <v>1</v>
      </c>
      <c r="BC53" s="21">
        <f t="shared" si="69"/>
        <v>3567</v>
      </c>
      <c r="BD53" s="17" t="s">
        <v>948</v>
      </c>
      <c r="BE53" s="17" t="s">
        <v>391</v>
      </c>
      <c r="BF53" s="17" t="s">
        <v>391</v>
      </c>
      <c r="BG53" s="21" t="s">
        <v>947</v>
      </c>
      <c r="BH53" s="21" t="str">
        <f t="shared" si="70"/>
        <v>3567_1</v>
      </c>
      <c r="BI53" s="21"/>
      <c r="BJ53" s="21" t="str">
        <f t="shared" si="71"/>
        <v>100000003567</v>
      </c>
      <c r="BK53" s="17" t="s">
        <v>51</v>
      </c>
      <c r="BL53" s="17" t="s">
        <v>54</v>
      </c>
      <c r="BM53" s="21" t="s">
        <v>741</v>
      </c>
      <c r="BN53" s="17" t="s">
        <v>51</v>
      </c>
      <c r="BO53" s="21" t="str">
        <f t="shared" si="72"/>
        <v>S05S3567</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DS_Pass-3567</v>
      </c>
      <c r="DO53" s="40"/>
      <c r="DP53" s="40"/>
      <c r="DQ53" s="40"/>
      <c r="DR53" s="41"/>
      <c r="DS53" s="41"/>
      <c r="DT53" s="40"/>
      <c r="DU53" s="40"/>
      <c r="DV53" s="40"/>
      <c r="DW53" s="41"/>
      <c r="DX53" s="40"/>
      <c r="DY53" s="40"/>
      <c r="DZ53" s="40" t="s">
        <v>409</v>
      </c>
      <c r="EA53" s="120"/>
      <c r="EB53" s="40"/>
      <c r="EC53" s="40"/>
      <c r="ED53" s="17"/>
      <c r="EE53" s="2"/>
      <c r="EF53" s="135"/>
    </row>
    <row r="54" spans="1:136" s="136" customFormat="1" x14ac:dyDescent="0.2">
      <c r="A54" s="209" t="s">
        <v>961</v>
      </c>
      <c r="B54" s="209" t="s">
        <v>892</v>
      </c>
      <c r="C54" s="209" t="s">
        <v>865</v>
      </c>
      <c r="D54" s="13">
        <f>'Run Parameters'!$B$1 + ROW()-1</f>
        <v>3568</v>
      </c>
      <c r="E54" s="15" t="s">
        <v>47</v>
      </c>
      <c r="F54" s="13" t="s">
        <v>947</v>
      </c>
      <c r="G54" s="13" t="str">
        <f>("Access Dtls-" &amp; D54)</f>
        <v>Access Dtls-3568</v>
      </c>
      <c r="H54" s="15" t="s">
        <v>275</v>
      </c>
      <c r="I54" s="13" t="str">
        <f>("MR. Test_53_FLTY2_"&amp;D54&amp;"")</f>
        <v>MR. Test_53_FLTY2_3568</v>
      </c>
      <c r="J54" s="13"/>
      <c r="K54" s="19" t="s">
        <v>425</v>
      </c>
      <c r="L54" s="13" t="str">
        <f>("Cust. Ref-" &amp; D54)</f>
        <v>Cust. Ref-3568</v>
      </c>
      <c r="M54" s="15" t="s">
        <v>48</v>
      </c>
      <c r="N54" s="15" t="s">
        <v>425</v>
      </c>
      <c r="O54" s="13"/>
      <c r="P54" s="13" t="str">
        <f>("SN-" &amp; D54)</f>
        <v>SN-3568</v>
      </c>
      <c r="Q54" s="13" t="str">
        <f>("SI-" &amp; D54)</f>
        <v>SI-3568</v>
      </c>
      <c r="R54" s="13" t="str">
        <f>("SE-" &amp; D54)</f>
        <v>SE-3568</v>
      </c>
      <c r="S54" s="19" t="str">
        <f>("Prev_RA-" &amp; D54)</f>
        <v>Prev_RA-3568</v>
      </c>
      <c r="T54" s="19" t="str">
        <f>("Prev_Comms-" &amp; D54)</f>
        <v>Prev_Comms-3568</v>
      </c>
      <c r="U54" s="17" t="s">
        <v>75</v>
      </c>
      <c r="V54" s="15" t="s">
        <v>401</v>
      </c>
      <c r="W54" s="17" t="s">
        <v>75</v>
      </c>
      <c r="X54" s="15" t="s">
        <v>396</v>
      </c>
      <c r="Y54" s="13" t="str">
        <f>("Forward Add-" &amp; D54)</f>
        <v>Forward Add-3568</v>
      </c>
      <c r="Z54" s="15" t="s">
        <v>401</v>
      </c>
      <c r="AA54" s="133" t="str">
        <f>'Run Parameters'!$B$2</f>
        <v>2019-04-26 08:00</v>
      </c>
      <c r="AB54" s="213" t="str">
        <f>'Run Parameters'!B$3</f>
        <v>2019-04-26 18:00</v>
      </c>
      <c r="AC54" s="26">
        <f>('Run Parameters'!$B$2) - 7</f>
        <v>43574.333333333336</v>
      </c>
      <c r="AD54" s="17" t="s">
        <v>75</v>
      </c>
      <c r="AE54" s="13" t="str">
        <f>("LAST_METER-" &amp; D54)</f>
        <v>LAST_METER-3568</v>
      </c>
      <c r="AF54" s="133" t="str">
        <f>'Run Parameters'!$B$2</f>
        <v>2019-04-26 08:00</v>
      </c>
      <c r="AG54" s="13" t="str">
        <f>'Run Parameters'!B$4</f>
        <v>AUTOTEST2</v>
      </c>
      <c r="AH54" s="19" t="str">
        <f>("Site_Contact_" &amp; D54)</f>
        <v>Site_Contact_3568</v>
      </c>
      <c r="AI54" s="133" t="str">
        <f>'Run Parameters'!B$2</f>
        <v>2019-04-26 08:00</v>
      </c>
      <c r="AJ54" s="213" t="str">
        <f>'Run Parameters'!B$3</f>
        <v>2019-04-26 18:00</v>
      </c>
      <c r="AK54" s="13" t="s">
        <v>396</v>
      </c>
      <c r="AL54" s="19" t="str">
        <f>"01159" &amp; D54</f>
        <v>011593568</v>
      </c>
      <c r="AM54" s="13" t="str">
        <f>("0115" &amp; D54)</f>
        <v>01153568</v>
      </c>
      <c r="AN54" s="15"/>
      <c r="AO54" s="15"/>
      <c r="AP54" s="13">
        <v>1</v>
      </c>
      <c r="AQ54" s="15" t="s">
        <v>49</v>
      </c>
      <c r="AR54" s="15"/>
      <c r="AS54" s="13"/>
      <c r="AT54" s="12"/>
      <c r="AU54" s="12"/>
      <c r="AV54" s="13">
        <f>D54</f>
        <v>3568</v>
      </c>
      <c r="AW54" s="13" t="s">
        <v>945</v>
      </c>
      <c r="AX54" s="13" t="s">
        <v>420</v>
      </c>
      <c r="AY54" s="13" t="s">
        <v>421</v>
      </c>
      <c r="AZ54" s="15" t="s">
        <v>334</v>
      </c>
      <c r="BA54" s="15" t="s">
        <v>154</v>
      </c>
      <c r="BB54" s="21">
        <v>1</v>
      </c>
      <c r="BC54" s="21">
        <f>D54</f>
        <v>3568</v>
      </c>
      <c r="BD54" s="17" t="s">
        <v>948</v>
      </c>
      <c r="BE54" s="17" t="s">
        <v>391</v>
      </c>
      <c r="BF54" s="17" t="s">
        <v>391</v>
      </c>
      <c r="BG54" s="21" t="s">
        <v>947</v>
      </c>
      <c r="BH54" s="21" t="str">
        <f>BC54&amp;"_"&amp;BB54</f>
        <v>3568_1</v>
      </c>
      <c r="BI54" s="21"/>
      <c r="BJ54" s="21" t="str">
        <f>"10000000" &amp; D54</f>
        <v>100000003568</v>
      </c>
      <c r="BK54" s="17" t="s">
        <v>51</v>
      </c>
      <c r="BL54" s="17" t="s">
        <v>54</v>
      </c>
      <c r="BM54" s="21" t="s">
        <v>741</v>
      </c>
      <c r="BN54" s="17" t="s">
        <v>51</v>
      </c>
      <c r="BO54" s="21" t="str">
        <f>"S05S" &amp; D54</f>
        <v>S05S3568</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DS_Pass-3568</v>
      </c>
      <c r="DO54" s="40"/>
      <c r="DP54" s="40"/>
      <c r="DQ54" s="40"/>
      <c r="DR54" s="41"/>
      <c r="DS54" s="41"/>
      <c r="DT54" s="40"/>
      <c r="DU54" s="40"/>
      <c r="DV54" s="40"/>
      <c r="DW54" s="41"/>
      <c r="DX54" s="40"/>
      <c r="DY54" s="40"/>
      <c r="DZ54" s="40" t="s">
        <v>409</v>
      </c>
      <c r="EA54" s="120"/>
      <c r="EB54" s="40"/>
      <c r="EC54" s="40"/>
      <c r="ED54" s="17"/>
      <c r="EE54" s="2"/>
      <c r="EF54" s="135"/>
    </row>
    <row r="55" spans="1:136" s="136" customFormat="1" x14ac:dyDescent="0.2">
      <c r="A55" s="209" t="s">
        <v>1095</v>
      </c>
      <c r="B55" s="209" t="s">
        <v>892</v>
      </c>
      <c r="C55" s="209" t="s">
        <v>865</v>
      </c>
      <c r="D55" s="13">
        <f>'Run Parameters'!$B$1 + ROW()-1</f>
        <v>3569</v>
      </c>
      <c r="E55" s="15" t="s">
        <v>47</v>
      </c>
      <c r="F55" s="13" t="s">
        <v>947</v>
      </c>
      <c r="G55" s="13" t="str">
        <f>("Access Dtls-" &amp; D55)</f>
        <v>Access Dtls-3569</v>
      </c>
      <c r="H55" s="15" t="s">
        <v>275</v>
      </c>
      <c r="I55" s="13" t="str">
        <f>("MR. Test_54_FLTY2_"&amp;D55&amp;"")</f>
        <v>MR. Test_54_FLTY2_3569</v>
      </c>
      <c r="J55" s="13"/>
      <c r="K55" s="19" t="s">
        <v>425</v>
      </c>
      <c r="L55" s="13" t="str">
        <f>("Cust. Ref-" &amp; D55)</f>
        <v>Cust. Ref-3569</v>
      </c>
      <c r="M55" s="15" t="s">
        <v>48</v>
      </c>
      <c r="N55" s="15" t="s">
        <v>425</v>
      </c>
      <c r="O55" s="13"/>
      <c r="P55" s="13" t="str">
        <f>("SN-" &amp; D55)</f>
        <v>SN-3569</v>
      </c>
      <c r="Q55" s="13" t="str">
        <f>("SI-" &amp; D55)</f>
        <v>SI-3569</v>
      </c>
      <c r="R55" s="13" t="str">
        <f>("SE-" &amp; D55)</f>
        <v>SE-3569</v>
      </c>
      <c r="S55" s="19" t="str">
        <f>("Prev_RA-" &amp; D55)</f>
        <v>Prev_RA-3569</v>
      </c>
      <c r="T55" s="19" t="str">
        <f>("Prev_Comms-" &amp; D55)</f>
        <v>Prev_Comms-3569</v>
      </c>
      <c r="U55" s="17" t="s">
        <v>75</v>
      </c>
      <c r="V55" s="15" t="s">
        <v>401</v>
      </c>
      <c r="W55" s="17" t="s">
        <v>75</v>
      </c>
      <c r="X55" s="15" t="s">
        <v>1087</v>
      </c>
      <c r="Y55" s="13" t="str">
        <f>("Forward Add-" &amp; D55)</f>
        <v>Forward Add-3569</v>
      </c>
      <c r="Z55" s="15" t="s">
        <v>401</v>
      </c>
      <c r="AA55" s="133" t="str">
        <f>'Run Parameters'!$B$2</f>
        <v>2019-04-26 08:00</v>
      </c>
      <c r="AB55" s="213" t="str">
        <f>'Run Parameters'!B$3</f>
        <v>2019-04-26 18:00</v>
      </c>
      <c r="AC55" s="26">
        <f>('Run Parameters'!$B$2) - 7</f>
        <v>43574.333333333336</v>
      </c>
      <c r="AD55" s="17" t="s">
        <v>75</v>
      </c>
      <c r="AE55" s="13" t="str">
        <f>("LAST_METER-" &amp; D55)</f>
        <v>LAST_METER-3569</v>
      </c>
      <c r="AF55" s="133" t="str">
        <f>'Run Parameters'!$B$2</f>
        <v>2019-04-26 08:00</v>
      </c>
      <c r="AG55" s="13" t="str">
        <f>'Run Parameters'!B$4</f>
        <v>AUTOTEST2</v>
      </c>
      <c r="AH55" s="19" t="str">
        <f>("Site_Contact_" &amp; D55)</f>
        <v>Site_Contact_3569</v>
      </c>
      <c r="AI55" s="133" t="str">
        <f>'Run Parameters'!B$2</f>
        <v>2019-04-26 08:00</v>
      </c>
      <c r="AJ55" s="213" t="str">
        <f>'Run Parameters'!B$3</f>
        <v>2019-04-26 18:00</v>
      </c>
      <c r="AK55" s="13" t="s">
        <v>1087</v>
      </c>
      <c r="AL55" s="19" t="str">
        <f>"01159" &amp; D55</f>
        <v>011593569</v>
      </c>
      <c r="AM55" s="13" t="str">
        <f>("0115" &amp; D55)</f>
        <v>01153569</v>
      </c>
      <c r="AN55" s="15"/>
      <c r="AO55" s="15"/>
      <c r="AP55" s="13">
        <v>1</v>
      </c>
      <c r="AQ55" s="15" t="s">
        <v>49</v>
      </c>
      <c r="AR55" s="15"/>
      <c r="AS55" s="13"/>
      <c r="AT55" s="12"/>
      <c r="AU55" s="12"/>
      <c r="AV55" s="13">
        <f>D55</f>
        <v>3569</v>
      </c>
      <c r="AW55" s="13" t="s">
        <v>945</v>
      </c>
      <c r="AX55" s="13" t="s">
        <v>420</v>
      </c>
      <c r="AY55" s="13" t="s">
        <v>421</v>
      </c>
      <c r="AZ55" s="15" t="s">
        <v>334</v>
      </c>
      <c r="BA55" s="15" t="s">
        <v>154</v>
      </c>
      <c r="BB55" s="21">
        <v>1</v>
      </c>
      <c r="BC55" s="21">
        <f>D55</f>
        <v>3569</v>
      </c>
      <c r="BD55" s="17" t="s">
        <v>1103</v>
      </c>
      <c r="BE55" s="17" t="s">
        <v>391</v>
      </c>
      <c r="BF55" s="17" t="s">
        <v>391</v>
      </c>
      <c r="BG55" s="21" t="s">
        <v>947</v>
      </c>
      <c r="BH55" s="21" t="str">
        <f>BC55&amp;"_"&amp;BB55</f>
        <v>3569_1</v>
      </c>
      <c r="BI55" s="21"/>
      <c r="BJ55" s="21" t="str">
        <f>"10000000" &amp; D55</f>
        <v>100000003569</v>
      </c>
      <c r="BK55" s="17" t="s">
        <v>51</v>
      </c>
      <c r="BL55" s="17" t="s">
        <v>54</v>
      </c>
      <c r="BM55" s="21" t="s">
        <v>741</v>
      </c>
      <c r="BN55" s="17" t="s">
        <v>51</v>
      </c>
      <c r="BO55" s="21" t="str">
        <f>"S05S" &amp; D55</f>
        <v>S05S3569</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1087</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DS_Pass-3569</v>
      </c>
      <c r="DO55" s="40"/>
      <c r="DP55" s="40"/>
      <c r="DQ55" s="40"/>
      <c r="DR55" s="41"/>
      <c r="DS55" s="41"/>
      <c r="DT55" s="40"/>
      <c r="DU55" s="40"/>
      <c r="DV55" s="40"/>
      <c r="DW55" s="41"/>
      <c r="DX55" s="40"/>
      <c r="DY55" s="40"/>
      <c r="DZ55" s="40" t="s">
        <v>409</v>
      </c>
      <c r="EA55" s="120"/>
      <c r="EB55" s="40"/>
      <c r="EC55" s="40"/>
      <c r="ED55" s="17"/>
      <c r="EE55" s="2"/>
      <c r="EF55" s="135"/>
    </row>
    <row r="56" spans="1:136" x14ac:dyDescent="0.2">
      <c r="A56" s="209" t="s">
        <v>896</v>
      </c>
      <c r="B56" s="209" t="s">
        <v>892</v>
      </c>
      <c r="C56" s="209" t="s">
        <v>865</v>
      </c>
      <c r="D56" s="13">
        <f>'Run Parameters'!$B$1 + ROW()-1</f>
        <v>3570</v>
      </c>
      <c r="E56" s="15" t="s">
        <v>47</v>
      </c>
      <c r="F56" s="18" t="s">
        <v>403</v>
      </c>
      <c r="G56" s="13" t="str">
        <f>("Access Dtls-" &amp; D56)</f>
        <v>Access Dtls-3570</v>
      </c>
      <c r="H56" s="15" t="s">
        <v>275</v>
      </c>
      <c r="I56" s="13" t="str">
        <f>("MR. Test_55_EXCH2_"&amp;D56&amp;"")</f>
        <v>MR. Test_55_EXCH2_3570</v>
      </c>
      <c r="J56" s="18"/>
      <c r="K56" s="19" t="s">
        <v>425</v>
      </c>
      <c r="L56" s="13" t="str">
        <f>("Cust. Ref-" &amp; D56)</f>
        <v>Cust. Ref-3570</v>
      </c>
      <c r="M56" s="15" t="s">
        <v>48</v>
      </c>
      <c r="N56" s="15" t="s">
        <v>425</v>
      </c>
      <c r="O56" s="13"/>
      <c r="P56" s="13" t="str">
        <f>("SN-" &amp; D56)</f>
        <v>SN-3570</v>
      </c>
      <c r="Q56" s="13" t="str">
        <f>("SI-" &amp; D56)</f>
        <v>SI-3570</v>
      </c>
      <c r="R56" s="13" t="str">
        <f>("SE-" &amp; D56)</f>
        <v>SE-3570</v>
      </c>
      <c r="S56" s="53" t="str">
        <f>("Prev_RA-" &amp; D56)</f>
        <v>Prev_RA-3570</v>
      </c>
      <c r="T56" s="53" t="str">
        <f>("Prev_Comms-" &amp; D56)</f>
        <v>Prev_Comms-3570</v>
      </c>
      <c r="U56" s="17" t="s">
        <v>75</v>
      </c>
      <c r="V56" s="15" t="s">
        <v>401</v>
      </c>
      <c r="W56" s="17" t="s">
        <v>75</v>
      </c>
      <c r="X56" s="15" t="s">
        <v>396</v>
      </c>
      <c r="Y56" s="13" t="str">
        <f>("Forward Add-" &amp; D56)</f>
        <v>Forward Add-3570</v>
      </c>
      <c r="Z56" s="15" t="s">
        <v>401</v>
      </c>
      <c r="AA56" s="133" t="str">
        <f>'Run Parameters'!$B$2</f>
        <v>2019-04-26 08:00</v>
      </c>
      <c r="AB56" s="213" t="str">
        <f>'Run Parameters'!B$3</f>
        <v>2019-04-26 18:00</v>
      </c>
      <c r="AC56" s="26">
        <f>('Run Parameters'!$B$2) - 7</f>
        <v>43574.333333333336</v>
      </c>
      <c r="AD56" s="17" t="s">
        <v>75</v>
      </c>
      <c r="AE56" s="18" t="str">
        <f>("LAST_METER-" &amp; D56)</f>
        <v>LAST_METER-3570</v>
      </c>
      <c r="AF56" s="133" t="str">
        <f>'Run Parameters'!$B$2</f>
        <v>2019-04-26 08:00</v>
      </c>
      <c r="AG56" s="13" t="str">
        <f>'Run Parameters'!B$4</f>
        <v>AUTOTEST2</v>
      </c>
      <c r="AH56" s="53" t="str">
        <f>("Site_Contact_" &amp; D56)</f>
        <v>Site_Contact_3570</v>
      </c>
      <c r="AI56" s="133" t="str">
        <f>'Run Parameters'!B$2</f>
        <v>2019-04-26 08:00</v>
      </c>
      <c r="AJ56" s="213" t="str">
        <f>'Run Parameters'!B$3</f>
        <v>2019-04-26 18:00</v>
      </c>
      <c r="AK56" s="13" t="s">
        <v>396</v>
      </c>
      <c r="AL56" s="53" t="str">
        <f>"01159" &amp; D56</f>
        <v>011593570</v>
      </c>
      <c r="AM56" s="13" t="str">
        <f>("0115" &amp; D56)</f>
        <v>01153570</v>
      </c>
      <c r="AN56" s="15"/>
      <c r="AO56" s="51"/>
      <c r="AP56" s="13">
        <v>1</v>
      </c>
      <c r="AQ56" s="52" t="s">
        <v>49</v>
      </c>
      <c r="AR56" s="15"/>
      <c r="AS56" s="13"/>
      <c r="AT56" s="7"/>
      <c r="AU56" s="7"/>
      <c r="AV56" s="13">
        <f>D56</f>
        <v>3570</v>
      </c>
      <c r="AW56" s="13" t="s">
        <v>423</v>
      </c>
      <c r="AX56" s="13" t="s">
        <v>420</v>
      </c>
      <c r="AY56" s="13" t="s">
        <v>421</v>
      </c>
      <c r="AZ56" s="15" t="s">
        <v>334</v>
      </c>
      <c r="BA56" s="14" t="s">
        <v>154</v>
      </c>
      <c r="BB56" s="21">
        <v>1</v>
      </c>
      <c r="BC56" s="20">
        <f>D56</f>
        <v>3570</v>
      </c>
      <c r="BD56" s="16" t="s">
        <v>410</v>
      </c>
      <c r="BE56" s="16" t="s">
        <v>391</v>
      </c>
      <c r="BF56" s="16" t="s">
        <v>390</v>
      </c>
      <c r="BG56" s="20" t="s">
        <v>403</v>
      </c>
      <c r="BH56" s="20" t="str">
        <f>BC56&amp;"_"&amp;BB56</f>
        <v>3570_1</v>
      </c>
      <c r="BI56" s="21"/>
      <c r="BJ56" s="21" t="str">
        <f>"10000000" &amp; D56</f>
        <v>100000003570</v>
      </c>
      <c r="BK56" s="16" t="s">
        <v>51</v>
      </c>
      <c r="BL56" s="16" t="s">
        <v>54</v>
      </c>
      <c r="BM56" s="20" t="s">
        <v>411</v>
      </c>
      <c r="BN56" s="16" t="s">
        <v>51</v>
      </c>
      <c r="BO56" s="20" t="str">
        <f>"S05S" &amp; D56</f>
        <v>S05S3570</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DS_Pass-3570</v>
      </c>
      <c r="DO56" s="40"/>
      <c r="DP56" s="40"/>
      <c r="DQ56" s="40"/>
      <c r="DR56" s="41"/>
      <c r="DS56" s="41"/>
      <c r="DT56" s="40"/>
      <c r="DU56" s="40"/>
      <c r="DV56" s="40"/>
      <c r="DW56" s="41"/>
      <c r="DX56" s="40"/>
      <c r="DY56" s="40"/>
      <c r="DZ56" s="37" t="s">
        <v>402</v>
      </c>
      <c r="EA56" s="39"/>
      <c r="EB56" s="37"/>
      <c r="EC56" s="37"/>
      <c r="ED56" s="16"/>
      <c r="EE56" s="1"/>
      <c r="EF56" s="54"/>
    </row>
    <row r="57" spans="1:136" x14ac:dyDescent="0.2">
      <c r="A57" s="209" t="s">
        <v>897</v>
      </c>
      <c r="B57" s="209" t="s">
        <v>868</v>
      </c>
      <c r="C57" s="209" t="s">
        <v>865</v>
      </c>
      <c r="D57" s="13">
        <f>'Run Parameters'!$B$1 + ROW()-1</f>
        <v>3571</v>
      </c>
      <c r="E57" s="15" t="s">
        <v>47</v>
      </c>
      <c r="F57" s="18" t="s">
        <v>403</v>
      </c>
      <c r="G57" s="13" t="str">
        <f t="shared" ref="G57:G71" si="73">("Access Dtls-" &amp; D57)</f>
        <v>Access Dtls-3571</v>
      </c>
      <c r="H57" s="15" t="s">
        <v>275</v>
      </c>
      <c r="I57" s="13" t="str">
        <f>("MR. Test_56_EXCH2_"&amp;D57&amp;"")</f>
        <v>MR. Test_56_EXCH2_3571</v>
      </c>
      <c r="J57" s="18"/>
      <c r="K57" s="19" t="s">
        <v>425</v>
      </c>
      <c r="L57" s="13" t="str">
        <f t="shared" ref="L57:L71" si="74">("Cust. Ref-" &amp; D57)</f>
        <v>Cust. Ref-3571</v>
      </c>
      <c r="M57" s="15" t="s">
        <v>48</v>
      </c>
      <c r="N57" s="15" t="s">
        <v>425</v>
      </c>
      <c r="O57" s="13"/>
      <c r="P57" s="13" t="str">
        <f t="shared" ref="P57:P71" si="75">("SN-" &amp; D57)</f>
        <v>SN-3571</v>
      </c>
      <c r="Q57" s="13" t="str">
        <f t="shared" ref="Q57:Q71" si="76">("SI-" &amp; D57)</f>
        <v>SI-3571</v>
      </c>
      <c r="R57" s="13" t="str">
        <f t="shared" ref="R57:R71" si="77">("SE-" &amp; D57)</f>
        <v>SE-3571</v>
      </c>
      <c r="S57" s="53" t="str">
        <f t="shared" ref="S57:S71" si="78">("Prev_RA-" &amp; D57)</f>
        <v>Prev_RA-3571</v>
      </c>
      <c r="T57" s="53" t="str">
        <f t="shared" ref="T57:T71" si="79">("Prev_Comms-" &amp; D57)</f>
        <v>Prev_Comms-3571</v>
      </c>
      <c r="U57" s="17" t="s">
        <v>75</v>
      </c>
      <c r="V57" s="15" t="s">
        <v>401</v>
      </c>
      <c r="W57" s="17" t="s">
        <v>75</v>
      </c>
      <c r="X57" s="15" t="s">
        <v>396</v>
      </c>
      <c r="Y57" s="13" t="str">
        <f t="shared" ref="Y57:Y71" si="80">("Forward Add-" &amp; D57)</f>
        <v>Forward Add-3571</v>
      </c>
      <c r="Z57" s="15" t="s">
        <v>401</v>
      </c>
      <c r="AA57" s="133" t="str">
        <f>'Run Parameters'!$B$2</f>
        <v>2019-04-26 08:00</v>
      </c>
      <c r="AB57" s="213" t="str">
        <f>'Run Parameters'!B$3</f>
        <v>2019-04-26 18:00</v>
      </c>
      <c r="AC57" s="26">
        <f>('Run Parameters'!$B$2) - 7</f>
        <v>43574.333333333336</v>
      </c>
      <c r="AD57" s="17" t="s">
        <v>75</v>
      </c>
      <c r="AE57" s="18" t="str">
        <f t="shared" ref="AE57:AE71" si="81">("LAST_METER-" &amp; D57)</f>
        <v>LAST_METER-3571</v>
      </c>
      <c r="AF57" s="133" t="str">
        <f>'Run Parameters'!$B$2</f>
        <v>2019-04-26 08:00</v>
      </c>
      <c r="AG57" s="13" t="str">
        <f>'Run Parameters'!B$4</f>
        <v>AUTOTEST2</v>
      </c>
      <c r="AH57" s="53" t="str">
        <f t="shared" ref="AH57:AH71" si="82">("Site_Contact_" &amp; D57)</f>
        <v>Site_Contact_3571</v>
      </c>
      <c r="AI57" s="133" t="str">
        <f>'Run Parameters'!B$2</f>
        <v>2019-04-26 08:00</v>
      </c>
      <c r="AJ57" s="213" t="str">
        <f>'Run Parameters'!B$3</f>
        <v>2019-04-26 18:00</v>
      </c>
      <c r="AK57" s="13" t="s">
        <v>396</v>
      </c>
      <c r="AL57" s="53" t="str">
        <f t="shared" ref="AL57:AL71" si="83">"01159" &amp; D57</f>
        <v>011593571</v>
      </c>
      <c r="AM57" s="13" t="str">
        <f t="shared" ref="AM57:AM71" si="84">("0115" &amp; D57)</f>
        <v>01153571</v>
      </c>
      <c r="AN57" s="15"/>
      <c r="AO57" s="51"/>
      <c r="AP57" s="13">
        <v>1</v>
      </c>
      <c r="AQ57" s="52" t="s">
        <v>49</v>
      </c>
      <c r="AR57" s="15"/>
      <c r="AS57" s="13"/>
      <c r="AT57" s="7"/>
      <c r="AU57" s="7"/>
      <c r="AV57" s="13">
        <f t="shared" ref="AV57:AV71" si="85">D57</f>
        <v>3571</v>
      </c>
      <c r="AW57" s="13" t="s">
        <v>423</v>
      </c>
      <c r="AX57" s="13" t="s">
        <v>420</v>
      </c>
      <c r="AY57" s="13" t="s">
        <v>421</v>
      </c>
      <c r="AZ57" s="15" t="s">
        <v>334</v>
      </c>
      <c r="BA57" s="14" t="s">
        <v>154</v>
      </c>
      <c r="BB57" s="21">
        <v>1</v>
      </c>
      <c r="BC57" s="20">
        <f t="shared" ref="BC57:BC71" si="86">D57</f>
        <v>3571</v>
      </c>
      <c r="BD57" s="16" t="s">
        <v>410</v>
      </c>
      <c r="BE57" s="16" t="s">
        <v>391</v>
      </c>
      <c r="BF57" s="16" t="s">
        <v>390</v>
      </c>
      <c r="BG57" s="20" t="s">
        <v>403</v>
      </c>
      <c r="BH57" s="20" t="str">
        <f t="shared" ref="BH57:BH71" si="87">BC57&amp;"_"&amp;BB57</f>
        <v>3571_1</v>
      </c>
      <c r="BI57" s="21"/>
      <c r="BJ57" s="21" t="str">
        <f t="shared" ref="BJ57:BJ71" si="88">"10000000" &amp; D57</f>
        <v>100000003571</v>
      </c>
      <c r="BK57" s="16" t="s">
        <v>51</v>
      </c>
      <c r="BL57" s="16" t="s">
        <v>54</v>
      </c>
      <c r="BM57" s="20" t="s">
        <v>411</v>
      </c>
      <c r="BN57" s="16" t="s">
        <v>51</v>
      </c>
      <c r="BO57" s="20" t="str">
        <f t="shared" ref="BO57:BO71" si="89">"S05S" &amp; D57</f>
        <v>S05S3571</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DS_Pass-3571</v>
      </c>
      <c r="DO57" s="40"/>
      <c r="DP57" s="40"/>
      <c r="DQ57" s="40"/>
      <c r="DR57" s="41"/>
      <c r="DS57" s="41"/>
      <c r="DT57" s="40"/>
      <c r="DU57" s="40"/>
      <c r="DV57" s="40"/>
      <c r="DW57" s="41"/>
      <c r="DX57" s="40"/>
      <c r="DY57" s="40"/>
      <c r="DZ57" s="37" t="s">
        <v>402</v>
      </c>
      <c r="EA57" s="39"/>
      <c r="EB57" s="37"/>
      <c r="EC57" s="37"/>
      <c r="ED57" s="16"/>
      <c r="EE57" s="1"/>
      <c r="EF57" s="54"/>
    </row>
    <row r="58" spans="1:136" x14ac:dyDescent="0.2">
      <c r="A58" s="209" t="s">
        <v>898</v>
      </c>
      <c r="B58" s="209" t="s">
        <v>892</v>
      </c>
      <c r="C58" s="209" t="s">
        <v>865</v>
      </c>
      <c r="D58" s="13">
        <f>'Run Parameters'!$B$1 + ROW()-1</f>
        <v>3572</v>
      </c>
      <c r="E58" s="15" t="s">
        <v>47</v>
      </c>
      <c r="F58" s="18" t="s">
        <v>403</v>
      </c>
      <c r="G58" s="13" t="str">
        <f t="shared" si="73"/>
        <v>Access Dtls-3572</v>
      </c>
      <c r="H58" s="15" t="s">
        <v>275</v>
      </c>
      <c r="I58" s="13" t="str">
        <f>("MR. Test_57_EXCH2_"&amp;D58&amp;"")</f>
        <v>MR. Test_57_EXCH2_3572</v>
      </c>
      <c r="J58" s="18"/>
      <c r="K58" s="19" t="s">
        <v>425</v>
      </c>
      <c r="L58" s="13" t="str">
        <f t="shared" si="74"/>
        <v>Cust. Ref-3572</v>
      </c>
      <c r="M58" s="15" t="s">
        <v>48</v>
      </c>
      <c r="N58" s="15" t="s">
        <v>425</v>
      </c>
      <c r="O58" s="13"/>
      <c r="P58" s="13" t="str">
        <f t="shared" si="75"/>
        <v>SN-3572</v>
      </c>
      <c r="Q58" s="13" t="str">
        <f t="shared" si="76"/>
        <v>SI-3572</v>
      </c>
      <c r="R58" s="13" t="str">
        <f t="shared" si="77"/>
        <v>SE-3572</v>
      </c>
      <c r="S58" s="53" t="str">
        <f t="shared" si="78"/>
        <v>Prev_RA-3572</v>
      </c>
      <c r="T58" s="53" t="str">
        <f t="shared" si="79"/>
        <v>Prev_Comms-3572</v>
      </c>
      <c r="U58" s="17" t="s">
        <v>75</v>
      </c>
      <c r="V58" s="15" t="s">
        <v>401</v>
      </c>
      <c r="W58" s="17" t="s">
        <v>75</v>
      </c>
      <c r="X58" s="15" t="s">
        <v>396</v>
      </c>
      <c r="Y58" s="13" t="str">
        <f t="shared" si="80"/>
        <v>Forward Add-3572</v>
      </c>
      <c r="Z58" s="15" t="s">
        <v>401</v>
      </c>
      <c r="AA58" s="133" t="str">
        <f>'Run Parameters'!$B$2</f>
        <v>2019-04-26 08:00</v>
      </c>
      <c r="AB58" s="213" t="str">
        <f>'Run Parameters'!B$3</f>
        <v>2019-04-26 18:00</v>
      </c>
      <c r="AC58" s="26">
        <f>('Run Parameters'!$B$2) - 7</f>
        <v>43574.333333333336</v>
      </c>
      <c r="AD58" s="17" t="s">
        <v>75</v>
      </c>
      <c r="AE58" s="18" t="str">
        <f t="shared" si="81"/>
        <v>LAST_METER-3572</v>
      </c>
      <c r="AF58" s="133" t="str">
        <f>'Run Parameters'!$B$2</f>
        <v>2019-04-26 08:00</v>
      </c>
      <c r="AG58" s="13" t="str">
        <f>'Run Parameters'!B$4</f>
        <v>AUTOTEST2</v>
      </c>
      <c r="AH58" s="53" t="str">
        <f t="shared" si="82"/>
        <v>Site_Contact_3572</v>
      </c>
      <c r="AI58" s="133" t="str">
        <f>'Run Parameters'!B$2</f>
        <v>2019-04-26 08:00</v>
      </c>
      <c r="AJ58" s="213" t="str">
        <f>'Run Parameters'!B$3</f>
        <v>2019-04-26 18:00</v>
      </c>
      <c r="AK58" s="13" t="s">
        <v>396</v>
      </c>
      <c r="AL58" s="53" t="str">
        <f t="shared" si="83"/>
        <v>011593572</v>
      </c>
      <c r="AM58" s="13" t="str">
        <f t="shared" si="84"/>
        <v>01153572</v>
      </c>
      <c r="AN58" s="15"/>
      <c r="AO58" s="51"/>
      <c r="AP58" s="13">
        <v>1</v>
      </c>
      <c r="AQ58" s="52" t="s">
        <v>49</v>
      </c>
      <c r="AR58" s="15"/>
      <c r="AS58" s="13"/>
      <c r="AT58" s="7"/>
      <c r="AU58" s="7"/>
      <c r="AV58" s="13">
        <f t="shared" si="85"/>
        <v>3572</v>
      </c>
      <c r="AW58" s="13" t="s">
        <v>423</v>
      </c>
      <c r="AX58" s="13" t="s">
        <v>420</v>
      </c>
      <c r="AY58" s="13" t="s">
        <v>421</v>
      </c>
      <c r="AZ58" s="15" t="s">
        <v>334</v>
      </c>
      <c r="BA58" s="14" t="s">
        <v>154</v>
      </c>
      <c r="BB58" s="21">
        <v>1</v>
      </c>
      <c r="BC58" s="20">
        <f t="shared" si="86"/>
        <v>3572</v>
      </c>
      <c r="BD58" s="16" t="s">
        <v>410</v>
      </c>
      <c r="BE58" s="16" t="s">
        <v>391</v>
      </c>
      <c r="BF58" s="16" t="s">
        <v>390</v>
      </c>
      <c r="BG58" s="20" t="s">
        <v>403</v>
      </c>
      <c r="BH58" s="20" t="str">
        <f t="shared" si="87"/>
        <v>3572_1</v>
      </c>
      <c r="BI58" s="21"/>
      <c r="BJ58" s="21" t="str">
        <f t="shared" si="88"/>
        <v>100000003572</v>
      </c>
      <c r="BK58" s="16" t="s">
        <v>51</v>
      </c>
      <c r="BL58" s="16" t="s">
        <v>54</v>
      </c>
      <c r="BM58" s="20" t="s">
        <v>411</v>
      </c>
      <c r="BN58" s="16" t="s">
        <v>51</v>
      </c>
      <c r="BO58" s="20" t="str">
        <f t="shared" si="89"/>
        <v>S05S3572</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DS_Pass-3572</v>
      </c>
      <c r="DO58" s="40"/>
      <c r="DP58" s="40"/>
      <c r="DQ58" s="40"/>
      <c r="DR58" s="41"/>
      <c r="DS58" s="41"/>
      <c r="DT58" s="40"/>
      <c r="DU58" s="40"/>
      <c r="DV58" s="40"/>
      <c r="DW58" s="41"/>
      <c r="DX58" s="40"/>
      <c r="DY58" s="40"/>
      <c r="DZ58" s="37" t="s">
        <v>402</v>
      </c>
      <c r="EA58" s="39"/>
      <c r="EB58" s="37"/>
      <c r="EC58" s="37"/>
      <c r="ED58" s="16"/>
      <c r="EE58" s="1"/>
      <c r="EF58" s="54"/>
    </row>
    <row r="59" spans="1:136" x14ac:dyDescent="0.2">
      <c r="A59" s="209" t="s">
        <v>899</v>
      </c>
      <c r="B59" s="209" t="s">
        <v>868</v>
      </c>
      <c r="C59" s="209" t="s">
        <v>865</v>
      </c>
      <c r="D59" s="13">
        <f>'Run Parameters'!$B$1 + ROW()-1</f>
        <v>3573</v>
      </c>
      <c r="E59" s="15" t="s">
        <v>47</v>
      </c>
      <c r="F59" s="18" t="s">
        <v>403</v>
      </c>
      <c r="G59" s="13" t="str">
        <f t="shared" si="73"/>
        <v>Access Dtls-3573</v>
      </c>
      <c r="H59" s="15" t="s">
        <v>275</v>
      </c>
      <c r="I59" s="13" t="str">
        <f>("MR. Test_58_EXCH2_"&amp;D59&amp;"")</f>
        <v>MR. Test_58_EXCH2_3573</v>
      </c>
      <c r="J59" s="18"/>
      <c r="K59" s="19" t="s">
        <v>425</v>
      </c>
      <c r="L59" s="13" t="str">
        <f t="shared" si="74"/>
        <v>Cust. Ref-3573</v>
      </c>
      <c r="M59" s="15" t="s">
        <v>48</v>
      </c>
      <c r="N59" s="15" t="s">
        <v>425</v>
      </c>
      <c r="O59" s="13"/>
      <c r="P59" s="13" t="str">
        <f t="shared" si="75"/>
        <v>SN-3573</v>
      </c>
      <c r="Q59" s="13" t="str">
        <f t="shared" si="76"/>
        <v>SI-3573</v>
      </c>
      <c r="R59" s="13" t="str">
        <f t="shared" si="77"/>
        <v>SE-3573</v>
      </c>
      <c r="S59" s="53" t="str">
        <f t="shared" si="78"/>
        <v>Prev_RA-3573</v>
      </c>
      <c r="T59" s="53" t="str">
        <f t="shared" si="79"/>
        <v>Prev_Comms-3573</v>
      </c>
      <c r="U59" s="17" t="s">
        <v>75</v>
      </c>
      <c r="V59" s="15" t="s">
        <v>401</v>
      </c>
      <c r="W59" s="17" t="s">
        <v>75</v>
      </c>
      <c r="X59" s="15" t="s">
        <v>396</v>
      </c>
      <c r="Y59" s="13" t="str">
        <f t="shared" si="80"/>
        <v>Forward Add-3573</v>
      </c>
      <c r="Z59" s="15" t="s">
        <v>401</v>
      </c>
      <c r="AA59" s="133" t="str">
        <f>'Run Parameters'!$B$2</f>
        <v>2019-04-26 08:00</v>
      </c>
      <c r="AB59" s="213" t="str">
        <f>'Run Parameters'!B$3</f>
        <v>2019-04-26 18:00</v>
      </c>
      <c r="AC59" s="26">
        <f>('Run Parameters'!$B$2) - 7</f>
        <v>43574.333333333336</v>
      </c>
      <c r="AD59" s="17" t="s">
        <v>75</v>
      </c>
      <c r="AE59" s="18" t="str">
        <f t="shared" si="81"/>
        <v>LAST_METER-3573</v>
      </c>
      <c r="AF59" s="133" t="str">
        <f>'Run Parameters'!$B$2</f>
        <v>2019-04-26 08:00</v>
      </c>
      <c r="AG59" s="13" t="str">
        <f>'Run Parameters'!B$4</f>
        <v>AUTOTEST2</v>
      </c>
      <c r="AH59" s="53" t="str">
        <f t="shared" si="82"/>
        <v>Site_Contact_3573</v>
      </c>
      <c r="AI59" s="133" t="str">
        <f>'Run Parameters'!B$2</f>
        <v>2019-04-26 08:00</v>
      </c>
      <c r="AJ59" s="213" t="str">
        <f>'Run Parameters'!B$3</f>
        <v>2019-04-26 18:00</v>
      </c>
      <c r="AK59" s="13" t="s">
        <v>396</v>
      </c>
      <c r="AL59" s="53" t="str">
        <f t="shared" si="83"/>
        <v>011593573</v>
      </c>
      <c r="AM59" s="13" t="str">
        <f t="shared" si="84"/>
        <v>01153573</v>
      </c>
      <c r="AN59" s="15"/>
      <c r="AO59" s="51"/>
      <c r="AP59" s="13">
        <v>1</v>
      </c>
      <c r="AQ59" s="52" t="s">
        <v>49</v>
      </c>
      <c r="AR59" s="15"/>
      <c r="AS59" s="13"/>
      <c r="AT59" s="7"/>
      <c r="AU59" s="7"/>
      <c r="AV59" s="13">
        <f t="shared" si="85"/>
        <v>3573</v>
      </c>
      <c r="AW59" s="13" t="s">
        <v>423</v>
      </c>
      <c r="AX59" s="13" t="s">
        <v>420</v>
      </c>
      <c r="AY59" s="13" t="s">
        <v>421</v>
      </c>
      <c r="AZ59" s="15" t="s">
        <v>334</v>
      </c>
      <c r="BA59" s="14" t="s">
        <v>154</v>
      </c>
      <c r="BB59" s="21">
        <v>1</v>
      </c>
      <c r="BC59" s="20">
        <f t="shared" si="86"/>
        <v>3573</v>
      </c>
      <c r="BD59" s="16" t="s">
        <v>410</v>
      </c>
      <c r="BE59" s="16" t="s">
        <v>391</v>
      </c>
      <c r="BF59" s="16" t="s">
        <v>390</v>
      </c>
      <c r="BG59" s="20" t="s">
        <v>403</v>
      </c>
      <c r="BH59" s="20" t="str">
        <f t="shared" si="87"/>
        <v>3573_1</v>
      </c>
      <c r="BI59" s="21"/>
      <c r="BJ59" s="21" t="str">
        <f t="shared" si="88"/>
        <v>100000003573</v>
      </c>
      <c r="BK59" s="16" t="s">
        <v>51</v>
      </c>
      <c r="BL59" s="16" t="s">
        <v>54</v>
      </c>
      <c r="BM59" s="20" t="s">
        <v>411</v>
      </c>
      <c r="BN59" s="16" t="s">
        <v>51</v>
      </c>
      <c r="BO59" s="20" t="str">
        <f t="shared" si="89"/>
        <v>S05S3573</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DS_Pass-3573</v>
      </c>
      <c r="DO59" s="40"/>
      <c r="DP59" s="40"/>
      <c r="DQ59" s="40"/>
      <c r="DR59" s="41"/>
      <c r="DS59" s="41"/>
      <c r="DT59" s="40"/>
      <c r="DU59" s="40"/>
      <c r="DV59" s="40"/>
      <c r="DW59" s="41"/>
      <c r="DX59" s="40"/>
      <c r="DY59" s="40"/>
      <c r="DZ59" s="37" t="s">
        <v>402</v>
      </c>
      <c r="EA59" s="39"/>
      <c r="EB59" s="37"/>
      <c r="EC59" s="37"/>
      <c r="ED59" s="16"/>
      <c r="EE59" s="1"/>
      <c r="EF59" s="54"/>
    </row>
    <row r="60" spans="1:136" x14ac:dyDescent="0.2">
      <c r="A60" s="209" t="s">
        <v>900</v>
      </c>
      <c r="B60" s="209" t="s">
        <v>892</v>
      </c>
      <c r="C60" s="209" t="s">
        <v>865</v>
      </c>
      <c r="D60" s="13">
        <f>'Run Parameters'!$B$1 + ROW()-1</f>
        <v>3574</v>
      </c>
      <c r="E60" s="15" t="s">
        <v>47</v>
      </c>
      <c r="F60" s="18" t="s">
        <v>403</v>
      </c>
      <c r="G60" s="13" t="str">
        <f t="shared" si="73"/>
        <v>Access Dtls-3574</v>
      </c>
      <c r="H60" s="15" t="s">
        <v>275</v>
      </c>
      <c r="I60" s="13" t="str">
        <f>("MR. Test_59_EXCH2_"&amp;D60&amp;"")</f>
        <v>MR. Test_59_EXCH2_3574</v>
      </c>
      <c r="J60" s="18"/>
      <c r="K60" s="19" t="s">
        <v>425</v>
      </c>
      <c r="L60" s="13" t="str">
        <f t="shared" si="74"/>
        <v>Cust. Ref-3574</v>
      </c>
      <c r="M60" s="15" t="s">
        <v>48</v>
      </c>
      <c r="N60" s="15" t="s">
        <v>425</v>
      </c>
      <c r="O60" s="13"/>
      <c r="P60" s="13" t="str">
        <f t="shared" si="75"/>
        <v>SN-3574</v>
      </c>
      <c r="Q60" s="13" t="str">
        <f t="shared" si="76"/>
        <v>SI-3574</v>
      </c>
      <c r="R60" s="13" t="str">
        <f t="shared" si="77"/>
        <v>SE-3574</v>
      </c>
      <c r="S60" s="53" t="str">
        <f t="shared" si="78"/>
        <v>Prev_RA-3574</v>
      </c>
      <c r="T60" s="53" t="str">
        <f t="shared" si="79"/>
        <v>Prev_Comms-3574</v>
      </c>
      <c r="U60" s="17" t="s">
        <v>75</v>
      </c>
      <c r="V60" s="15" t="s">
        <v>401</v>
      </c>
      <c r="W60" s="17" t="s">
        <v>75</v>
      </c>
      <c r="X60" s="15" t="s">
        <v>396</v>
      </c>
      <c r="Y60" s="13" t="str">
        <f t="shared" si="80"/>
        <v>Forward Add-3574</v>
      </c>
      <c r="Z60" s="15" t="s">
        <v>401</v>
      </c>
      <c r="AA60" s="133" t="str">
        <f>'Run Parameters'!$B$2</f>
        <v>2019-04-26 08:00</v>
      </c>
      <c r="AB60" s="213" t="str">
        <f>'Run Parameters'!B$3</f>
        <v>2019-04-26 18:00</v>
      </c>
      <c r="AC60" s="26">
        <f>('Run Parameters'!$B$2) - 7</f>
        <v>43574.333333333336</v>
      </c>
      <c r="AD60" s="17" t="s">
        <v>75</v>
      </c>
      <c r="AE60" s="18" t="str">
        <f t="shared" si="81"/>
        <v>LAST_METER-3574</v>
      </c>
      <c r="AF60" s="133" t="str">
        <f>'Run Parameters'!$B$2</f>
        <v>2019-04-26 08:00</v>
      </c>
      <c r="AG60" s="13" t="str">
        <f>'Run Parameters'!B$4</f>
        <v>AUTOTEST2</v>
      </c>
      <c r="AH60" s="53" t="str">
        <f t="shared" si="82"/>
        <v>Site_Contact_3574</v>
      </c>
      <c r="AI60" s="133" t="str">
        <f>'Run Parameters'!B$2</f>
        <v>2019-04-26 08:00</v>
      </c>
      <c r="AJ60" s="213" t="str">
        <f>'Run Parameters'!B$3</f>
        <v>2019-04-26 18:00</v>
      </c>
      <c r="AK60" s="13" t="s">
        <v>396</v>
      </c>
      <c r="AL60" s="53" t="str">
        <f t="shared" si="83"/>
        <v>011593574</v>
      </c>
      <c r="AM60" s="13" t="str">
        <f t="shared" si="84"/>
        <v>01153574</v>
      </c>
      <c r="AN60" s="15"/>
      <c r="AO60" s="51"/>
      <c r="AP60" s="13">
        <v>1</v>
      </c>
      <c r="AQ60" s="52" t="s">
        <v>49</v>
      </c>
      <c r="AR60" s="15"/>
      <c r="AS60" s="13"/>
      <c r="AT60" s="7"/>
      <c r="AU60" s="7"/>
      <c r="AV60" s="13">
        <f t="shared" si="85"/>
        <v>3574</v>
      </c>
      <c r="AW60" s="13" t="s">
        <v>423</v>
      </c>
      <c r="AX60" s="13" t="s">
        <v>420</v>
      </c>
      <c r="AY60" s="13" t="s">
        <v>421</v>
      </c>
      <c r="AZ60" s="15" t="s">
        <v>334</v>
      </c>
      <c r="BA60" s="14" t="s">
        <v>154</v>
      </c>
      <c r="BB60" s="21">
        <v>1</v>
      </c>
      <c r="BC60" s="20">
        <f t="shared" si="86"/>
        <v>3574</v>
      </c>
      <c r="BD60" s="16" t="s">
        <v>410</v>
      </c>
      <c r="BE60" s="16" t="s">
        <v>391</v>
      </c>
      <c r="BF60" s="16" t="s">
        <v>390</v>
      </c>
      <c r="BG60" s="20" t="s">
        <v>403</v>
      </c>
      <c r="BH60" s="20" t="str">
        <f t="shared" si="87"/>
        <v>3574_1</v>
      </c>
      <c r="BI60" s="21"/>
      <c r="BJ60" s="21" t="str">
        <f t="shared" si="88"/>
        <v>100000003574</v>
      </c>
      <c r="BK60" s="16" t="s">
        <v>51</v>
      </c>
      <c r="BL60" s="16" t="s">
        <v>54</v>
      </c>
      <c r="BM60" s="20" t="s">
        <v>411</v>
      </c>
      <c r="BN60" s="16" t="s">
        <v>51</v>
      </c>
      <c r="BO60" s="20" t="str">
        <f t="shared" si="89"/>
        <v>S05S3574</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DS_Pass-3574</v>
      </c>
      <c r="DO60" s="40"/>
      <c r="DP60" s="40"/>
      <c r="DQ60" s="40"/>
      <c r="DR60" s="41"/>
      <c r="DS60" s="41"/>
      <c r="DT60" s="40"/>
      <c r="DU60" s="40"/>
      <c r="DV60" s="40"/>
      <c r="DW60" s="41"/>
      <c r="DX60" s="40"/>
      <c r="DY60" s="40"/>
      <c r="DZ60" s="37" t="s">
        <v>402</v>
      </c>
      <c r="EA60" s="39"/>
      <c r="EB60" s="37"/>
      <c r="EC60" s="37"/>
      <c r="ED60" s="16"/>
      <c r="EE60" s="1"/>
      <c r="EF60" s="54"/>
    </row>
    <row r="61" spans="1:136" x14ac:dyDescent="0.2">
      <c r="A61" s="209" t="s">
        <v>901</v>
      </c>
      <c r="B61" s="209" t="s">
        <v>868</v>
      </c>
      <c r="C61" s="209" t="s">
        <v>865</v>
      </c>
      <c r="D61" s="13">
        <f>'Run Parameters'!$B$1 + ROW()-1</f>
        <v>3575</v>
      </c>
      <c r="E61" s="15" t="s">
        <v>47</v>
      </c>
      <c r="F61" s="18" t="s">
        <v>403</v>
      </c>
      <c r="G61" s="13" t="str">
        <f t="shared" si="73"/>
        <v>Access Dtls-3575</v>
      </c>
      <c r="H61" s="15" t="s">
        <v>275</v>
      </c>
      <c r="I61" s="13" t="str">
        <f>("MR. Test_60_EXCH2_"&amp;D61&amp;"")</f>
        <v>MR. Test_60_EXCH2_3575</v>
      </c>
      <c r="J61" s="18"/>
      <c r="K61" s="19" t="s">
        <v>425</v>
      </c>
      <c r="L61" s="13" t="str">
        <f t="shared" si="74"/>
        <v>Cust. Ref-3575</v>
      </c>
      <c r="M61" s="15" t="s">
        <v>48</v>
      </c>
      <c r="N61" s="15" t="s">
        <v>425</v>
      </c>
      <c r="O61" s="13"/>
      <c r="P61" s="13" t="str">
        <f t="shared" si="75"/>
        <v>SN-3575</v>
      </c>
      <c r="Q61" s="13" t="str">
        <f t="shared" si="76"/>
        <v>SI-3575</v>
      </c>
      <c r="R61" s="13" t="str">
        <f t="shared" si="77"/>
        <v>SE-3575</v>
      </c>
      <c r="S61" s="53" t="str">
        <f t="shared" si="78"/>
        <v>Prev_RA-3575</v>
      </c>
      <c r="T61" s="53" t="str">
        <f t="shared" si="79"/>
        <v>Prev_Comms-3575</v>
      </c>
      <c r="U61" s="17" t="s">
        <v>75</v>
      </c>
      <c r="V61" s="15" t="s">
        <v>401</v>
      </c>
      <c r="W61" s="17" t="s">
        <v>75</v>
      </c>
      <c r="X61" s="15" t="s">
        <v>396</v>
      </c>
      <c r="Y61" s="13" t="str">
        <f t="shared" si="80"/>
        <v>Forward Add-3575</v>
      </c>
      <c r="Z61" s="15" t="s">
        <v>401</v>
      </c>
      <c r="AA61" s="133" t="str">
        <f>'Run Parameters'!$B$2</f>
        <v>2019-04-26 08:00</v>
      </c>
      <c r="AB61" s="213" t="str">
        <f>'Run Parameters'!B$3</f>
        <v>2019-04-26 18:00</v>
      </c>
      <c r="AC61" s="26">
        <f>('Run Parameters'!$B$2) - 7</f>
        <v>43574.333333333336</v>
      </c>
      <c r="AD61" s="17" t="s">
        <v>75</v>
      </c>
      <c r="AE61" s="18" t="str">
        <f t="shared" si="81"/>
        <v>LAST_METER-3575</v>
      </c>
      <c r="AF61" s="133" t="str">
        <f>'Run Parameters'!$B$2</f>
        <v>2019-04-26 08:00</v>
      </c>
      <c r="AG61" s="13" t="str">
        <f>'Run Parameters'!B$4</f>
        <v>AUTOTEST2</v>
      </c>
      <c r="AH61" s="53" t="str">
        <f t="shared" si="82"/>
        <v>Site_Contact_3575</v>
      </c>
      <c r="AI61" s="133" t="str">
        <f>'Run Parameters'!B$2</f>
        <v>2019-04-26 08:00</v>
      </c>
      <c r="AJ61" s="213" t="str">
        <f>'Run Parameters'!B$3</f>
        <v>2019-04-26 18:00</v>
      </c>
      <c r="AK61" s="13" t="s">
        <v>396</v>
      </c>
      <c r="AL61" s="53" t="str">
        <f t="shared" si="83"/>
        <v>011593575</v>
      </c>
      <c r="AM61" s="13" t="str">
        <f t="shared" si="84"/>
        <v>01153575</v>
      </c>
      <c r="AN61" s="15"/>
      <c r="AO61" s="51"/>
      <c r="AP61" s="13">
        <v>1</v>
      </c>
      <c r="AQ61" s="52" t="s">
        <v>49</v>
      </c>
      <c r="AR61" s="15"/>
      <c r="AS61" s="13"/>
      <c r="AT61" s="7"/>
      <c r="AU61" s="7"/>
      <c r="AV61" s="13">
        <f t="shared" si="85"/>
        <v>3575</v>
      </c>
      <c r="AW61" s="13" t="s">
        <v>423</v>
      </c>
      <c r="AX61" s="13" t="s">
        <v>420</v>
      </c>
      <c r="AY61" s="13" t="s">
        <v>421</v>
      </c>
      <c r="AZ61" s="15" t="s">
        <v>334</v>
      </c>
      <c r="BA61" s="14" t="s">
        <v>154</v>
      </c>
      <c r="BB61" s="21">
        <v>1</v>
      </c>
      <c r="BC61" s="20">
        <f t="shared" si="86"/>
        <v>3575</v>
      </c>
      <c r="BD61" s="16" t="s">
        <v>410</v>
      </c>
      <c r="BE61" s="16" t="s">
        <v>391</v>
      </c>
      <c r="BF61" s="16" t="s">
        <v>390</v>
      </c>
      <c r="BG61" s="20" t="s">
        <v>403</v>
      </c>
      <c r="BH61" s="20" t="str">
        <f t="shared" si="87"/>
        <v>3575_1</v>
      </c>
      <c r="BI61" s="21"/>
      <c r="BJ61" s="21" t="str">
        <f t="shared" si="88"/>
        <v>100000003575</v>
      </c>
      <c r="BK61" s="16" t="s">
        <v>51</v>
      </c>
      <c r="BL61" s="16" t="s">
        <v>54</v>
      </c>
      <c r="BM61" s="20" t="s">
        <v>411</v>
      </c>
      <c r="BN61" s="16" t="s">
        <v>51</v>
      </c>
      <c r="BO61" s="20" t="str">
        <f t="shared" si="89"/>
        <v>S05S3575</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DS_Pass-3575</v>
      </c>
      <c r="DO61" s="40"/>
      <c r="DP61" s="40"/>
      <c r="DQ61" s="40"/>
      <c r="DR61" s="41"/>
      <c r="DS61" s="41"/>
      <c r="DT61" s="40"/>
      <c r="DU61" s="40"/>
      <c r="DV61" s="40"/>
      <c r="DW61" s="41"/>
      <c r="DX61" s="40"/>
      <c r="DY61" s="40"/>
      <c r="DZ61" s="37" t="s">
        <v>402</v>
      </c>
      <c r="EA61" s="39"/>
      <c r="EB61" s="37"/>
      <c r="EC61" s="37"/>
      <c r="ED61" s="16"/>
      <c r="EE61" s="1"/>
      <c r="EF61" s="54"/>
    </row>
    <row r="62" spans="1:136" x14ac:dyDescent="0.2">
      <c r="A62" s="209" t="s">
        <v>902</v>
      </c>
      <c r="B62" s="209" t="s">
        <v>892</v>
      </c>
      <c r="C62" s="209" t="s">
        <v>865</v>
      </c>
      <c r="D62" s="13">
        <f>'Run Parameters'!$B$1 + ROW()-1</f>
        <v>3576</v>
      </c>
      <c r="E62" s="15" t="s">
        <v>47</v>
      </c>
      <c r="F62" s="18" t="s">
        <v>403</v>
      </c>
      <c r="G62" s="13" t="str">
        <f t="shared" si="73"/>
        <v>Access Dtls-3576</v>
      </c>
      <c r="H62" s="15" t="s">
        <v>275</v>
      </c>
      <c r="I62" s="13" t="str">
        <f>("MR. Test_61_EXCH2_"&amp;D62&amp;"")</f>
        <v>MR. Test_61_EXCH2_3576</v>
      </c>
      <c r="J62" s="18"/>
      <c r="K62" s="19" t="s">
        <v>425</v>
      </c>
      <c r="L62" s="13" t="str">
        <f t="shared" si="74"/>
        <v>Cust. Ref-3576</v>
      </c>
      <c r="M62" s="15" t="s">
        <v>48</v>
      </c>
      <c r="N62" s="15" t="s">
        <v>425</v>
      </c>
      <c r="O62" s="13"/>
      <c r="P62" s="13" t="str">
        <f t="shared" si="75"/>
        <v>SN-3576</v>
      </c>
      <c r="Q62" s="13" t="str">
        <f t="shared" si="76"/>
        <v>SI-3576</v>
      </c>
      <c r="R62" s="13" t="str">
        <f t="shared" si="77"/>
        <v>SE-3576</v>
      </c>
      <c r="S62" s="53" t="str">
        <f t="shared" si="78"/>
        <v>Prev_RA-3576</v>
      </c>
      <c r="T62" s="53" t="str">
        <f t="shared" si="79"/>
        <v>Prev_Comms-3576</v>
      </c>
      <c r="U62" s="17" t="s">
        <v>75</v>
      </c>
      <c r="V62" s="15" t="s">
        <v>401</v>
      </c>
      <c r="W62" s="17" t="s">
        <v>75</v>
      </c>
      <c r="X62" s="15" t="s">
        <v>396</v>
      </c>
      <c r="Y62" s="13" t="str">
        <f t="shared" si="80"/>
        <v>Forward Add-3576</v>
      </c>
      <c r="Z62" s="15" t="s">
        <v>401</v>
      </c>
      <c r="AA62" s="133" t="str">
        <f>'Run Parameters'!$B$2</f>
        <v>2019-04-26 08:00</v>
      </c>
      <c r="AB62" s="213" t="str">
        <f>'Run Parameters'!B$3</f>
        <v>2019-04-26 18:00</v>
      </c>
      <c r="AC62" s="26">
        <f>('Run Parameters'!$B$2) - 7</f>
        <v>43574.333333333336</v>
      </c>
      <c r="AD62" s="17" t="s">
        <v>75</v>
      </c>
      <c r="AE62" s="18" t="str">
        <f t="shared" si="81"/>
        <v>LAST_METER-3576</v>
      </c>
      <c r="AF62" s="133" t="str">
        <f>'Run Parameters'!$B$2</f>
        <v>2019-04-26 08:00</v>
      </c>
      <c r="AG62" s="13" t="str">
        <f>'Run Parameters'!B$4</f>
        <v>AUTOTEST2</v>
      </c>
      <c r="AH62" s="53" t="str">
        <f t="shared" si="82"/>
        <v>Site_Contact_3576</v>
      </c>
      <c r="AI62" s="133" t="str">
        <f>'Run Parameters'!B$2</f>
        <v>2019-04-26 08:00</v>
      </c>
      <c r="AJ62" s="213" t="str">
        <f>'Run Parameters'!B$3</f>
        <v>2019-04-26 18:00</v>
      </c>
      <c r="AK62" s="13" t="s">
        <v>396</v>
      </c>
      <c r="AL62" s="53" t="str">
        <f t="shared" si="83"/>
        <v>011593576</v>
      </c>
      <c r="AM62" s="13" t="str">
        <f t="shared" si="84"/>
        <v>01153576</v>
      </c>
      <c r="AN62" s="15"/>
      <c r="AO62" s="51"/>
      <c r="AP62" s="13">
        <v>1</v>
      </c>
      <c r="AQ62" s="52" t="s">
        <v>49</v>
      </c>
      <c r="AR62" s="15"/>
      <c r="AS62" s="13"/>
      <c r="AT62" s="7"/>
      <c r="AU62" s="7"/>
      <c r="AV62" s="13">
        <f t="shared" si="85"/>
        <v>3576</v>
      </c>
      <c r="AW62" s="13" t="s">
        <v>423</v>
      </c>
      <c r="AX62" s="13" t="s">
        <v>420</v>
      </c>
      <c r="AY62" s="13" t="s">
        <v>421</v>
      </c>
      <c r="AZ62" s="15" t="s">
        <v>334</v>
      </c>
      <c r="BA62" s="14" t="s">
        <v>154</v>
      </c>
      <c r="BB62" s="21">
        <v>1</v>
      </c>
      <c r="BC62" s="20">
        <f t="shared" si="86"/>
        <v>3576</v>
      </c>
      <c r="BD62" s="16" t="s">
        <v>410</v>
      </c>
      <c r="BE62" s="16" t="s">
        <v>391</v>
      </c>
      <c r="BF62" s="16" t="s">
        <v>390</v>
      </c>
      <c r="BG62" s="20" t="s">
        <v>403</v>
      </c>
      <c r="BH62" s="20" t="str">
        <f t="shared" si="87"/>
        <v>3576_1</v>
      </c>
      <c r="BI62" s="21"/>
      <c r="BJ62" s="21" t="str">
        <f t="shared" si="88"/>
        <v>100000003576</v>
      </c>
      <c r="BK62" s="16" t="s">
        <v>51</v>
      </c>
      <c r="BL62" s="16" t="s">
        <v>54</v>
      </c>
      <c r="BM62" s="20" t="s">
        <v>411</v>
      </c>
      <c r="BN62" s="16" t="s">
        <v>51</v>
      </c>
      <c r="BO62" s="20" t="str">
        <f t="shared" si="89"/>
        <v>S05S3576</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DS_Pass-3576</v>
      </c>
      <c r="DO62" s="40"/>
      <c r="DP62" s="40"/>
      <c r="DQ62" s="40"/>
      <c r="DR62" s="41"/>
      <c r="DS62" s="41"/>
      <c r="DT62" s="40"/>
      <c r="DU62" s="40"/>
      <c r="DV62" s="40"/>
      <c r="DW62" s="41"/>
      <c r="DX62" s="40"/>
      <c r="DY62" s="40"/>
      <c r="DZ62" s="37" t="s">
        <v>402</v>
      </c>
      <c r="EA62" s="39"/>
      <c r="EB62" s="37"/>
      <c r="EC62" s="37"/>
      <c r="ED62" s="16"/>
      <c r="EE62" s="1"/>
      <c r="EF62" s="54"/>
    </row>
    <row r="63" spans="1:136" x14ac:dyDescent="0.2">
      <c r="A63" s="209" t="s">
        <v>903</v>
      </c>
      <c r="B63" s="209" t="s">
        <v>868</v>
      </c>
      <c r="C63" s="209" t="s">
        <v>865</v>
      </c>
      <c r="D63" s="13">
        <f>'Run Parameters'!$B$1 + ROW()-1</f>
        <v>3577</v>
      </c>
      <c r="E63" s="15" t="s">
        <v>47</v>
      </c>
      <c r="F63" s="18" t="s">
        <v>403</v>
      </c>
      <c r="G63" s="13" t="str">
        <f t="shared" si="73"/>
        <v>Access Dtls-3577</v>
      </c>
      <c r="H63" s="15" t="s">
        <v>275</v>
      </c>
      <c r="I63" s="13" t="str">
        <f>("MR. Test_62_EXCH2_"&amp;D63&amp;"")</f>
        <v>MR. Test_62_EXCH2_3577</v>
      </c>
      <c r="J63" s="18"/>
      <c r="K63" s="19" t="s">
        <v>425</v>
      </c>
      <c r="L63" s="13" t="str">
        <f t="shared" si="74"/>
        <v>Cust. Ref-3577</v>
      </c>
      <c r="M63" s="15" t="s">
        <v>48</v>
      </c>
      <c r="N63" s="15" t="s">
        <v>425</v>
      </c>
      <c r="O63" s="13"/>
      <c r="P63" s="13" t="str">
        <f t="shared" si="75"/>
        <v>SN-3577</v>
      </c>
      <c r="Q63" s="13" t="str">
        <f t="shared" si="76"/>
        <v>SI-3577</v>
      </c>
      <c r="R63" s="13" t="str">
        <f t="shared" si="77"/>
        <v>SE-3577</v>
      </c>
      <c r="S63" s="53" t="str">
        <f t="shared" si="78"/>
        <v>Prev_RA-3577</v>
      </c>
      <c r="T63" s="53" t="str">
        <f t="shared" si="79"/>
        <v>Prev_Comms-3577</v>
      </c>
      <c r="U63" s="17" t="s">
        <v>75</v>
      </c>
      <c r="V63" s="15" t="s">
        <v>401</v>
      </c>
      <c r="W63" s="17" t="s">
        <v>75</v>
      </c>
      <c r="X63" s="15" t="s">
        <v>396</v>
      </c>
      <c r="Y63" s="13" t="str">
        <f t="shared" si="80"/>
        <v>Forward Add-3577</v>
      </c>
      <c r="Z63" s="15" t="s">
        <v>401</v>
      </c>
      <c r="AA63" s="133" t="str">
        <f>'Run Parameters'!$B$2</f>
        <v>2019-04-26 08:00</v>
      </c>
      <c r="AB63" s="213" t="str">
        <f>'Run Parameters'!B$3</f>
        <v>2019-04-26 18:00</v>
      </c>
      <c r="AC63" s="26">
        <f>('Run Parameters'!$B$2) - 7</f>
        <v>43574.333333333336</v>
      </c>
      <c r="AD63" s="17" t="s">
        <v>75</v>
      </c>
      <c r="AE63" s="18" t="str">
        <f t="shared" si="81"/>
        <v>LAST_METER-3577</v>
      </c>
      <c r="AF63" s="133" t="str">
        <f>'Run Parameters'!$B$2</f>
        <v>2019-04-26 08:00</v>
      </c>
      <c r="AG63" s="13" t="str">
        <f>'Run Parameters'!B$4</f>
        <v>AUTOTEST2</v>
      </c>
      <c r="AH63" s="53" t="str">
        <f t="shared" si="82"/>
        <v>Site_Contact_3577</v>
      </c>
      <c r="AI63" s="133" t="str">
        <f>'Run Parameters'!B$2</f>
        <v>2019-04-26 08:00</v>
      </c>
      <c r="AJ63" s="213" t="str">
        <f>'Run Parameters'!B$3</f>
        <v>2019-04-26 18:00</v>
      </c>
      <c r="AK63" s="13" t="s">
        <v>396</v>
      </c>
      <c r="AL63" s="53" t="str">
        <f t="shared" si="83"/>
        <v>011593577</v>
      </c>
      <c r="AM63" s="13" t="str">
        <f t="shared" si="84"/>
        <v>01153577</v>
      </c>
      <c r="AN63" s="15"/>
      <c r="AO63" s="51"/>
      <c r="AP63" s="13">
        <v>1</v>
      </c>
      <c r="AQ63" s="52" t="s">
        <v>49</v>
      </c>
      <c r="AR63" s="15"/>
      <c r="AS63" s="13"/>
      <c r="AT63" s="7"/>
      <c r="AU63" s="7"/>
      <c r="AV63" s="13">
        <f t="shared" si="85"/>
        <v>3577</v>
      </c>
      <c r="AW63" s="13" t="s">
        <v>423</v>
      </c>
      <c r="AX63" s="13" t="s">
        <v>420</v>
      </c>
      <c r="AY63" s="13" t="s">
        <v>421</v>
      </c>
      <c r="AZ63" s="15" t="s">
        <v>334</v>
      </c>
      <c r="BA63" s="14" t="s">
        <v>154</v>
      </c>
      <c r="BB63" s="21">
        <v>1</v>
      </c>
      <c r="BC63" s="20">
        <f t="shared" si="86"/>
        <v>3577</v>
      </c>
      <c r="BD63" s="16" t="s">
        <v>410</v>
      </c>
      <c r="BE63" s="16" t="s">
        <v>391</v>
      </c>
      <c r="BF63" s="16" t="s">
        <v>390</v>
      </c>
      <c r="BG63" s="20" t="s">
        <v>403</v>
      </c>
      <c r="BH63" s="20" t="str">
        <f t="shared" si="87"/>
        <v>3577_1</v>
      </c>
      <c r="BI63" s="21"/>
      <c r="BJ63" s="21" t="str">
        <f t="shared" si="88"/>
        <v>100000003577</v>
      </c>
      <c r="BK63" s="16" t="s">
        <v>51</v>
      </c>
      <c r="BL63" s="16" t="s">
        <v>54</v>
      </c>
      <c r="BM63" s="20" t="s">
        <v>411</v>
      </c>
      <c r="BN63" s="16" t="s">
        <v>51</v>
      </c>
      <c r="BO63" s="20" t="str">
        <f t="shared" si="89"/>
        <v>S05S3577</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DS_Pass-3577</v>
      </c>
      <c r="DO63" s="40"/>
      <c r="DP63" s="40"/>
      <c r="DQ63" s="40"/>
      <c r="DR63" s="41"/>
      <c r="DS63" s="41"/>
      <c r="DT63" s="40"/>
      <c r="DU63" s="40"/>
      <c r="DV63" s="40"/>
      <c r="DW63" s="41"/>
      <c r="DX63" s="40"/>
      <c r="DY63" s="40"/>
      <c r="DZ63" s="37" t="s">
        <v>402</v>
      </c>
      <c r="EA63" s="39"/>
      <c r="EB63" s="37"/>
      <c r="EC63" s="37"/>
      <c r="ED63" s="16"/>
      <c r="EE63" s="1"/>
      <c r="EF63" s="54"/>
    </row>
    <row r="64" spans="1:136" x14ac:dyDescent="0.2">
      <c r="A64" s="209" t="s">
        <v>904</v>
      </c>
      <c r="B64" s="209" t="s">
        <v>892</v>
      </c>
      <c r="C64" s="209" t="s">
        <v>865</v>
      </c>
      <c r="D64" s="13">
        <f>'Run Parameters'!$B$1 + ROW()-1</f>
        <v>3578</v>
      </c>
      <c r="E64" s="15" t="s">
        <v>47</v>
      </c>
      <c r="F64" s="18" t="s">
        <v>403</v>
      </c>
      <c r="G64" s="13" t="str">
        <f t="shared" si="73"/>
        <v>Access Dtls-3578</v>
      </c>
      <c r="H64" s="15" t="s">
        <v>275</v>
      </c>
      <c r="I64" s="13" t="str">
        <f>("MR. Test_63_EXCH2_"&amp;D64&amp;"")</f>
        <v>MR. Test_63_EXCH2_3578</v>
      </c>
      <c r="J64" s="18"/>
      <c r="K64" s="19" t="s">
        <v>425</v>
      </c>
      <c r="L64" s="13" t="str">
        <f t="shared" si="74"/>
        <v>Cust. Ref-3578</v>
      </c>
      <c r="M64" s="15" t="s">
        <v>48</v>
      </c>
      <c r="N64" s="15" t="s">
        <v>425</v>
      </c>
      <c r="O64" s="13"/>
      <c r="P64" s="13" t="str">
        <f t="shared" si="75"/>
        <v>SN-3578</v>
      </c>
      <c r="Q64" s="13" t="str">
        <f t="shared" si="76"/>
        <v>SI-3578</v>
      </c>
      <c r="R64" s="13" t="str">
        <f t="shared" si="77"/>
        <v>SE-3578</v>
      </c>
      <c r="S64" s="53" t="str">
        <f t="shared" si="78"/>
        <v>Prev_RA-3578</v>
      </c>
      <c r="T64" s="53" t="str">
        <f t="shared" si="79"/>
        <v>Prev_Comms-3578</v>
      </c>
      <c r="U64" s="17" t="s">
        <v>75</v>
      </c>
      <c r="V64" s="15" t="s">
        <v>401</v>
      </c>
      <c r="W64" s="17" t="s">
        <v>75</v>
      </c>
      <c r="X64" s="15" t="s">
        <v>396</v>
      </c>
      <c r="Y64" s="13" t="str">
        <f t="shared" si="80"/>
        <v>Forward Add-3578</v>
      </c>
      <c r="Z64" s="15" t="s">
        <v>401</v>
      </c>
      <c r="AA64" s="133" t="str">
        <f>'Run Parameters'!$B$2</f>
        <v>2019-04-26 08:00</v>
      </c>
      <c r="AB64" s="213" t="str">
        <f>'Run Parameters'!B$3</f>
        <v>2019-04-26 18:00</v>
      </c>
      <c r="AC64" s="26">
        <f>('Run Parameters'!$B$2) - 7</f>
        <v>43574.333333333336</v>
      </c>
      <c r="AD64" s="17" t="s">
        <v>75</v>
      </c>
      <c r="AE64" s="18" t="str">
        <f t="shared" si="81"/>
        <v>LAST_METER-3578</v>
      </c>
      <c r="AF64" s="133" t="str">
        <f>'Run Parameters'!$B$2</f>
        <v>2019-04-26 08:00</v>
      </c>
      <c r="AG64" s="13" t="str">
        <f>'Run Parameters'!B$4</f>
        <v>AUTOTEST2</v>
      </c>
      <c r="AH64" s="53" t="str">
        <f t="shared" si="82"/>
        <v>Site_Contact_3578</v>
      </c>
      <c r="AI64" s="133" t="str">
        <f>'Run Parameters'!B$2</f>
        <v>2019-04-26 08:00</v>
      </c>
      <c r="AJ64" s="213" t="str">
        <f>'Run Parameters'!B$3</f>
        <v>2019-04-26 18:00</v>
      </c>
      <c r="AK64" s="13" t="s">
        <v>396</v>
      </c>
      <c r="AL64" s="53" t="str">
        <f t="shared" si="83"/>
        <v>011593578</v>
      </c>
      <c r="AM64" s="13" t="str">
        <f t="shared" si="84"/>
        <v>01153578</v>
      </c>
      <c r="AN64" s="15"/>
      <c r="AO64" s="51"/>
      <c r="AP64" s="13">
        <v>1</v>
      </c>
      <c r="AQ64" s="52" t="s">
        <v>49</v>
      </c>
      <c r="AR64" s="15"/>
      <c r="AS64" s="13"/>
      <c r="AT64" s="7"/>
      <c r="AU64" s="7"/>
      <c r="AV64" s="13">
        <f t="shared" si="85"/>
        <v>3578</v>
      </c>
      <c r="AW64" s="13" t="s">
        <v>423</v>
      </c>
      <c r="AX64" s="13" t="s">
        <v>420</v>
      </c>
      <c r="AY64" s="13" t="s">
        <v>421</v>
      </c>
      <c r="AZ64" s="15" t="s">
        <v>334</v>
      </c>
      <c r="BA64" s="14" t="s">
        <v>154</v>
      </c>
      <c r="BB64" s="21">
        <v>1</v>
      </c>
      <c r="BC64" s="20">
        <f t="shared" si="86"/>
        <v>3578</v>
      </c>
      <c r="BD64" s="16" t="s">
        <v>410</v>
      </c>
      <c r="BE64" s="16" t="s">
        <v>391</v>
      </c>
      <c r="BF64" s="16" t="s">
        <v>390</v>
      </c>
      <c r="BG64" s="20" t="s">
        <v>403</v>
      </c>
      <c r="BH64" s="20" t="str">
        <f t="shared" si="87"/>
        <v>3578_1</v>
      </c>
      <c r="BI64" s="21"/>
      <c r="BJ64" s="21" t="str">
        <f t="shared" si="88"/>
        <v>100000003578</v>
      </c>
      <c r="BK64" s="16" t="s">
        <v>51</v>
      </c>
      <c r="BL64" s="16" t="s">
        <v>54</v>
      </c>
      <c r="BM64" s="20" t="s">
        <v>411</v>
      </c>
      <c r="BN64" s="16" t="s">
        <v>51</v>
      </c>
      <c r="BO64" s="20" t="str">
        <f t="shared" si="89"/>
        <v>S05S3578</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DS_Pass-3578</v>
      </c>
      <c r="DO64" s="40"/>
      <c r="DP64" s="40"/>
      <c r="DQ64" s="40"/>
      <c r="DR64" s="41"/>
      <c r="DS64" s="41"/>
      <c r="DT64" s="40"/>
      <c r="DU64" s="40"/>
      <c r="DV64" s="40"/>
      <c r="DW64" s="41"/>
      <c r="DX64" s="40"/>
      <c r="DY64" s="40"/>
      <c r="DZ64" s="37" t="s">
        <v>402</v>
      </c>
      <c r="EA64" s="39"/>
      <c r="EB64" s="37"/>
      <c r="EC64" s="37"/>
      <c r="ED64" s="16"/>
      <c r="EE64" s="1"/>
      <c r="EF64" s="54"/>
    </row>
    <row r="65" spans="1:136" x14ac:dyDescent="0.2">
      <c r="A65" s="209" t="s">
        <v>905</v>
      </c>
      <c r="B65" s="209" t="s">
        <v>868</v>
      </c>
      <c r="C65" s="209" t="s">
        <v>865</v>
      </c>
      <c r="D65" s="13">
        <f>'Run Parameters'!$B$1 + ROW()-1</f>
        <v>3579</v>
      </c>
      <c r="E65" s="15" t="s">
        <v>47</v>
      </c>
      <c r="F65" s="18" t="s">
        <v>403</v>
      </c>
      <c r="G65" s="13" t="str">
        <f t="shared" si="73"/>
        <v>Access Dtls-3579</v>
      </c>
      <c r="H65" s="15" t="s">
        <v>275</v>
      </c>
      <c r="I65" s="13" t="str">
        <f>("MR. Test_64_EXCH2_"&amp;D65&amp;"")</f>
        <v>MR. Test_64_EXCH2_3579</v>
      </c>
      <c r="J65" s="18"/>
      <c r="K65" s="19" t="s">
        <v>425</v>
      </c>
      <c r="L65" s="13" t="str">
        <f t="shared" si="74"/>
        <v>Cust. Ref-3579</v>
      </c>
      <c r="M65" s="15" t="s">
        <v>48</v>
      </c>
      <c r="N65" s="15" t="s">
        <v>425</v>
      </c>
      <c r="O65" s="13"/>
      <c r="P65" s="13" t="str">
        <f t="shared" si="75"/>
        <v>SN-3579</v>
      </c>
      <c r="Q65" s="13" t="str">
        <f t="shared" si="76"/>
        <v>SI-3579</v>
      </c>
      <c r="R65" s="13" t="str">
        <f t="shared" si="77"/>
        <v>SE-3579</v>
      </c>
      <c r="S65" s="53" t="str">
        <f t="shared" si="78"/>
        <v>Prev_RA-3579</v>
      </c>
      <c r="T65" s="53" t="str">
        <f t="shared" si="79"/>
        <v>Prev_Comms-3579</v>
      </c>
      <c r="U65" s="17" t="s">
        <v>75</v>
      </c>
      <c r="V65" s="15" t="s">
        <v>401</v>
      </c>
      <c r="W65" s="17" t="s">
        <v>75</v>
      </c>
      <c r="X65" s="15" t="s">
        <v>396</v>
      </c>
      <c r="Y65" s="13" t="str">
        <f t="shared" si="80"/>
        <v>Forward Add-3579</v>
      </c>
      <c r="Z65" s="15" t="s">
        <v>401</v>
      </c>
      <c r="AA65" s="133" t="str">
        <f>'Run Parameters'!$B$2</f>
        <v>2019-04-26 08:00</v>
      </c>
      <c r="AB65" s="213" t="str">
        <f>'Run Parameters'!B$3</f>
        <v>2019-04-26 18:00</v>
      </c>
      <c r="AC65" s="26">
        <f>('Run Parameters'!$B$2) - 7</f>
        <v>43574.333333333336</v>
      </c>
      <c r="AD65" s="17" t="s">
        <v>75</v>
      </c>
      <c r="AE65" s="18" t="str">
        <f t="shared" si="81"/>
        <v>LAST_METER-3579</v>
      </c>
      <c r="AF65" s="133" t="str">
        <f>'Run Parameters'!$B$2</f>
        <v>2019-04-26 08:00</v>
      </c>
      <c r="AG65" s="13" t="str">
        <f>'Run Parameters'!B$4</f>
        <v>AUTOTEST2</v>
      </c>
      <c r="AH65" s="53" t="str">
        <f t="shared" si="82"/>
        <v>Site_Contact_3579</v>
      </c>
      <c r="AI65" s="133" t="str">
        <f>'Run Parameters'!B$2</f>
        <v>2019-04-26 08:00</v>
      </c>
      <c r="AJ65" s="213" t="str">
        <f>'Run Parameters'!B$3</f>
        <v>2019-04-26 18:00</v>
      </c>
      <c r="AK65" s="13" t="s">
        <v>396</v>
      </c>
      <c r="AL65" s="53" t="str">
        <f t="shared" si="83"/>
        <v>011593579</v>
      </c>
      <c r="AM65" s="13" t="str">
        <f t="shared" si="84"/>
        <v>01153579</v>
      </c>
      <c r="AN65" s="15"/>
      <c r="AO65" s="51"/>
      <c r="AP65" s="13">
        <v>1</v>
      </c>
      <c r="AQ65" s="52" t="s">
        <v>49</v>
      </c>
      <c r="AR65" s="15"/>
      <c r="AS65" s="13"/>
      <c r="AT65" s="7"/>
      <c r="AU65" s="7"/>
      <c r="AV65" s="13">
        <f t="shared" si="85"/>
        <v>3579</v>
      </c>
      <c r="AW65" s="13" t="s">
        <v>423</v>
      </c>
      <c r="AX65" s="13" t="s">
        <v>420</v>
      </c>
      <c r="AY65" s="13" t="s">
        <v>421</v>
      </c>
      <c r="AZ65" s="15" t="s">
        <v>334</v>
      </c>
      <c r="BA65" s="14" t="s">
        <v>154</v>
      </c>
      <c r="BB65" s="21">
        <v>1</v>
      </c>
      <c r="BC65" s="20">
        <f t="shared" si="86"/>
        <v>3579</v>
      </c>
      <c r="BD65" s="16" t="s">
        <v>410</v>
      </c>
      <c r="BE65" s="16" t="s">
        <v>391</v>
      </c>
      <c r="BF65" s="16" t="s">
        <v>390</v>
      </c>
      <c r="BG65" s="20" t="s">
        <v>403</v>
      </c>
      <c r="BH65" s="20" t="str">
        <f t="shared" si="87"/>
        <v>3579_1</v>
      </c>
      <c r="BI65" s="21"/>
      <c r="BJ65" s="21" t="str">
        <f t="shared" si="88"/>
        <v>100000003579</v>
      </c>
      <c r="BK65" s="16" t="s">
        <v>51</v>
      </c>
      <c r="BL65" s="16" t="s">
        <v>54</v>
      </c>
      <c r="BM65" s="20" t="s">
        <v>411</v>
      </c>
      <c r="BN65" s="16" t="s">
        <v>51</v>
      </c>
      <c r="BO65" s="20" t="str">
        <f t="shared" si="89"/>
        <v>S05S3579</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DS_Pass-3579</v>
      </c>
      <c r="DO65" s="40"/>
      <c r="DP65" s="40"/>
      <c r="DQ65" s="40"/>
      <c r="DR65" s="41"/>
      <c r="DS65" s="41"/>
      <c r="DT65" s="40"/>
      <c r="DU65" s="40"/>
      <c r="DV65" s="40"/>
      <c r="DW65" s="41"/>
      <c r="DX65" s="40"/>
      <c r="DY65" s="40"/>
      <c r="DZ65" s="37" t="s">
        <v>402</v>
      </c>
      <c r="EA65" s="39"/>
      <c r="EB65" s="37"/>
      <c r="EC65" s="37"/>
      <c r="ED65" s="16"/>
      <c r="EE65" s="1"/>
      <c r="EF65" s="54"/>
    </row>
    <row r="66" spans="1:136" x14ac:dyDescent="0.2">
      <c r="A66" s="209" t="s">
        <v>906</v>
      </c>
      <c r="B66" s="209" t="s">
        <v>892</v>
      </c>
      <c r="C66" s="209" t="s">
        <v>865</v>
      </c>
      <c r="D66" s="13">
        <f>'Run Parameters'!$B$1 + ROW()-1</f>
        <v>3580</v>
      </c>
      <c r="E66" s="15" t="s">
        <v>47</v>
      </c>
      <c r="F66" s="18" t="s">
        <v>403</v>
      </c>
      <c r="G66" s="13" t="str">
        <f t="shared" si="73"/>
        <v>Access Dtls-3580</v>
      </c>
      <c r="H66" s="15" t="s">
        <v>275</v>
      </c>
      <c r="I66" s="13" t="str">
        <f>("MR. Test_65_EXCH2_"&amp;D66&amp;"")</f>
        <v>MR. Test_65_EXCH2_3580</v>
      </c>
      <c r="J66" s="18"/>
      <c r="K66" s="19" t="s">
        <v>425</v>
      </c>
      <c r="L66" s="13" t="str">
        <f t="shared" si="74"/>
        <v>Cust. Ref-3580</v>
      </c>
      <c r="M66" s="15" t="s">
        <v>48</v>
      </c>
      <c r="N66" s="15" t="s">
        <v>425</v>
      </c>
      <c r="O66" s="13"/>
      <c r="P66" s="13" t="str">
        <f t="shared" si="75"/>
        <v>SN-3580</v>
      </c>
      <c r="Q66" s="13" t="str">
        <f t="shared" si="76"/>
        <v>SI-3580</v>
      </c>
      <c r="R66" s="13" t="str">
        <f t="shared" si="77"/>
        <v>SE-3580</v>
      </c>
      <c r="S66" s="53" t="str">
        <f t="shared" si="78"/>
        <v>Prev_RA-3580</v>
      </c>
      <c r="T66" s="53" t="str">
        <f t="shared" si="79"/>
        <v>Prev_Comms-3580</v>
      </c>
      <c r="U66" s="17" t="s">
        <v>75</v>
      </c>
      <c r="V66" s="15" t="s">
        <v>401</v>
      </c>
      <c r="W66" s="17" t="s">
        <v>75</v>
      </c>
      <c r="X66" s="15" t="s">
        <v>396</v>
      </c>
      <c r="Y66" s="13" t="str">
        <f t="shared" si="80"/>
        <v>Forward Add-3580</v>
      </c>
      <c r="Z66" s="15" t="s">
        <v>401</v>
      </c>
      <c r="AA66" s="133" t="str">
        <f>'Run Parameters'!$B$2</f>
        <v>2019-04-26 08:00</v>
      </c>
      <c r="AB66" s="213" t="str">
        <f>'Run Parameters'!B$3</f>
        <v>2019-04-26 18:00</v>
      </c>
      <c r="AC66" s="26">
        <f>('Run Parameters'!$B$2) - 7</f>
        <v>43574.333333333336</v>
      </c>
      <c r="AD66" s="17" t="s">
        <v>75</v>
      </c>
      <c r="AE66" s="18" t="str">
        <f t="shared" si="81"/>
        <v>LAST_METER-3580</v>
      </c>
      <c r="AF66" s="133" t="str">
        <f>'Run Parameters'!$B$2</f>
        <v>2019-04-26 08:00</v>
      </c>
      <c r="AG66" s="13" t="str">
        <f>'Run Parameters'!B$4</f>
        <v>AUTOTEST2</v>
      </c>
      <c r="AH66" s="53" t="str">
        <f t="shared" si="82"/>
        <v>Site_Contact_3580</v>
      </c>
      <c r="AI66" s="133" t="str">
        <f>'Run Parameters'!B$2</f>
        <v>2019-04-26 08:00</v>
      </c>
      <c r="AJ66" s="213" t="str">
        <f>'Run Parameters'!B$3</f>
        <v>2019-04-26 18:00</v>
      </c>
      <c r="AK66" s="13" t="s">
        <v>396</v>
      </c>
      <c r="AL66" s="53" t="str">
        <f t="shared" si="83"/>
        <v>011593580</v>
      </c>
      <c r="AM66" s="13" t="str">
        <f t="shared" si="84"/>
        <v>01153580</v>
      </c>
      <c r="AN66" s="15"/>
      <c r="AO66" s="51"/>
      <c r="AP66" s="13">
        <v>1</v>
      </c>
      <c r="AQ66" s="52" t="s">
        <v>49</v>
      </c>
      <c r="AR66" s="15"/>
      <c r="AS66" s="13"/>
      <c r="AT66" s="7"/>
      <c r="AU66" s="7"/>
      <c r="AV66" s="13">
        <f t="shared" si="85"/>
        <v>3580</v>
      </c>
      <c r="AW66" s="13" t="s">
        <v>423</v>
      </c>
      <c r="AX66" s="13" t="s">
        <v>420</v>
      </c>
      <c r="AY66" s="13" t="s">
        <v>421</v>
      </c>
      <c r="AZ66" s="15" t="s">
        <v>334</v>
      </c>
      <c r="BA66" s="14" t="s">
        <v>154</v>
      </c>
      <c r="BB66" s="21">
        <v>1</v>
      </c>
      <c r="BC66" s="20">
        <f t="shared" si="86"/>
        <v>3580</v>
      </c>
      <c r="BD66" s="16" t="s">
        <v>410</v>
      </c>
      <c r="BE66" s="16" t="s">
        <v>391</v>
      </c>
      <c r="BF66" s="16" t="s">
        <v>390</v>
      </c>
      <c r="BG66" s="20" t="s">
        <v>403</v>
      </c>
      <c r="BH66" s="20" t="str">
        <f t="shared" si="87"/>
        <v>3580_1</v>
      </c>
      <c r="BI66" s="21"/>
      <c r="BJ66" s="21" t="str">
        <f t="shared" si="88"/>
        <v>100000003580</v>
      </c>
      <c r="BK66" s="16" t="s">
        <v>51</v>
      </c>
      <c r="BL66" s="16" t="s">
        <v>54</v>
      </c>
      <c r="BM66" s="20" t="s">
        <v>411</v>
      </c>
      <c r="BN66" s="16" t="s">
        <v>51</v>
      </c>
      <c r="BO66" s="20" t="str">
        <f t="shared" si="89"/>
        <v>S05S3580</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DS_Pass-3580</v>
      </c>
      <c r="DO66" s="40"/>
      <c r="DP66" s="40"/>
      <c r="DQ66" s="40"/>
      <c r="DR66" s="41"/>
      <c r="DS66" s="41"/>
      <c r="DT66" s="40"/>
      <c r="DU66" s="40"/>
      <c r="DV66" s="40"/>
      <c r="DW66" s="41"/>
      <c r="DX66" s="40"/>
      <c r="DY66" s="40"/>
      <c r="DZ66" s="37" t="s">
        <v>402</v>
      </c>
      <c r="EA66" s="39"/>
      <c r="EB66" s="37"/>
      <c r="EC66" s="37"/>
      <c r="ED66" s="16"/>
      <c r="EE66" s="1"/>
      <c r="EF66" s="54"/>
    </row>
    <row r="67" spans="1:136" x14ac:dyDescent="0.2">
      <c r="A67" s="209" t="s">
        <v>907</v>
      </c>
      <c r="B67" s="209" t="s">
        <v>868</v>
      </c>
      <c r="C67" s="209" t="s">
        <v>865</v>
      </c>
      <c r="D67" s="13">
        <f>'Run Parameters'!$B$1 + ROW()-1</f>
        <v>3581</v>
      </c>
      <c r="E67" s="15" t="s">
        <v>47</v>
      </c>
      <c r="F67" s="18" t="s">
        <v>403</v>
      </c>
      <c r="G67" s="13" t="str">
        <f t="shared" si="73"/>
        <v>Access Dtls-3581</v>
      </c>
      <c r="H67" s="15" t="s">
        <v>275</v>
      </c>
      <c r="I67" s="13" t="str">
        <f>("MR. Test_66_EXCH2_"&amp;D67&amp;"")</f>
        <v>MR. Test_66_EXCH2_3581</v>
      </c>
      <c r="J67" s="18"/>
      <c r="K67" s="19" t="s">
        <v>425</v>
      </c>
      <c r="L67" s="13" t="str">
        <f t="shared" si="74"/>
        <v>Cust. Ref-3581</v>
      </c>
      <c r="M67" s="15" t="s">
        <v>48</v>
      </c>
      <c r="N67" s="15" t="s">
        <v>425</v>
      </c>
      <c r="O67" s="13"/>
      <c r="P67" s="13" t="str">
        <f t="shared" si="75"/>
        <v>SN-3581</v>
      </c>
      <c r="Q67" s="13" t="str">
        <f t="shared" si="76"/>
        <v>SI-3581</v>
      </c>
      <c r="R67" s="13" t="str">
        <f t="shared" si="77"/>
        <v>SE-3581</v>
      </c>
      <c r="S67" s="53" t="str">
        <f t="shared" si="78"/>
        <v>Prev_RA-3581</v>
      </c>
      <c r="T67" s="53" t="str">
        <f t="shared" si="79"/>
        <v>Prev_Comms-3581</v>
      </c>
      <c r="U67" s="17" t="s">
        <v>75</v>
      </c>
      <c r="V67" s="15" t="s">
        <v>401</v>
      </c>
      <c r="W67" s="17" t="s">
        <v>75</v>
      </c>
      <c r="X67" s="15" t="s">
        <v>396</v>
      </c>
      <c r="Y67" s="13" t="str">
        <f t="shared" si="80"/>
        <v>Forward Add-3581</v>
      </c>
      <c r="Z67" s="15" t="s">
        <v>401</v>
      </c>
      <c r="AA67" s="133" t="str">
        <f>'Run Parameters'!$B$2</f>
        <v>2019-04-26 08:00</v>
      </c>
      <c r="AB67" s="213" t="str">
        <f>'Run Parameters'!B$3</f>
        <v>2019-04-26 18:00</v>
      </c>
      <c r="AC67" s="26">
        <f>('Run Parameters'!$B$2) - 7</f>
        <v>43574.333333333336</v>
      </c>
      <c r="AD67" s="17" t="s">
        <v>75</v>
      </c>
      <c r="AE67" s="18" t="str">
        <f t="shared" si="81"/>
        <v>LAST_METER-3581</v>
      </c>
      <c r="AF67" s="133" t="str">
        <f>'Run Parameters'!$B$2</f>
        <v>2019-04-26 08:00</v>
      </c>
      <c r="AG67" s="13" t="str">
        <f>'Run Parameters'!B$4</f>
        <v>AUTOTEST2</v>
      </c>
      <c r="AH67" s="53" t="str">
        <f t="shared" si="82"/>
        <v>Site_Contact_3581</v>
      </c>
      <c r="AI67" s="133" t="str">
        <f>'Run Parameters'!B$2</f>
        <v>2019-04-26 08:00</v>
      </c>
      <c r="AJ67" s="213" t="str">
        <f>'Run Parameters'!B$3</f>
        <v>2019-04-26 18:00</v>
      </c>
      <c r="AK67" s="13" t="s">
        <v>396</v>
      </c>
      <c r="AL67" s="53" t="str">
        <f t="shared" si="83"/>
        <v>011593581</v>
      </c>
      <c r="AM67" s="13" t="str">
        <f t="shared" si="84"/>
        <v>01153581</v>
      </c>
      <c r="AN67" s="15"/>
      <c r="AO67" s="51"/>
      <c r="AP67" s="13">
        <v>1</v>
      </c>
      <c r="AQ67" s="52" t="s">
        <v>49</v>
      </c>
      <c r="AR67" s="15"/>
      <c r="AS67" s="13"/>
      <c r="AT67" s="7"/>
      <c r="AU67" s="7"/>
      <c r="AV67" s="13">
        <f t="shared" si="85"/>
        <v>3581</v>
      </c>
      <c r="AW67" s="13" t="s">
        <v>423</v>
      </c>
      <c r="AX67" s="13" t="s">
        <v>420</v>
      </c>
      <c r="AY67" s="13" t="s">
        <v>421</v>
      </c>
      <c r="AZ67" s="15" t="s">
        <v>334</v>
      </c>
      <c r="BA67" s="14" t="s">
        <v>154</v>
      </c>
      <c r="BB67" s="21">
        <v>1</v>
      </c>
      <c r="BC67" s="20">
        <f t="shared" si="86"/>
        <v>3581</v>
      </c>
      <c r="BD67" s="16" t="s">
        <v>410</v>
      </c>
      <c r="BE67" s="16" t="s">
        <v>391</v>
      </c>
      <c r="BF67" s="16" t="s">
        <v>390</v>
      </c>
      <c r="BG67" s="20" t="s">
        <v>403</v>
      </c>
      <c r="BH67" s="20" t="str">
        <f t="shared" si="87"/>
        <v>3581_1</v>
      </c>
      <c r="BI67" s="21"/>
      <c r="BJ67" s="21" t="str">
        <f t="shared" si="88"/>
        <v>100000003581</v>
      </c>
      <c r="BK67" s="16" t="s">
        <v>51</v>
      </c>
      <c r="BL67" s="16" t="s">
        <v>54</v>
      </c>
      <c r="BM67" s="20" t="s">
        <v>411</v>
      </c>
      <c r="BN67" s="16" t="s">
        <v>51</v>
      </c>
      <c r="BO67" s="20" t="str">
        <f t="shared" si="89"/>
        <v>S05S3581</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DS_Pass-3581</v>
      </c>
      <c r="DO67" s="40"/>
      <c r="DP67" s="40"/>
      <c r="DQ67" s="40"/>
      <c r="DR67" s="41"/>
      <c r="DS67" s="41"/>
      <c r="DT67" s="40"/>
      <c r="DU67" s="40"/>
      <c r="DV67" s="40"/>
      <c r="DW67" s="41"/>
      <c r="DX67" s="40"/>
      <c r="DY67" s="40"/>
      <c r="DZ67" s="37" t="s">
        <v>402</v>
      </c>
      <c r="EA67" s="39"/>
      <c r="EB67" s="37"/>
      <c r="EC67" s="37"/>
      <c r="ED67" s="16"/>
      <c r="EE67" s="1"/>
      <c r="EF67" s="54"/>
    </row>
    <row r="68" spans="1:136" x14ac:dyDescent="0.2">
      <c r="A68" s="209" t="s">
        <v>908</v>
      </c>
      <c r="B68" s="209" t="s">
        <v>892</v>
      </c>
      <c r="C68" s="209" t="s">
        <v>865</v>
      </c>
      <c r="D68" s="13">
        <f>'Run Parameters'!$B$1 + ROW()-1</f>
        <v>3582</v>
      </c>
      <c r="E68" s="15" t="s">
        <v>47</v>
      </c>
      <c r="F68" s="18" t="s">
        <v>403</v>
      </c>
      <c r="G68" s="13" t="str">
        <f t="shared" si="73"/>
        <v>Access Dtls-3582</v>
      </c>
      <c r="H68" s="15" t="s">
        <v>275</v>
      </c>
      <c r="I68" s="13" t="str">
        <f>("MR. Test_67_EXCH2_"&amp;D68&amp;"")</f>
        <v>MR. Test_67_EXCH2_3582</v>
      </c>
      <c r="J68" s="18"/>
      <c r="K68" s="19" t="s">
        <v>425</v>
      </c>
      <c r="L68" s="13" t="str">
        <f t="shared" si="74"/>
        <v>Cust. Ref-3582</v>
      </c>
      <c r="M68" s="15" t="s">
        <v>48</v>
      </c>
      <c r="N68" s="15" t="s">
        <v>425</v>
      </c>
      <c r="O68" s="13"/>
      <c r="P68" s="13" t="str">
        <f t="shared" si="75"/>
        <v>SN-3582</v>
      </c>
      <c r="Q68" s="13" t="str">
        <f t="shared" si="76"/>
        <v>SI-3582</v>
      </c>
      <c r="R68" s="13" t="str">
        <f t="shared" si="77"/>
        <v>SE-3582</v>
      </c>
      <c r="S68" s="53" t="str">
        <f t="shared" si="78"/>
        <v>Prev_RA-3582</v>
      </c>
      <c r="T68" s="53" t="str">
        <f t="shared" si="79"/>
        <v>Prev_Comms-3582</v>
      </c>
      <c r="U68" s="17" t="s">
        <v>75</v>
      </c>
      <c r="V68" s="15" t="s">
        <v>401</v>
      </c>
      <c r="W68" s="17" t="s">
        <v>75</v>
      </c>
      <c r="X68" s="15" t="s">
        <v>396</v>
      </c>
      <c r="Y68" s="13" t="str">
        <f t="shared" si="80"/>
        <v>Forward Add-3582</v>
      </c>
      <c r="Z68" s="15" t="s">
        <v>401</v>
      </c>
      <c r="AA68" s="133" t="str">
        <f>'Run Parameters'!$B$2</f>
        <v>2019-04-26 08:00</v>
      </c>
      <c r="AB68" s="213" t="str">
        <f>'Run Parameters'!B$3</f>
        <v>2019-04-26 18:00</v>
      </c>
      <c r="AC68" s="26">
        <f>('Run Parameters'!$B$2) - 7</f>
        <v>43574.333333333336</v>
      </c>
      <c r="AD68" s="17" t="s">
        <v>75</v>
      </c>
      <c r="AE68" s="18" t="str">
        <f t="shared" si="81"/>
        <v>LAST_METER-3582</v>
      </c>
      <c r="AF68" s="133" t="str">
        <f>'Run Parameters'!$B$2</f>
        <v>2019-04-26 08:00</v>
      </c>
      <c r="AG68" s="13" t="str">
        <f>'Run Parameters'!B$4</f>
        <v>AUTOTEST2</v>
      </c>
      <c r="AH68" s="53" t="str">
        <f t="shared" si="82"/>
        <v>Site_Contact_3582</v>
      </c>
      <c r="AI68" s="133" t="str">
        <f>'Run Parameters'!B$2</f>
        <v>2019-04-26 08:00</v>
      </c>
      <c r="AJ68" s="213" t="str">
        <f>'Run Parameters'!B$3</f>
        <v>2019-04-26 18:00</v>
      </c>
      <c r="AK68" s="13" t="s">
        <v>396</v>
      </c>
      <c r="AL68" s="53" t="str">
        <f t="shared" si="83"/>
        <v>011593582</v>
      </c>
      <c r="AM68" s="13" t="str">
        <f t="shared" si="84"/>
        <v>01153582</v>
      </c>
      <c r="AN68" s="15"/>
      <c r="AO68" s="51"/>
      <c r="AP68" s="13">
        <v>1</v>
      </c>
      <c r="AQ68" s="52" t="s">
        <v>49</v>
      </c>
      <c r="AR68" s="15"/>
      <c r="AS68" s="13"/>
      <c r="AT68" s="7"/>
      <c r="AU68" s="7"/>
      <c r="AV68" s="13">
        <f t="shared" si="85"/>
        <v>3582</v>
      </c>
      <c r="AW68" s="13" t="s">
        <v>423</v>
      </c>
      <c r="AX68" s="13" t="s">
        <v>420</v>
      </c>
      <c r="AY68" s="13" t="s">
        <v>421</v>
      </c>
      <c r="AZ68" s="15" t="s">
        <v>334</v>
      </c>
      <c r="BA68" s="14" t="s">
        <v>154</v>
      </c>
      <c r="BB68" s="21">
        <v>1</v>
      </c>
      <c r="BC68" s="20">
        <f t="shared" si="86"/>
        <v>3582</v>
      </c>
      <c r="BD68" s="16" t="s">
        <v>410</v>
      </c>
      <c r="BE68" s="16" t="s">
        <v>391</v>
      </c>
      <c r="BF68" s="16" t="s">
        <v>390</v>
      </c>
      <c r="BG68" s="20" t="s">
        <v>403</v>
      </c>
      <c r="BH68" s="20" t="str">
        <f t="shared" si="87"/>
        <v>3582_1</v>
      </c>
      <c r="BI68" s="21"/>
      <c r="BJ68" s="21" t="str">
        <f t="shared" si="88"/>
        <v>100000003582</v>
      </c>
      <c r="BK68" s="16" t="s">
        <v>51</v>
      </c>
      <c r="BL68" s="16" t="s">
        <v>54</v>
      </c>
      <c r="BM68" s="20" t="s">
        <v>411</v>
      </c>
      <c r="BN68" s="16" t="s">
        <v>51</v>
      </c>
      <c r="BO68" s="20" t="str">
        <f t="shared" si="89"/>
        <v>S05S3582</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DS_Pass-3582</v>
      </c>
      <c r="DO68" s="40"/>
      <c r="DP68" s="40"/>
      <c r="DQ68" s="40"/>
      <c r="DR68" s="41"/>
      <c r="DS68" s="41"/>
      <c r="DT68" s="40"/>
      <c r="DU68" s="40"/>
      <c r="DV68" s="40"/>
      <c r="DW68" s="41"/>
      <c r="DX68" s="40"/>
      <c r="DY68" s="40"/>
      <c r="DZ68" s="37" t="s">
        <v>402</v>
      </c>
      <c r="EA68" s="39"/>
      <c r="EB68" s="37"/>
      <c r="EC68" s="37"/>
      <c r="ED68" s="16"/>
      <c r="EE68" s="1"/>
      <c r="EF68" s="54"/>
    </row>
    <row r="69" spans="1:136" x14ac:dyDescent="0.2">
      <c r="A69" s="209" t="s">
        <v>909</v>
      </c>
      <c r="B69" s="209" t="s">
        <v>868</v>
      </c>
      <c r="C69" s="209" t="s">
        <v>865</v>
      </c>
      <c r="D69" s="13">
        <f>'Run Parameters'!$B$1 + ROW()-1</f>
        <v>3583</v>
      </c>
      <c r="E69" s="15" t="s">
        <v>47</v>
      </c>
      <c r="F69" s="18" t="s">
        <v>403</v>
      </c>
      <c r="G69" s="13" t="str">
        <f t="shared" si="73"/>
        <v>Access Dtls-3583</v>
      </c>
      <c r="H69" s="15" t="s">
        <v>275</v>
      </c>
      <c r="I69" s="13" t="str">
        <f>("MR. Test_68_EXCH2_"&amp;D69&amp;"")</f>
        <v>MR. Test_68_EXCH2_3583</v>
      </c>
      <c r="J69" s="18"/>
      <c r="K69" s="19" t="s">
        <v>425</v>
      </c>
      <c r="L69" s="13" t="str">
        <f t="shared" si="74"/>
        <v>Cust. Ref-3583</v>
      </c>
      <c r="M69" s="15" t="s">
        <v>48</v>
      </c>
      <c r="N69" s="15" t="s">
        <v>425</v>
      </c>
      <c r="O69" s="13"/>
      <c r="P69" s="13" t="str">
        <f t="shared" si="75"/>
        <v>SN-3583</v>
      </c>
      <c r="Q69" s="13" t="str">
        <f t="shared" si="76"/>
        <v>SI-3583</v>
      </c>
      <c r="R69" s="13" t="str">
        <f t="shared" si="77"/>
        <v>SE-3583</v>
      </c>
      <c r="S69" s="53" t="str">
        <f t="shared" si="78"/>
        <v>Prev_RA-3583</v>
      </c>
      <c r="T69" s="53" t="str">
        <f t="shared" si="79"/>
        <v>Prev_Comms-3583</v>
      </c>
      <c r="U69" s="17" t="s">
        <v>75</v>
      </c>
      <c r="V69" s="15" t="s">
        <v>401</v>
      </c>
      <c r="W69" s="17" t="s">
        <v>75</v>
      </c>
      <c r="X69" s="15" t="s">
        <v>396</v>
      </c>
      <c r="Y69" s="13" t="str">
        <f t="shared" si="80"/>
        <v>Forward Add-3583</v>
      </c>
      <c r="Z69" s="15" t="s">
        <v>401</v>
      </c>
      <c r="AA69" s="133" t="str">
        <f>'Run Parameters'!$B$2</f>
        <v>2019-04-26 08:00</v>
      </c>
      <c r="AB69" s="213" t="str">
        <f>'Run Parameters'!B$3</f>
        <v>2019-04-26 18:00</v>
      </c>
      <c r="AC69" s="26">
        <f>('Run Parameters'!$B$2) - 7</f>
        <v>43574.333333333336</v>
      </c>
      <c r="AD69" s="17" t="s">
        <v>75</v>
      </c>
      <c r="AE69" s="18" t="str">
        <f t="shared" si="81"/>
        <v>LAST_METER-3583</v>
      </c>
      <c r="AF69" s="133" t="str">
        <f>'Run Parameters'!$B$2</f>
        <v>2019-04-26 08:00</v>
      </c>
      <c r="AG69" s="13" t="str">
        <f>'Run Parameters'!B$4</f>
        <v>AUTOTEST2</v>
      </c>
      <c r="AH69" s="53" t="str">
        <f t="shared" si="82"/>
        <v>Site_Contact_3583</v>
      </c>
      <c r="AI69" s="133" t="str">
        <f>'Run Parameters'!B$2</f>
        <v>2019-04-26 08:00</v>
      </c>
      <c r="AJ69" s="213" t="str">
        <f>'Run Parameters'!B$3</f>
        <v>2019-04-26 18:00</v>
      </c>
      <c r="AK69" s="13" t="s">
        <v>396</v>
      </c>
      <c r="AL69" s="53" t="str">
        <f t="shared" si="83"/>
        <v>011593583</v>
      </c>
      <c r="AM69" s="13" t="str">
        <f t="shared" si="84"/>
        <v>01153583</v>
      </c>
      <c r="AN69" s="15"/>
      <c r="AO69" s="51"/>
      <c r="AP69" s="13">
        <v>1</v>
      </c>
      <c r="AQ69" s="52" t="s">
        <v>49</v>
      </c>
      <c r="AR69" s="15"/>
      <c r="AS69" s="13"/>
      <c r="AT69" s="7"/>
      <c r="AU69" s="7"/>
      <c r="AV69" s="13">
        <f t="shared" si="85"/>
        <v>3583</v>
      </c>
      <c r="AW69" s="13" t="s">
        <v>423</v>
      </c>
      <c r="AX69" s="13" t="s">
        <v>420</v>
      </c>
      <c r="AY69" s="13" t="s">
        <v>421</v>
      </c>
      <c r="AZ69" s="15" t="s">
        <v>334</v>
      </c>
      <c r="BA69" s="14" t="s">
        <v>154</v>
      </c>
      <c r="BB69" s="21">
        <v>1</v>
      </c>
      <c r="BC69" s="20">
        <f t="shared" si="86"/>
        <v>3583</v>
      </c>
      <c r="BD69" s="16" t="s">
        <v>410</v>
      </c>
      <c r="BE69" s="16" t="s">
        <v>391</v>
      </c>
      <c r="BF69" s="16" t="s">
        <v>390</v>
      </c>
      <c r="BG69" s="20" t="s">
        <v>403</v>
      </c>
      <c r="BH69" s="20" t="str">
        <f t="shared" si="87"/>
        <v>3583_1</v>
      </c>
      <c r="BI69" s="21"/>
      <c r="BJ69" s="21" t="str">
        <f t="shared" si="88"/>
        <v>100000003583</v>
      </c>
      <c r="BK69" s="16" t="s">
        <v>51</v>
      </c>
      <c r="BL69" s="16" t="s">
        <v>54</v>
      </c>
      <c r="BM69" s="20" t="s">
        <v>411</v>
      </c>
      <c r="BN69" s="16" t="s">
        <v>51</v>
      </c>
      <c r="BO69" s="20" t="str">
        <f t="shared" si="89"/>
        <v>S05S3583</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DS_Pass-3583</v>
      </c>
      <c r="DO69" s="40"/>
      <c r="DP69" s="40"/>
      <c r="DQ69" s="40"/>
      <c r="DR69" s="41"/>
      <c r="DS69" s="41"/>
      <c r="DT69" s="40"/>
      <c r="DU69" s="40"/>
      <c r="DV69" s="40"/>
      <c r="DW69" s="41"/>
      <c r="DX69" s="40"/>
      <c r="DY69" s="40"/>
      <c r="DZ69" s="37" t="s">
        <v>402</v>
      </c>
      <c r="EA69" s="39"/>
      <c r="EB69" s="37"/>
      <c r="EC69" s="37"/>
      <c r="ED69" s="16"/>
      <c r="EE69" s="1"/>
      <c r="EF69" s="54"/>
    </row>
    <row r="70" spans="1:136" s="234" customFormat="1" x14ac:dyDescent="0.2">
      <c r="A70" s="220" t="s">
        <v>910</v>
      </c>
      <c r="B70" s="220" t="s">
        <v>892</v>
      </c>
      <c r="C70" s="220" t="s">
        <v>865</v>
      </c>
      <c r="D70" s="221">
        <f>'Run Parameters'!$B$1 + ROW()-1</f>
        <v>3584</v>
      </c>
      <c r="E70" s="222" t="s">
        <v>47</v>
      </c>
      <c r="F70" s="223" t="s">
        <v>403</v>
      </c>
      <c r="G70" s="221" t="str">
        <f t="shared" si="73"/>
        <v>Access Dtls-3584</v>
      </c>
      <c r="H70" s="222" t="s">
        <v>275</v>
      </c>
      <c r="I70" s="13" t="str">
        <f>("MR. Test_69_EXCH2_"&amp;D70&amp;"")</f>
        <v>MR. Test_69_EXCH2_3584</v>
      </c>
      <c r="J70" s="223"/>
      <c r="K70" s="220" t="s">
        <v>425</v>
      </c>
      <c r="L70" s="221" t="str">
        <f t="shared" si="74"/>
        <v>Cust. Ref-3584</v>
      </c>
      <c r="M70" s="222" t="s">
        <v>48</v>
      </c>
      <c r="N70" s="222" t="s">
        <v>425</v>
      </c>
      <c r="O70" s="221"/>
      <c r="P70" s="221" t="str">
        <f t="shared" si="75"/>
        <v>SN-3584</v>
      </c>
      <c r="Q70" s="221" t="str">
        <f t="shared" si="76"/>
        <v>SI-3584</v>
      </c>
      <c r="R70" s="221" t="str">
        <f t="shared" si="77"/>
        <v>SE-3584</v>
      </c>
      <c r="S70" s="224" t="str">
        <f t="shared" si="78"/>
        <v>Prev_RA-3584</v>
      </c>
      <c r="T70" s="224" t="str">
        <f t="shared" si="79"/>
        <v>Prev_Comms-3584</v>
      </c>
      <c r="U70" s="222" t="s">
        <v>75</v>
      </c>
      <c r="V70" s="222" t="s">
        <v>401</v>
      </c>
      <c r="W70" s="222" t="s">
        <v>75</v>
      </c>
      <c r="X70" s="222" t="s">
        <v>396</v>
      </c>
      <c r="Y70" s="221" t="str">
        <f t="shared" si="80"/>
        <v>Forward Add-3584</v>
      </c>
      <c r="Z70" s="222" t="s">
        <v>401</v>
      </c>
      <c r="AA70" s="225" t="str">
        <f>'Run Parameters'!$B$2</f>
        <v>2019-04-26 08:00</v>
      </c>
      <c r="AB70" s="226" t="str">
        <f>'Run Parameters'!B$3</f>
        <v>2019-04-26 18:00</v>
      </c>
      <c r="AC70" s="227">
        <f>('Run Parameters'!$B$2) - 7</f>
        <v>43574.333333333336</v>
      </c>
      <c r="AD70" s="222" t="s">
        <v>75</v>
      </c>
      <c r="AE70" s="223" t="str">
        <f t="shared" si="81"/>
        <v>LAST_METER-3584</v>
      </c>
      <c r="AF70" s="225" t="str">
        <f>'Run Parameters'!$B$2</f>
        <v>2019-04-26 08:00</v>
      </c>
      <c r="AG70" s="221" t="str">
        <f>'Run Parameters'!B$4</f>
        <v>AUTOTEST2</v>
      </c>
      <c r="AH70" s="224" t="str">
        <f t="shared" si="82"/>
        <v>Site_Contact_3584</v>
      </c>
      <c r="AI70" s="225" t="str">
        <f>'Run Parameters'!B$2</f>
        <v>2019-04-26 08:00</v>
      </c>
      <c r="AJ70" s="226" t="str">
        <f>'Run Parameters'!B$3</f>
        <v>2019-04-26 18:00</v>
      </c>
      <c r="AK70" s="221" t="s">
        <v>396</v>
      </c>
      <c r="AL70" s="224" t="str">
        <f t="shared" si="83"/>
        <v>011593584</v>
      </c>
      <c r="AM70" s="221" t="str">
        <f t="shared" si="84"/>
        <v>01153584</v>
      </c>
      <c r="AN70" s="222"/>
      <c r="AO70" s="228"/>
      <c r="AP70" s="221">
        <v>1</v>
      </c>
      <c r="AQ70" s="229" t="s">
        <v>49</v>
      </c>
      <c r="AR70" s="222"/>
      <c r="AS70" s="221"/>
      <c r="AT70" s="230"/>
      <c r="AU70" s="230"/>
      <c r="AV70" s="221">
        <f t="shared" si="85"/>
        <v>3584</v>
      </c>
      <c r="AW70" s="221" t="s">
        <v>423</v>
      </c>
      <c r="AX70" s="221" t="s">
        <v>420</v>
      </c>
      <c r="AY70" s="221" t="s">
        <v>421</v>
      </c>
      <c r="AZ70" s="222" t="s">
        <v>334</v>
      </c>
      <c r="BA70" s="230" t="s">
        <v>154</v>
      </c>
      <c r="BB70" s="221">
        <v>1</v>
      </c>
      <c r="BC70" s="223">
        <f t="shared" si="86"/>
        <v>3584</v>
      </c>
      <c r="BD70" s="230" t="s">
        <v>410</v>
      </c>
      <c r="BE70" s="230" t="s">
        <v>391</v>
      </c>
      <c r="BF70" s="16" t="s">
        <v>390</v>
      </c>
      <c r="BG70" s="223" t="s">
        <v>403</v>
      </c>
      <c r="BH70" s="223" t="str">
        <f t="shared" si="87"/>
        <v>3584_1</v>
      </c>
      <c r="BI70" s="221"/>
      <c r="BJ70" s="221" t="str">
        <f t="shared" si="88"/>
        <v>100000003584</v>
      </c>
      <c r="BK70" s="230" t="s">
        <v>51</v>
      </c>
      <c r="BL70" s="230" t="s">
        <v>54</v>
      </c>
      <c r="BM70" s="223" t="s">
        <v>411</v>
      </c>
      <c r="BN70" s="230" t="s">
        <v>51</v>
      </c>
      <c r="BO70" s="223" t="str">
        <f t="shared" si="89"/>
        <v>S05S3584</v>
      </c>
      <c r="BP70" s="230" t="s">
        <v>402</v>
      </c>
      <c r="BQ70" s="230" t="s">
        <v>402</v>
      </c>
      <c r="BR70" s="223" t="s">
        <v>161</v>
      </c>
      <c r="BS70" s="230" t="s">
        <v>50</v>
      </c>
      <c r="BT70" s="230" t="s">
        <v>135</v>
      </c>
      <c r="BU70" s="230" t="s">
        <v>393</v>
      </c>
      <c r="BV70" s="230" t="s">
        <v>51</v>
      </c>
      <c r="BW70" s="230" t="s">
        <v>154</v>
      </c>
      <c r="BX70" s="230"/>
      <c r="BY70" s="230"/>
      <c r="BZ70" s="230" t="s">
        <v>157</v>
      </c>
      <c r="CA70" s="230" t="s">
        <v>269</v>
      </c>
      <c r="CB70" s="230" t="s">
        <v>412</v>
      </c>
      <c r="CC70" s="230" t="s">
        <v>781</v>
      </c>
      <c r="CD70" s="230" t="s">
        <v>392</v>
      </c>
      <c r="CE70" s="230" t="s">
        <v>396</v>
      </c>
      <c r="CF70" s="230" t="s">
        <v>398</v>
      </c>
      <c r="CG70" s="230" t="s">
        <v>418</v>
      </c>
      <c r="CH70" s="230" t="s">
        <v>159</v>
      </c>
      <c r="CI70" s="221"/>
      <c r="CJ70" s="221"/>
      <c r="CK70" s="222"/>
      <c r="CL70" s="230"/>
      <c r="CM70" s="230"/>
      <c r="CN70" s="221"/>
      <c r="CO70" s="223"/>
      <c r="CP70" s="230"/>
      <c r="CQ70" s="223"/>
      <c r="CR70" s="221"/>
      <c r="CS70" s="230"/>
      <c r="CT70" s="231"/>
      <c r="CU70" s="221"/>
      <c r="CV70" s="230"/>
      <c r="CW70" s="230"/>
      <c r="CX70" s="230"/>
      <c r="CY70" s="230"/>
      <c r="CZ70" s="230"/>
      <c r="DA70" s="230"/>
      <c r="DB70" s="223"/>
      <c r="DC70" s="230"/>
      <c r="DD70" s="222"/>
      <c r="DE70" s="230"/>
      <c r="DF70" s="230"/>
      <c r="DG70" s="230"/>
      <c r="DH70" s="230"/>
      <c r="DI70" s="230"/>
      <c r="DJ70" s="232"/>
      <c r="DK70" s="222"/>
      <c r="DL70" s="222"/>
      <c r="DM70" s="222"/>
      <c r="DN70" s="223" t="str">
        <f t="shared" si="38"/>
        <v>DS_Pass-3584</v>
      </c>
      <c r="DO70" s="222"/>
      <c r="DP70" s="222"/>
      <c r="DQ70" s="222"/>
      <c r="DR70" s="221"/>
      <c r="DS70" s="221"/>
      <c r="DT70" s="222"/>
      <c r="DU70" s="222"/>
      <c r="DV70" s="222"/>
      <c r="DW70" s="221"/>
      <c r="DX70" s="222"/>
      <c r="DY70" s="222"/>
      <c r="DZ70" s="230" t="s">
        <v>402</v>
      </c>
      <c r="EA70" s="224"/>
      <c r="EB70" s="230"/>
      <c r="EC70" s="230"/>
      <c r="ED70" s="230"/>
      <c r="EE70" s="233"/>
    </row>
    <row r="71" spans="1:136" x14ac:dyDescent="0.2">
      <c r="A71" s="209" t="s">
        <v>1091</v>
      </c>
      <c r="B71" s="209" t="s">
        <v>892</v>
      </c>
      <c r="C71" s="209" t="s">
        <v>865</v>
      </c>
      <c r="D71" s="13">
        <f>'Run Parameters'!$B$1 + ROW()-1</f>
        <v>3585</v>
      </c>
      <c r="E71" s="15" t="s">
        <v>47</v>
      </c>
      <c r="F71" s="18" t="s">
        <v>403</v>
      </c>
      <c r="G71" s="13" t="str">
        <f t="shared" si="73"/>
        <v>Access Dtls-3585</v>
      </c>
      <c r="H71" s="15" t="s">
        <v>275</v>
      </c>
      <c r="I71" s="13" t="str">
        <f>("MR. Test_70_EXCH2_"&amp;D71&amp;"")</f>
        <v>MR. Test_70_EXCH2_3585</v>
      </c>
      <c r="J71" s="18"/>
      <c r="K71" s="19" t="s">
        <v>425</v>
      </c>
      <c r="L71" s="13" t="str">
        <f t="shared" si="74"/>
        <v>Cust. Ref-3585</v>
      </c>
      <c r="M71" s="15" t="s">
        <v>48</v>
      </c>
      <c r="N71" s="15" t="s">
        <v>425</v>
      </c>
      <c r="O71" s="13"/>
      <c r="P71" s="13" t="str">
        <f t="shared" si="75"/>
        <v>SN-3585</v>
      </c>
      <c r="Q71" s="13" t="str">
        <f t="shared" si="76"/>
        <v>SI-3585</v>
      </c>
      <c r="R71" s="13" t="str">
        <f t="shared" si="77"/>
        <v>SE-3585</v>
      </c>
      <c r="S71" s="53" t="str">
        <f t="shared" si="78"/>
        <v>Prev_RA-3585</v>
      </c>
      <c r="T71" s="53" t="str">
        <f t="shared" si="79"/>
        <v>Prev_Comms-3585</v>
      </c>
      <c r="U71" s="17" t="s">
        <v>75</v>
      </c>
      <c r="V71" s="15" t="s">
        <v>401</v>
      </c>
      <c r="W71" s="17" t="s">
        <v>75</v>
      </c>
      <c r="X71" s="15" t="s">
        <v>1087</v>
      </c>
      <c r="Y71" s="13" t="str">
        <f t="shared" si="80"/>
        <v>Forward Add-3585</v>
      </c>
      <c r="Z71" s="15" t="s">
        <v>401</v>
      </c>
      <c r="AA71" s="133" t="str">
        <f>'Run Parameters'!$B$2</f>
        <v>2019-04-26 08:00</v>
      </c>
      <c r="AB71" s="213" t="str">
        <f>'Run Parameters'!B$3</f>
        <v>2019-04-26 18:00</v>
      </c>
      <c r="AC71" s="26">
        <f>('Run Parameters'!$B$2) - 7</f>
        <v>43574.333333333336</v>
      </c>
      <c r="AD71" s="17" t="s">
        <v>75</v>
      </c>
      <c r="AE71" s="18" t="str">
        <f t="shared" si="81"/>
        <v>LAST_METER-3585</v>
      </c>
      <c r="AF71" s="133" t="str">
        <f>'Run Parameters'!$B$2</f>
        <v>2019-04-26 08:00</v>
      </c>
      <c r="AG71" s="13" t="str">
        <f>'Run Parameters'!B$4</f>
        <v>AUTOTEST2</v>
      </c>
      <c r="AH71" s="53" t="str">
        <f t="shared" si="82"/>
        <v>Site_Contact_3585</v>
      </c>
      <c r="AI71" s="133" t="str">
        <f>'Run Parameters'!B$2</f>
        <v>2019-04-26 08:00</v>
      </c>
      <c r="AJ71" s="213" t="str">
        <f>'Run Parameters'!B$3</f>
        <v>2019-04-26 18:00</v>
      </c>
      <c r="AK71" s="13" t="s">
        <v>1087</v>
      </c>
      <c r="AL71" s="53" t="str">
        <f t="shared" si="83"/>
        <v>011593585</v>
      </c>
      <c r="AM71" s="13" t="str">
        <f t="shared" si="84"/>
        <v>01153585</v>
      </c>
      <c r="AN71" s="15"/>
      <c r="AO71" s="51"/>
      <c r="AP71" s="13">
        <v>1</v>
      </c>
      <c r="AQ71" s="52" t="s">
        <v>49</v>
      </c>
      <c r="AR71" s="15"/>
      <c r="AS71" s="13"/>
      <c r="AT71" s="7"/>
      <c r="AU71" s="7"/>
      <c r="AV71" s="13">
        <f t="shared" si="85"/>
        <v>3585</v>
      </c>
      <c r="AW71" s="13" t="s">
        <v>423</v>
      </c>
      <c r="AX71" s="13" t="s">
        <v>420</v>
      </c>
      <c r="AY71" s="13" t="s">
        <v>421</v>
      </c>
      <c r="AZ71" s="15" t="s">
        <v>334</v>
      </c>
      <c r="BA71" s="14" t="s">
        <v>154</v>
      </c>
      <c r="BB71" s="21">
        <v>1</v>
      </c>
      <c r="BC71" s="20">
        <f t="shared" si="86"/>
        <v>3585</v>
      </c>
      <c r="BD71" s="16" t="s">
        <v>1104</v>
      </c>
      <c r="BE71" s="16" t="s">
        <v>391</v>
      </c>
      <c r="BF71" s="16" t="s">
        <v>390</v>
      </c>
      <c r="BG71" s="20" t="s">
        <v>403</v>
      </c>
      <c r="BH71" s="20" t="str">
        <f t="shared" si="87"/>
        <v>3585_1</v>
      </c>
      <c r="BI71" s="21"/>
      <c r="BJ71" s="21" t="str">
        <f t="shared" si="88"/>
        <v>100000003585</v>
      </c>
      <c r="BK71" s="16" t="s">
        <v>51</v>
      </c>
      <c r="BL71" s="16" t="s">
        <v>54</v>
      </c>
      <c r="BM71" s="20" t="s">
        <v>411</v>
      </c>
      <c r="BN71" s="16" t="s">
        <v>51</v>
      </c>
      <c r="BO71" s="20" t="str">
        <f t="shared" si="89"/>
        <v>S05S3585</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1087</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DS_Pass-3585</v>
      </c>
      <c r="DO71" s="40"/>
      <c r="DP71" s="40"/>
      <c r="DQ71" s="40"/>
      <c r="DR71" s="41"/>
      <c r="DS71" s="41"/>
      <c r="DT71" s="40"/>
      <c r="DU71" s="40"/>
      <c r="DV71" s="40"/>
      <c r="DW71" s="41"/>
      <c r="DX71" s="40"/>
      <c r="DY71" s="40"/>
      <c r="DZ71" s="37" t="s">
        <v>402</v>
      </c>
      <c r="EA71" s="39"/>
      <c r="EB71" s="37"/>
      <c r="EC71" s="37"/>
      <c r="ED71" s="16"/>
      <c r="EE71" s="1"/>
      <c r="EF71" s="54"/>
    </row>
    <row r="72" spans="1:136" x14ac:dyDescent="0.2">
      <c r="A72" s="209" t="s">
        <v>969</v>
      </c>
      <c r="B72" s="209" t="s">
        <v>892</v>
      </c>
      <c r="C72" s="209" t="s">
        <v>865</v>
      </c>
      <c r="D72" s="13">
        <f>'Run Parameters'!$B$1 + ROW()-1</f>
        <v>3586</v>
      </c>
      <c r="E72" s="15" t="s">
        <v>47</v>
      </c>
      <c r="F72" s="18" t="s">
        <v>966</v>
      </c>
      <c r="G72" s="13" t="str">
        <f t="shared" ref="G72:G83" si="90">("Access Dtls-" &amp; D72)</f>
        <v>Access Dtls-3586</v>
      </c>
      <c r="H72" s="15" t="s">
        <v>275</v>
      </c>
      <c r="I72" s="13" t="str">
        <f>("MR. Test_71_EXCH5_"&amp;D72&amp;"")</f>
        <v>MR. Test_71_EXCH5_3586</v>
      </c>
      <c r="J72" s="18"/>
      <c r="K72" s="19" t="s">
        <v>425</v>
      </c>
      <c r="L72" s="13" t="str">
        <f t="shared" ref="L72:L83" si="91">("Cust. Ref-" &amp; D72)</f>
        <v>Cust. Ref-3586</v>
      </c>
      <c r="M72" s="15" t="s">
        <v>48</v>
      </c>
      <c r="N72" s="15" t="s">
        <v>425</v>
      </c>
      <c r="O72" s="13"/>
      <c r="P72" s="13" t="str">
        <f t="shared" ref="P72:P83" si="92">("SN-" &amp; D72)</f>
        <v>SN-3586</v>
      </c>
      <c r="Q72" s="13" t="str">
        <f t="shared" ref="Q72:Q83" si="93">("SI-" &amp; D72)</f>
        <v>SI-3586</v>
      </c>
      <c r="R72" s="13" t="str">
        <f t="shared" ref="R72:R83" si="94">("SE-" &amp; D72)</f>
        <v>SE-3586</v>
      </c>
      <c r="S72" s="53" t="str">
        <f t="shared" ref="S72:S83" si="95">("Prev_RA-" &amp; D72)</f>
        <v>Prev_RA-3586</v>
      </c>
      <c r="T72" s="53" t="str">
        <f t="shared" ref="T72:T83" si="96">("Prev_Comms-" &amp; D72)</f>
        <v>Prev_Comms-3586</v>
      </c>
      <c r="U72" s="17" t="s">
        <v>75</v>
      </c>
      <c r="V72" s="15" t="s">
        <v>401</v>
      </c>
      <c r="W72" s="17" t="s">
        <v>75</v>
      </c>
      <c r="X72" s="15" t="s">
        <v>396</v>
      </c>
      <c r="Y72" s="13" t="str">
        <f t="shared" ref="Y72:Y83" si="97">("Forward Add-" &amp; D72)</f>
        <v>Forward Add-3586</v>
      </c>
      <c r="Z72" s="15" t="s">
        <v>401</v>
      </c>
      <c r="AA72" s="133" t="str">
        <f>'Run Parameters'!$B$2</f>
        <v>2019-04-26 08:00</v>
      </c>
      <c r="AB72" s="213" t="str">
        <f>'Run Parameters'!B$3</f>
        <v>2019-04-26 18:00</v>
      </c>
      <c r="AC72" s="26">
        <f>('Run Parameters'!$B$2) - 7</f>
        <v>43574.333333333336</v>
      </c>
      <c r="AD72" s="17" t="s">
        <v>75</v>
      </c>
      <c r="AE72" s="18" t="str">
        <f t="shared" ref="AE72:AE83" si="98">("LAST_METER-" &amp; D72)</f>
        <v>LAST_METER-3586</v>
      </c>
      <c r="AF72" s="133" t="str">
        <f>'Run Parameters'!$B$2</f>
        <v>2019-04-26 08:00</v>
      </c>
      <c r="AG72" s="13" t="str">
        <f>'Run Parameters'!B$4</f>
        <v>AUTOTEST2</v>
      </c>
      <c r="AH72" s="53" t="str">
        <f t="shared" ref="AH72:AH83" si="99">("Site_Contact_" &amp; D72)</f>
        <v>Site_Contact_3586</v>
      </c>
      <c r="AI72" s="133" t="str">
        <f>'Run Parameters'!B$2</f>
        <v>2019-04-26 08:00</v>
      </c>
      <c r="AJ72" s="213" t="str">
        <f>'Run Parameters'!B$3</f>
        <v>2019-04-26 18:00</v>
      </c>
      <c r="AK72" s="13" t="s">
        <v>396</v>
      </c>
      <c r="AL72" s="53" t="str">
        <f t="shared" ref="AL72:AL83" si="100">"01159" &amp; D72</f>
        <v>011593586</v>
      </c>
      <c r="AM72" s="13" t="str">
        <f t="shared" ref="AM72:AM83" si="101">("0115" &amp; D72)</f>
        <v>01153586</v>
      </c>
      <c r="AN72" s="15"/>
      <c r="AO72" s="51"/>
      <c r="AP72" s="13">
        <v>1</v>
      </c>
      <c r="AQ72" s="52" t="s">
        <v>49</v>
      </c>
      <c r="AR72" s="15"/>
      <c r="AS72" s="13"/>
      <c r="AT72" s="7"/>
      <c r="AU72" s="7"/>
      <c r="AV72" s="13">
        <f t="shared" ref="AV72:AV83" si="102">D72</f>
        <v>3586</v>
      </c>
      <c r="AW72" s="13" t="s">
        <v>422</v>
      </c>
      <c r="AX72" s="13" t="s">
        <v>420</v>
      </c>
      <c r="AY72" s="13" t="s">
        <v>421</v>
      </c>
      <c r="AZ72" s="15" t="s">
        <v>334</v>
      </c>
      <c r="BA72" s="14" t="s">
        <v>154</v>
      </c>
      <c r="BB72" s="21">
        <v>1</v>
      </c>
      <c r="BC72" s="20">
        <f t="shared" ref="BC72:BC83" si="103">D72</f>
        <v>3586</v>
      </c>
      <c r="BD72" s="16" t="s">
        <v>967</v>
      </c>
      <c r="BE72" s="16" t="s">
        <v>391</v>
      </c>
      <c r="BF72" s="16" t="s">
        <v>391</v>
      </c>
      <c r="BG72" s="20" t="s">
        <v>966</v>
      </c>
      <c r="BH72" s="20" t="str">
        <f t="shared" ref="BH72:BH83" si="104">BC72&amp;"_"&amp;BB72</f>
        <v>3586_1</v>
      </c>
      <c r="BI72" s="21"/>
      <c r="BJ72" s="21" t="str">
        <f t="shared" ref="BJ72:BJ83" si="105">"10000000" &amp; D72</f>
        <v>100000003586</v>
      </c>
      <c r="BK72" s="16" t="s">
        <v>51</v>
      </c>
      <c r="BL72" s="16" t="s">
        <v>54</v>
      </c>
      <c r="BM72" s="20" t="s">
        <v>411</v>
      </c>
      <c r="BN72" s="16" t="s">
        <v>51</v>
      </c>
      <c r="BO72" s="20" t="str">
        <f t="shared" ref="BO72:BO83" si="106">"S05S" &amp; D72</f>
        <v>S05S3586</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DS_Pass-3586</v>
      </c>
      <c r="DO72" s="40"/>
      <c r="DP72" s="40"/>
      <c r="DQ72" s="40"/>
      <c r="DR72" s="41"/>
      <c r="DS72" s="41"/>
      <c r="DT72" s="40"/>
      <c r="DU72" s="40"/>
      <c r="DV72" s="40"/>
      <c r="DW72" s="41"/>
      <c r="DX72" s="40"/>
      <c r="DY72" s="40"/>
      <c r="DZ72" s="37" t="s">
        <v>402</v>
      </c>
      <c r="EA72" s="39"/>
      <c r="EB72" s="37"/>
      <c r="EC72" s="37"/>
      <c r="ED72" s="16"/>
      <c r="EE72" s="1"/>
      <c r="EF72" s="54"/>
    </row>
    <row r="73" spans="1:136" x14ac:dyDescent="0.2">
      <c r="A73" s="209" t="s">
        <v>970</v>
      </c>
      <c r="B73" s="209" t="s">
        <v>868</v>
      </c>
      <c r="C73" s="209" t="s">
        <v>865</v>
      </c>
      <c r="D73" s="13">
        <f>'Run Parameters'!$B$1 + ROW()-1</f>
        <v>3587</v>
      </c>
      <c r="E73" s="15" t="s">
        <v>47</v>
      </c>
      <c r="F73" s="18" t="s">
        <v>966</v>
      </c>
      <c r="G73" s="13" t="str">
        <f t="shared" si="90"/>
        <v>Access Dtls-3587</v>
      </c>
      <c r="H73" s="15" t="s">
        <v>275</v>
      </c>
      <c r="I73" s="13" t="str">
        <f>("MR. Test_72_EXCH5_"&amp;D73&amp;"")</f>
        <v>MR. Test_72_EXCH5_3587</v>
      </c>
      <c r="J73" s="18"/>
      <c r="K73" s="19" t="s">
        <v>425</v>
      </c>
      <c r="L73" s="13" t="str">
        <f t="shared" si="91"/>
        <v>Cust. Ref-3587</v>
      </c>
      <c r="M73" s="15" t="s">
        <v>48</v>
      </c>
      <c r="N73" s="15" t="s">
        <v>425</v>
      </c>
      <c r="O73" s="13"/>
      <c r="P73" s="13" t="str">
        <f t="shared" si="92"/>
        <v>SN-3587</v>
      </c>
      <c r="Q73" s="13" t="str">
        <f t="shared" si="93"/>
        <v>SI-3587</v>
      </c>
      <c r="R73" s="13" t="str">
        <f t="shared" si="94"/>
        <v>SE-3587</v>
      </c>
      <c r="S73" s="53" t="str">
        <f t="shared" si="95"/>
        <v>Prev_RA-3587</v>
      </c>
      <c r="T73" s="53" t="str">
        <f t="shared" si="96"/>
        <v>Prev_Comms-3587</v>
      </c>
      <c r="U73" s="17" t="s">
        <v>75</v>
      </c>
      <c r="V73" s="15" t="s">
        <v>401</v>
      </c>
      <c r="W73" s="17" t="s">
        <v>75</v>
      </c>
      <c r="X73" s="15" t="s">
        <v>396</v>
      </c>
      <c r="Y73" s="13" t="str">
        <f t="shared" si="97"/>
        <v>Forward Add-3587</v>
      </c>
      <c r="Z73" s="15" t="s">
        <v>401</v>
      </c>
      <c r="AA73" s="133" t="str">
        <f>'Run Parameters'!$B$2</f>
        <v>2019-04-26 08:00</v>
      </c>
      <c r="AB73" s="213" t="str">
        <f>'Run Parameters'!B$3</f>
        <v>2019-04-26 18:00</v>
      </c>
      <c r="AC73" s="26">
        <f>('Run Parameters'!$B$2) - 7</f>
        <v>43574.333333333336</v>
      </c>
      <c r="AD73" s="17" t="s">
        <v>75</v>
      </c>
      <c r="AE73" s="18" t="str">
        <f t="shared" si="98"/>
        <v>LAST_METER-3587</v>
      </c>
      <c r="AF73" s="133" t="str">
        <f>'Run Parameters'!$B$2</f>
        <v>2019-04-26 08:00</v>
      </c>
      <c r="AG73" s="13" t="str">
        <f>'Run Parameters'!B$4</f>
        <v>AUTOTEST2</v>
      </c>
      <c r="AH73" s="53" t="str">
        <f t="shared" si="99"/>
        <v>Site_Contact_3587</v>
      </c>
      <c r="AI73" s="133" t="str">
        <f>'Run Parameters'!B$2</f>
        <v>2019-04-26 08:00</v>
      </c>
      <c r="AJ73" s="213" t="str">
        <f>'Run Parameters'!B$3</f>
        <v>2019-04-26 18:00</v>
      </c>
      <c r="AK73" s="13" t="s">
        <v>396</v>
      </c>
      <c r="AL73" s="53" t="str">
        <f t="shared" si="100"/>
        <v>011593587</v>
      </c>
      <c r="AM73" s="13" t="str">
        <f t="shared" si="101"/>
        <v>01153587</v>
      </c>
      <c r="AN73" s="15"/>
      <c r="AO73" s="51"/>
      <c r="AP73" s="13">
        <v>1</v>
      </c>
      <c r="AQ73" s="52" t="s">
        <v>49</v>
      </c>
      <c r="AR73" s="15"/>
      <c r="AS73" s="13"/>
      <c r="AT73" s="7"/>
      <c r="AU73" s="7"/>
      <c r="AV73" s="13">
        <f t="shared" si="102"/>
        <v>3587</v>
      </c>
      <c r="AW73" s="13" t="s">
        <v>422</v>
      </c>
      <c r="AX73" s="13" t="s">
        <v>420</v>
      </c>
      <c r="AY73" s="13" t="s">
        <v>421</v>
      </c>
      <c r="AZ73" s="15" t="s">
        <v>334</v>
      </c>
      <c r="BA73" s="14" t="s">
        <v>154</v>
      </c>
      <c r="BB73" s="21">
        <v>1</v>
      </c>
      <c r="BC73" s="20">
        <f t="shared" si="103"/>
        <v>3587</v>
      </c>
      <c r="BD73" s="16" t="s">
        <v>967</v>
      </c>
      <c r="BE73" s="16" t="s">
        <v>391</v>
      </c>
      <c r="BF73" s="16" t="s">
        <v>391</v>
      </c>
      <c r="BG73" s="20" t="s">
        <v>966</v>
      </c>
      <c r="BH73" s="20" t="str">
        <f t="shared" si="104"/>
        <v>3587_1</v>
      </c>
      <c r="BI73" s="21"/>
      <c r="BJ73" s="21" t="str">
        <f t="shared" si="105"/>
        <v>100000003587</v>
      </c>
      <c r="BK73" s="16" t="s">
        <v>51</v>
      </c>
      <c r="BL73" s="16" t="s">
        <v>54</v>
      </c>
      <c r="BM73" s="20" t="s">
        <v>411</v>
      </c>
      <c r="BN73" s="16" t="s">
        <v>51</v>
      </c>
      <c r="BO73" s="20" t="str">
        <f t="shared" si="106"/>
        <v>S05S3587</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DS_Pass-3587</v>
      </c>
      <c r="DO73" s="40"/>
      <c r="DP73" s="40"/>
      <c r="DQ73" s="40"/>
      <c r="DR73" s="41"/>
      <c r="DS73" s="41"/>
      <c r="DT73" s="40"/>
      <c r="DU73" s="40"/>
      <c r="DV73" s="40"/>
      <c r="DW73" s="41"/>
      <c r="DX73" s="40"/>
      <c r="DY73" s="40"/>
      <c r="DZ73" s="37" t="s">
        <v>402</v>
      </c>
      <c r="EA73" s="39"/>
      <c r="EB73" s="37"/>
      <c r="EC73" s="37"/>
      <c r="ED73" s="16"/>
      <c r="EE73" s="1"/>
      <c r="EF73" s="54"/>
    </row>
    <row r="74" spans="1:136" x14ac:dyDescent="0.2">
      <c r="A74" s="209" t="s">
        <v>971</v>
      </c>
      <c r="B74" s="209" t="s">
        <v>892</v>
      </c>
      <c r="C74" s="209" t="s">
        <v>865</v>
      </c>
      <c r="D74" s="13">
        <f>'Run Parameters'!$B$1 + ROW()-1</f>
        <v>3588</v>
      </c>
      <c r="E74" s="15" t="s">
        <v>47</v>
      </c>
      <c r="F74" s="18" t="s">
        <v>966</v>
      </c>
      <c r="G74" s="13" t="str">
        <f t="shared" si="90"/>
        <v>Access Dtls-3588</v>
      </c>
      <c r="H74" s="15" t="s">
        <v>275</v>
      </c>
      <c r="I74" s="13" t="str">
        <f>("MR. Test_73_EXCH5_"&amp;D74&amp;"")</f>
        <v>MR. Test_73_EXCH5_3588</v>
      </c>
      <c r="J74" s="18"/>
      <c r="K74" s="19" t="s">
        <v>425</v>
      </c>
      <c r="L74" s="13" t="str">
        <f t="shared" si="91"/>
        <v>Cust. Ref-3588</v>
      </c>
      <c r="M74" s="15" t="s">
        <v>48</v>
      </c>
      <c r="N74" s="15" t="s">
        <v>425</v>
      </c>
      <c r="O74" s="13"/>
      <c r="P74" s="13" t="str">
        <f t="shared" si="92"/>
        <v>SN-3588</v>
      </c>
      <c r="Q74" s="13" t="str">
        <f t="shared" si="93"/>
        <v>SI-3588</v>
      </c>
      <c r="R74" s="13" t="str">
        <f t="shared" si="94"/>
        <v>SE-3588</v>
      </c>
      <c r="S74" s="53" t="str">
        <f t="shared" si="95"/>
        <v>Prev_RA-3588</v>
      </c>
      <c r="T74" s="53" t="str">
        <f t="shared" si="96"/>
        <v>Prev_Comms-3588</v>
      </c>
      <c r="U74" s="17" t="s">
        <v>75</v>
      </c>
      <c r="V74" s="15" t="s">
        <v>401</v>
      </c>
      <c r="W74" s="17" t="s">
        <v>75</v>
      </c>
      <c r="X74" s="15" t="s">
        <v>396</v>
      </c>
      <c r="Y74" s="13" t="str">
        <f t="shared" si="97"/>
        <v>Forward Add-3588</v>
      </c>
      <c r="Z74" s="15" t="s">
        <v>401</v>
      </c>
      <c r="AA74" s="133" t="str">
        <f>'Run Parameters'!$B$2</f>
        <v>2019-04-26 08:00</v>
      </c>
      <c r="AB74" s="213" t="str">
        <f>'Run Parameters'!B$3</f>
        <v>2019-04-26 18:00</v>
      </c>
      <c r="AC74" s="26">
        <f>('Run Parameters'!$B$2) - 7</f>
        <v>43574.333333333336</v>
      </c>
      <c r="AD74" s="17" t="s">
        <v>75</v>
      </c>
      <c r="AE74" s="18" t="str">
        <f t="shared" si="98"/>
        <v>LAST_METER-3588</v>
      </c>
      <c r="AF74" s="133" t="str">
        <f>'Run Parameters'!$B$2</f>
        <v>2019-04-26 08:00</v>
      </c>
      <c r="AG74" s="13" t="str">
        <f>'Run Parameters'!B$4</f>
        <v>AUTOTEST2</v>
      </c>
      <c r="AH74" s="53" t="str">
        <f t="shared" si="99"/>
        <v>Site_Contact_3588</v>
      </c>
      <c r="AI74" s="133" t="str">
        <f>'Run Parameters'!B$2</f>
        <v>2019-04-26 08:00</v>
      </c>
      <c r="AJ74" s="213" t="str">
        <f>'Run Parameters'!B$3</f>
        <v>2019-04-26 18:00</v>
      </c>
      <c r="AK74" s="13" t="s">
        <v>396</v>
      </c>
      <c r="AL74" s="53" t="str">
        <f t="shared" si="100"/>
        <v>011593588</v>
      </c>
      <c r="AM74" s="13" t="str">
        <f t="shared" si="101"/>
        <v>01153588</v>
      </c>
      <c r="AN74" s="15"/>
      <c r="AO74" s="51"/>
      <c r="AP74" s="13">
        <v>1</v>
      </c>
      <c r="AQ74" s="52" t="s">
        <v>49</v>
      </c>
      <c r="AR74" s="15"/>
      <c r="AS74" s="13"/>
      <c r="AT74" s="7"/>
      <c r="AU74" s="7"/>
      <c r="AV74" s="13">
        <f t="shared" si="102"/>
        <v>3588</v>
      </c>
      <c r="AW74" s="13" t="s">
        <v>422</v>
      </c>
      <c r="AX74" s="13" t="s">
        <v>420</v>
      </c>
      <c r="AY74" s="13" t="s">
        <v>421</v>
      </c>
      <c r="AZ74" s="15" t="s">
        <v>334</v>
      </c>
      <c r="BA74" s="14" t="s">
        <v>154</v>
      </c>
      <c r="BB74" s="21">
        <v>1</v>
      </c>
      <c r="BC74" s="20">
        <f t="shared" si="103"/>
        <v>3588</v>
      </c>
      <c r="BD74" s="16" t="s">
        <v>967</v>
      </c>
      <c r="BE74" s="16" t="s">
        <v>391</v>
      </c>
      <c r="BF74" s="16" t="s">
        <v>391</v>
      </c>
      <c r="BG74" s="20" t="s">
        <v>966</v>
      </c>
      <c r="BH74" s="20" t="str">
        <f t="shared" si="104"/>
        <v>3588_1</v>
      </c>
      <c r="BI74" s="21"/>
      <c r="BJ74" s="21" t="str">
        <f t="shared" si="105"/>
        <v>100000003588</v>
      </c>
      <c r="BK74" s="16" t="s">
        <v>51</v>
      </c>
      <c r="BL74" s="16" t="s">
        <v>54</v>
      </c>
      <c r="BM74" s="20" t="s">
        <v>411</v>
      </c>
      <c r="BN74" s="16" t="s">
        <v>51</v>
      </c>
      <c r="BO74" s="20" t="str">
        <f t="shared" si="106"/>
        <v>S05S3588</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DS_Pass-3588</v>
      </c>
      <c r="DO74" s="40"/>
      <c r="DP74" s="40"/>
      <c r="DQ74" s="40"/>
      <c r="DR74" s="41"/>
      <c r="DS74" s="41"/>
      <c r="DT74" s="40"/>
      <c r="DU74" s="40"/>
      <c r="DV74" s="40"/>
      <c r="DW74" s="41"/>
      <c r="DX74" s="40"/>
      <c r="DY74" s="40"/>
      <c r="DZ74" s="37" t="s">
        <v>402</v>
      </c>
      <c r="EA74" s="39"/>
      <c r="EB74" s="37"/>
      <c r="EC74" s="37"/>
      <c r="ED74" s="16"/>
      <c r="EE74" s="1"/>
      <c r="EF74" s="54"/>
    </row>
    <row r="75" spans="1:136" x14ac:dyDescent="0.2">
      <c r="A75" s="209" t="s">
        <v>972</v>
      </c>
      <c r="B75" s="209" t="s">
        <v>868</v>
      </c>
      <c r="C75" s="209" t="s">
        <v>865</v>
      </c>
      <c r="D75" s="13">
        <f>'Run Parameters'!$B$1 + ROW()-1</f>
        <v>3589</v>
      </c>
      <c r="E75" s="15" t="s">
        <v>47</v>
      </c>
      <c r="F75" s="18" t="s">
        <v>966</v>
      </c>
      <c r="G75" s="13" t="str">
        <f t="shared" si="90"/>
        <v>Access Dtls-3589</v>
      </c>
      <c r="H75" s="15" t="s">
        <v>275</v>
      </c>
      <c r="I75" s="13" t="str">
        <f>("MR. Test_74_EXCH5_"&amp;D75&amp;"")</f>
        <v>MR. Test_74_EXCH5_3589</v>
      </c>
      <c r="J75" s="18"/>
      <c r="K75" s="19" t="s">
        <v>425</v>
      </c>
      <c r="L75" s="13" t="str">
        <f t="shared" si="91"/>
        <v>Cust. Ref-3589</v>
      </c>
      <c r="M75" s="15" t="s">
        <v>48</v>
      </c>
      <c r="N75" s="15" t="s">
        <v>425</v>
      </c>
      <c r="O75" s="13"/>
      <c r="P75" s="13" t="str">
        <f t="shared" si="92"/>
        <v>SN-3589</v>
      </c>
      <c r="Q75" s="13" t="str">
        <f t="shared" si="93"/>
        <v>SI-3589</v>
      </c>
      <c r="R75" s="13" t="str">
        <f t="shared" si="94"/>
        <v>SE-3589</v>
      </c>
      <c r="S75" s="53" t="str">
        <f t="shared" si="95"/>
        <v>Prev_RA-3589</v>
      </c>
      <c r="T75" s="53" t="str">
        <f t="shared" si="96"/>
        <v>Prev_Comms-3589</v>
      </c>
      <c r="U75" s="17" t="s">
        <v>75</v>
      </c>
      <c r="V75" s="15" t="s">
        <v>401</v>
      </c>
      <c r="W75" s="17" t="s">
        <v>75</v>
      </c>
      <c r="X75" s="15" t="s">
        <v>396</v>
      </c>
      <c r="Y75" s="13" t="str">
        <f t="shared" si="97"/>
        <v>Forward Add-3589</v>
      </c>
      <c r="Z75" s="15" t="s">
        <v>401</v>
      </c>
      <c r="AA75" s="133" t="str">
        <f>'Run Parameters'!$B$2</f>
        <v>2019-04-26 08:00</v>
      </c>
      <c r="AB75" s="213" t="str">
        <f>'Run Parameters'!B$3</f>
        <v>2019-04-26 18:00</v>
      </c>
      <c r="AC75" s="26">
        <f>('Run Parameters'!$B$2) - 7</f>
        <v>43574.333333333336</v>
      </c>
      <c r="AD75" s="17" t="s">
        <v>75</v>
      </c>
      <c r="AE75" s="18" t="str">
        <f t="shared" si="98"/>
        <v>LAST_METER-3589</v>
      </c>
      <c r="AF75" s="133" t="str">
        <f>'Run Parameters'!$B$2</f>
        <v>2019-04-26 08:00</v>
      </c>
      <c r="AG75" s="13" t="str">
        <f>'Run Parameters'!B$4</f>
        <v>AUTOTEST2</v>
      </c>
      <c r="AH75" s="53" t="str">
        <f t="shared" si="99"/>
        <v>Site_Contact_3589</v>
      </c>
      <c r="AI75" s="133" t="str">
        <f>'Run Parameters'!B$2</f>
        <v>2019-04-26 08:00</v>
      </c>
      <c r="AJ75" s="213" t="str">
        <f>'Run Parameters'!B$3</f>
        <v>2019-04-26 18:00</v>
      </c>
      <c r="AK75" s="13" t="s">
        <v>396</v>
      </c>
      <c r="AL75" s="53" t="str">
        <f t="shared" si="100"/>
        <v>011593589</v>
      </c>
      <c r="AM75" s="13" t="str">
        <f t="shared" si="101"/>
        <v>01153589</v>
      </c>
      <c r="AN75" s="15"/>
      <c r="AO75" s="51"/>
      <c r="AP75" s="13">
        <v>1</v>
      </c>
      <c r="AQ75" s="52" t="s">
        <v>49</v>
      </c>
      <c r="AR75" s="15"/>
      <c r="AS75" s="13"/>
      <c r="AT75" s="7"/>
      <c r="AU75" s="7"/>
      <c r="AV75" s="13">
        <f t="shared" si="102"/>
        <v>3589</v>
      </c>
      <c r="AW75" s="13" t="s">
        <v>422</v>
      </c>
      <c r="AX75" s="13" t="s">
        <v>420</v>
      </c>
      <c r="AY75" s="13" t="s">
        <v>421</v>
      </c>
      <c r="AZ75" s="15" t="s">
        <v>334</v>
      </c>
      <c r="BA75" s="14" t="s">
        <v>154</v>
      </c>
      <c r="BB75" s="21">
        <v>1</v>
      </c>
      <c r="BC75" s="20">
        <f t="shared" si="103"/>
        <v>3589</v>
      </c>
      <c r="BD75" s="16" t="s">
        <v>967</v>
      </c>
      <c r="BE75" s="16" t="s">
        <v>391</v>
      </c>
      <c r="BF75" s="16" t="s">
        <v>391</v>
      </c>
      <c r="BG75" s="20" t="s">
        <v>966</v>
      </c>
      <c r="BH75" s="20" t="str">
        <f t="shared" si="104"/>
        <v>3589_1</v>
      </c>
      <c r="BI75" s="21"/>
      <c r="BJ75" s="21" t="str">
        <f t="shared" si="105"/>
        <v>100000003589</v>
      </c>
      <c r="BK75" s="16" t="s">
        <v>51</v>
      </c>
      <c r="BL75" s="16" t="s">
        <v>54</v>
      </c>
      <c r="BM75" s="20" t="s">
        <v>411</v>
      </c>
      <c r="BN75" s="16" t="s">
        <v>51</v>
      </c>
      <c r="BO75" s="20" t="str">
        <f t="shared" si="106"/>
        <v>S05S3589</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DS_Pass-3589</v>
      </c>
      <c r="DO75" s="40"/>
      <c r="DP75" s="40"/>
      <c r="DQ75" s="40"/>
      <c r="DR75" s="41"/>
      <c r="DS75" s="41"/>
      <c r="DT75" s="40"/>
      <c r="DU75" s="40"/>
      <c r="DV75" s="40"/>
      <c r="DW75" s="41"/>
      <c r="DX75" s="40"/>
      <c r="DY75" s="40"/>
      <c r="DZ75" s="37" t="s">
        <v>402</v>
      </c>
      <c r="EA75" s="39"/>
      <c r="EB75" s="37"/>
      <c r="EC75" s="37"/>
      <c r="ED75" s="16"/>
      <c r="EE75" s="1"/>
      <c r="EF75" s="54"/>
    </row>
    <row r="76" spans="1:136" x14ac:dyDescent="0.2">
      <c r="A76" s="209" t="s">
        <v>973</v>
      </c>
      <c r="B76" s="209" t="s">
        <v>892</v>
      </c>
      <c r="C76" s="209" t="s">
        <v>865</v>
      </c>
      <c r="D76" s="13">
        <f>'Run Parameters'!$B$1 + ROW()-1</f>
        <v>3590</v>
      </c>
      <c r="E76" s="15" t="s">
        <v>47</v>
      </c>
      <c r="F76" s="18" t="s">
        <v>966</v>
      </c>
      <c r="G76" s="13" t="str">
        <f t="shared" si="90"/>
        <v>Access Dtls-3590</v>
      </c>
      <c r="H76" s="15" t="s">
        <v>275</v>
      </c>
      <c r="I76" s="13" t="str">
        <f>("MR. Test_75_EXCH5_"&amp;D76&amp;"")</f>
        <v>MR. Test_75_EXCH5_3590</v>
      </c>
      <c r="J76" s="18"/>
      <c r="K76" s="19" t="s">
        <v>425</v>
      </c>
      <c r="L76" s="13" t="str">
        <f t="shared" si="91"/>
        <v>Cust. Ref-3590</v>
      </c>
      <c r="M76" s="15" t="s">
        <v>48</v>
      </c>
      <c r="N76" s="15" t="s">
        <v>425</v>
      </c>
      <c r="O76" s="13"/>
      <c r="P76" s="13" t="str">
        <f t="shared" si="92"/>
        <v>SN-3590</v>
      </c>
      <c r="Q76" s="13" t="str">
        <f t="shared" si="93"/>
        <v>SI-3590</v>
      </c>
      <c r="R76" s="13" t="str">
        <f t="shared" si="94"/>
        <v>SE-3590</v>
      </c>
      <c r="S76" s="53" t="str">
        <f t="shared" si="95"/>
        <v>Prev_RA-3590</v>
      </c>
      <c r="T76" s="53" t="str">
        <f t="shared" si="96"/>
        <v>Prev_Comms-3590</v>
      </c>
      <c r="U76" s="17" t="s">
        <v>75</v>
      </c>
      <c r="V76" s="15" t="s">
        <v>401</v>
      </c>
      <c r="W76" s="17" t="s">
        <v>75</v>
      </c>
      <c r="X76" s="15" t="s">
        <v>396</v>
      </c>
      <c r="Y76" s="13" t="str">
        <f t="shared" si="97"/>
        <v>Forward Add-3590</v>
      </c>
      <c r="Z76" s="15" t="s">
        <v>401</v>
      </c>
      <c r="AA76" s="133" t="str">
        <f>'Run Parameters'!$B$2</f>
        <v>2019-04-26 08:00</v>
      </c>
      <c r="AB76" s="213" t="str">
        <f>'Run Parameters'!B$3</f>
        <v>2019-04-26 18:00</v>
      </c>
      <c r="AC76" s="26">
        <f>('Run Parameters'!$B$2) - 7</f>
        <v>43574.333333333336</v>
      </c>
      <c r="AD76" s="17" t="s">
        <v>75</v>
      </c>
      <c r="AE76" s="18" t="str">
        <f t="shared" si="98"/>
        <v>LAST_METER-3590</v>
      </c>
      <c r="AF76" s="133" t="str">
        <f>'Run Parameters'!$B$2</f>
        <v>2019-04-26 08:00</v>
      </c>
      <c r="AG76" s="13" t="str">
        <f>'Run Parameters'!B$4</f>
        <v>AUTOTEST2</v>
      </c>
      <c r="AH76" s="53" t="str">
        <f t="shared" si="99"/>
        <v>Site_Contact_3590</v>
      </c>
      <c r="AI76" s="133" t="str">
        <f>'Run Parameters'!B$2</f>
        <v>2019-04-26 08:00</v>
      </c>
      <c r="AJ76" s="213" t="str">
        <f>'Run Parameters'!B$3</f>
        <v>2019-04-26 18:00</v>
      </c>
      <c r="AK76" s="13" t="s">
        <v>396</v>
      </c>
      <c r="AL76" s="53" t="str">
        <f t="shared" si="100"/>
        <v>011593590</v>
      </c>
      <c r="AM76" s="13" t="str">
        <f t="shared" si="101"/>
        <v>01153590</v>
      </c>
      <c r="AN76" s="15"/>
      <c r="AO76" s="51"/>
      <c r="AP76" s="13">
        <v>1</v>
      </c>
      <c r="AQ76" s="52" t="s">
        <v>49</v>
      </c>
      <c r="AR76" s="15"/>
      <c r="AS76" s="13"/>
      <c r="AT76" s="7"/>
      <c r="AU76" s="7"/>
      <c r="AV76" s="13">
        <f t="shared" si="102"/>
        <v>3590</v>
      </c>
      <c r="AW76" s="13" t="s">
        <v>422</v>
      </c>
      <c r="AX76" s="13" t="s">
        <v>420</v>
      </c>
      <c r="AY76" s="13" t="s">
        <v>421</v>
      </c>
      <c r="AZ76" s="15" t="s">
        <v>334</v>
      </c>
      <c r="BA76" s="14" t="s">
        <v>154</v>
      </c>
      <c r="BB76" s="21">
        <v>1</v>
      </c>
      <c r="BC76" s="20">
        <f t="shared" si="103"/>
        <v>3590</v>
      </c>
      <c r="BD76" s="16" t="s">
        <v>967</v>
      </c>
      <c r="BE76" s="16" t="s">
        <v>391</v>
      </c>
      <c r="BF76" s="16" t="s">
        <v>391</v>
      </c>
      <c r="BG76" s="20" t="s">
        <v>966</v>
      </c>
      <c r="BH76" s="20" t="str">
        <f t="shared" si="104"/>
        <v>3590_1</v>
      </c>
      <c r="BI76" s="21"/>
      <c r="BJ76" s="21" t="str">
        <f t="shared" si="105"/>
        <v>100000003590</v>
      </c>
      <c r="BK76" s="16" t="s">
        <v>51</v>
      </c>
      <c r="BL76" s="16" t="s">
        <v>54</v>
      </c>
      <c r="BM76" s="20" t="s">
        <v>411</v>
      </c>
      <c r="BN76" s="16" t="s">
        <v>51</v>
      </c>
      <c r="BO76" s="20" t="str">
        <f t="shared" si="106"/>
        <v>S05S3590</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DS_Pass-3590</v>
      </c>
      <c r="DO76" s="40"/>
      <c r="DP76" s="40"/>
      <c r="DQ76" s="40"/>
      <c r="DR76" s="41"/>
      <c r="DS76" s="41"/>
      <c r="DT76" s="40"/>
      <c r="DU76" s="40"/>
      <c r="DV76" s="40"/>
      <c r="DW76" s="41"/>
      <c r="DX76" s="40"/>
      <c r="DY76" s="40"/>
      <c r="DZ76" s="37" t="s">
        <v>402</v>
      </c>
      <c r="EA76" s="39"/>
      <c r="EB76" s="37"/>
      <c r="EC76" s="37"/>
      <c r="ED76" s="16"/>
      <c r="EE76" s="1"/>
      <c r="EF76" s="54"/>
    </row>
    <row r="77" spans="1:136" x14ac:dyDescent="0.2">
      <c r="A77" s="209" t="s">
        <v>974</v>
      </c>
      <c r="B77" s="209" t="s">
        <v>868</v>
      </c>
      <c r="C77" s="209" t="s">
        <v>865</v>
      </c>
      <c r="D77" s="13">
        <f>'Run Parameters'!$B$1 + ROW()-1</f>
        <v>3591</v>
      </c>
      <c r="E77" s="15" t="s">
        <v>47</v>
      </c>
      <c r="F77" s="18" t="s">
        <v>966</v>
      </c>
      <c r="G77" s="13" t="str">
        <f t="shared" si="90"/>
        <v>Access Dtls-3591</v>
      </c>
      <c r="H77" s="15" t="s">
        <v>275</v>
      </c>
      <c r="I77" s="13" t="str">
        <f>("MR. Test_76_EXCH5_"&amp;D77&amp;"")</f>
        <v>MR. Test_76_EXCH5_3591</v>
      </c>
      <c r="J77" s="18"/>
      <c r="K77" s="19" t="s">
        <v>425</v>
      </c>
      <c r="L77" s="13" t="str">
        <f t="shared" si="91"/>
        <v>Cust. Ref-3591</v>
      </c>
      <c r="M77" s="15" t="s">
        <v>48</v>
      </c>
      <c r="N77" s="15" t="s">
        <v>425</v>
      </c>
      <c r="O77" s="13"/>
      <c r="P77" s="13" t="str">
        <f t="shared" si="92"/>
        <v>SN-3591</v>
      </c>
      <c r="Q77" s="13" t="str">
        <f t="shared" si="93"/>
        <v>SI-3591</v>
      </c>
      <c r="R77" s="13" t="str">
        <f t="shared" si="94"/>
        <v>SE-3591</v>
      </c>
      <c r="S77" s="53" t="str">
        <f t="shared" si="95"/>
        <v>Prev_RA-3591</v>
      </c>
      <c r="T77" s="53" t="str">
        <f t="shared" si="96"/>
        <v>Prev_Comms-3591</v>
      </c>
      <c r="U77" s="17" t="s">
        <v>75</v>
      </c>
      <c r="V77" s="15" t="s">
        <v>401</v>
      </c>
      <c r="W77" s="17" t="s">
        <v>75</v>
      </c>
      <c r="X77" s="15" t="s">
        <v>396</v>
      </c>
      <c r="Y77" s="13" t="str">
        <f t="shared" si="97"/>
        <v>Forward Add-3591</v>
      </c>
      <c r="Z77" s="15" t="s">
        <v>401</v>
      </c>
      <c r="AA77" s="133" t="str">
        <f>'Run Parameters'!$B$2</f>
        <v>2019-04-26 08:00</v>
      </c>
      <c r="AB77" s="213" t="str">
        <f>'Run Parameters'!B$3</f>
        <v>2019-04-26 18:00</v>
      </c>
      <c r="AC77" s="26">
        <f>('Run Parameters'!$B$2) - 7</f>
        <v>43574.333333333336</v>
      </c>
      <c r="AD77" s="17" t="s">
        <v>75</v>
      </c>
      <c r="AE77" s="18" t="str">
        <f t="shared" si="98"/>
        <v>LAST_METER-3591</v>
      </c>
      <c r="AF77" s="133" t="str">
        <f>'Run Parameters'!$B$2</f>
        <v>2019-04-26 08:00</v>
      </c>
      <c r="AG77" s="13" t="str">
        <f>'Run Parameters'!B$4</f>
        <v>AUTOTEST2</v>
      </c>
      <c r="AH77" s="53" t="str">
        <f t="shared" si="99"/>
        <v>Site_Contact_3591</v>
      </c>
      <c r="AI77" s="133" t="str">
        <f>'Run Parameters'!B$2</f>
        <v>2019-04-26 08:00</v>
      </c>
      <c r="AJ77" s="213" t="str">
        <f>'Run Parameters'!B$3</f>
        <v>2019-04-26 18:00</v>
      </c>
      <c r="AK77" s="13" t="s">
        <v>396</v>
      </c>
      <c r="AL77" s="53" t="str">
        <f t="shared" si="100"/>
        <v>011593591</v>
      </c>
      <c r="AM77" s="13" t="str">
        <f t="shared" si="101"/>
        <v>01153591</v>
      </c>
      <c r="AN77" s="15"/>
      <c r="AO77" s="51"/>
      <c r="AP77" s="13">
        <v>1</v>
      </c>
      <c r="AQ77" s="52" t="s">
        <v>49</v>
      </c>
      <c r="AR77" s="15"/>
      <c r="AS77" s="13"/>
      <c r="AT77" s="7"/>
      <c r="AU77" s="7"/>
      <c r="AV77" s="13">
        <f t="shared" si="102"/>
        <v>3591</v>
      </c>
      <c r="AW77" s="13" t="s">
        <v>422</v>
      </c>
      <c r="AX77" s="13" t="s">
        <v>420</v>
      </c>
      <c r="AY77" s="13" t="s">
        <v>421</v>
      </c>
      <c r="AZ77" s="15" t="s">
        <v>334</v>
      </c>
      <c r="BA77" s="14" t="s">
        <v>154</v>
      </c>
      <c r="BB77" s="21">
        <v>1</v>
      </c>
      <c r="BC77" s="20">
        <f t="shared" si="103"/>
        <v>3591</v>
      </c>
      <c r="BD77" s="16" t="s">
        <v>967</v>
      </c>
      <c r="BE77" s="16" t="s">
        <v>391</v>
      </c>
      <c r="BF77" s="16" t="s">
        <v>391</v>
      </c>
      <c r="BG77" s="20" t="s">
        <v>966</v>
      </c>
      <c r="BH77" s="20" t="str">
        <f t="shared" si="104"/>
        <v>3591_1</v>
      </c>
      <c r="BI77" s="21"/>
      <c r="BJ77" s="21" t="str">
        <f t="shared" si="105"/>
        <v>100000003591</v>
      </c>
      <c r="BK77" s="16" t="s">
        <v>51</v>
      </c>
      <c r="BL77" s="16" t="s">
        <v>54</v>
      </c>
      <c r="BM77" s="20" t="s">
        <v>411</v>
      </c>
      <c r="BN77" s="16" t="s">
        <v>51</v>
      </c>
      <c r="BO77" s="20" t="str">
        <f t="shared" si="106"/>
        <v>S05S3591</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DS_Pass-3591</v>
      </c>
      <c r="DO77" s="40"/>
      <c r="DP77" s="40"/>
      <c r="DQ77" s="40"/>
      <c r="DR77" s="41"/>
      <c r="DS77" s="41"/>
      <c r="DT77" s="40"/>
      <c r="DU77" s="40"/>
      <c r="DV77" s="40"/>
      <c r="DW77" s="41"/>
      <c r="DX77" s="40"/>
      <c r="DY77" s="40"/>
      <c r="DZ77" s="37" t="s">
        <v>402</v>
      </c>
      <c r="EA77" s="39"/>
      <c r="EB77" s="37"/>
      <c r="EC77" s="37"/>
      <c r="ED77" s="16"/>
      <c r="EE77" s="1"/>
      <c r="EF77" s="54"/>
    </row>
    <row r="78" spans="1:136" x14ac:dyDescent="0.2">
      <c r="A78" s="209" t="s">
        <v>975</v>
      </c>
      <c r="B78" s="209" t="s">
        <v>892</v>
      </c>
      <c r="C78" s="209" t="s">
        <v>865</v>
      </c>
      <c r="D78" s="13">
        <f>'Run Parameters'!$B$1 + ROW()-1</f>
        <v>3592</v>
      </c>
      <c r="E78" s="15" t="s">
        <v>47</v>
      </c>
      <c r="F78" s="18" t="s">
        <v>966</v>
      </c>
      <c r="G78" s="13" t="str">
        <f t="shared" si="90"/>
        <v>Access Dtls-3592</v>
      </c>
      <c r="H78" s="15" t="s">
        <v>275</v>
      </c>
      <c r="I78" s="13" t="str">
        <f>("MR. Test_77_EXCH5_"&amp;D78&amp;"")</f>
        <v>MR. Test_77_EXCH5_3592</v>
      </c>
      <c r="J78" s="18"/>
      <c r="K78" s="19" t="s">
        <v>425</v>
      </c>
      <c r="L78" s="13" t="str">
        <f t="shared" si="91"/>
        <v>Cust. Ref-3592</v>
      </c>
      <c r="M78" s="15" t="s">
        <v>48</v>
      </c>
      <c r="N78" s="15" t="s">
        <v>425</v>
      </c>
      <c r="O78" s="13"/>
      <c r="P78" s="13" t="str">
        <f t="shared" si="92"/>
        <v>SN-3592</v>
      </c>
      <c r="Q78" s="13" t="str">
        <f t="shared" si="93"/>
        <v>SI-3592</v>
      </c>
      <c r="R78" s="13" t="str">
        <f t="shared" si="94"/>
        <v>SE-3592</v>
      </c>
      <c r="S78" s="53" t="str">
        <f t="shared" si="95"/>
        <v>Prev_RA-3592</v>
      </c>
      <c r="T78" s="53" t="str">
        <f t="shared" si="96"/>
        <v>Prev_Comms-3592</v>
      </c>
      <c r="U78" s="17" t="s">
        <v>75</v>
      </c>
      <c r="V78" s="15" t="s">
        <v>401</v>
      </c>
      <c r="W78" s="17" t="s">
        <v>75</v>
      </c>
      <c r="X78" s="15" t="s">
        <v>396</v>
      </c>
      <c r="Y78" s="13" t="str">
        <f t="shared" si="97"/>
        <v>Forward Add-3592</v>
      </c>
      <c r="Z78" s="15" t="s">
        <v>401</v>
      </c>
      <c r="AA78" s="133" t="str">
        <f>'Run Parameters'!$B$2</f>
        <v>2019-04-26 08:00</v>
      </c>
      <c r="AB78" s="213" t="str">
        <f>'Run Parameters'!B$3</f>
        <v>2019-04-26 18:00</v>
      </c>
      <c r="AC78" s="26">
        <f>('Run Parameters'!$B$2) - 7</f>
        <v>43574.333333333336</v>
      </c>
      <c r="AD78" s="17" t="s">
        <v>75</v>
      </c>
      <c r="AE78" s="18" t="str">
        <f t="shared" si="98"/>
        <v>LAST_METER-3592</v>
      </c>
      <c r="AF78" s="133" t="str">
        <f>'Run Parameters'!$B$2</f>
        <v>2019-04-26 08:00</v>
      </c>
      <c r="AG78" s="13" t="str">
        <f>'Run Parameters'!B$4</f>
        <v>AUTOTEST2</v>
      </c>
      <c r="AH78" s="53" t="str">
        <f t="shared" si="99"/>
        <v>Site_Contact_3592</v>
      </c>
      <c r="AI78" s="133" t="str">
        <f>'Run Parameters'!B$2</f>
        <v>2019-04-26 08:00</v>
      </c>
      <c r="AJ78" s="213" t="str">
        <f>'Run Parameters'!B$3</f>
        <v>2019-04-26 18:00</v>
      </c>
      <c r="AK78" s="13" t="s">
        <v>396</v>
      </c>
      <c r="AL78" s="53" t="str">
        <f t="shared" si="100"/>
        <v>011593592</v>
      </c>
      <c r="AM78" s="13" t="str">
        <f t="shared" si="101"/>
        <v>01153592</v>
      </c>
      <c r="AN78" s="15"/>
      <c r="AO78" s="51"/>
      <c r="AP78" s="13">
        <v>1</v>
      </c>
      <c r="AQ78" s="52" t="s">
        <v>49</v>
      </c>
      <c r="AR78" s="15"/>
      <c r="AS78" s="13"/>
      <c r="AT78" s="7"/>
      <c r="AU78" s="7"/>
      <c r="AV78" s="13">
        <f t="shared" si="102"/>
        <v>3592</v>
      </c>
      <c r="AW78" s="13" t="s">
        <v>422</v>
      </c>
      <c r="AX78" s="13" t="s">
        <v>420</v>
      </c>
      <c r="AY78" s="13" t="s">
        <v>421</v>
      </c>
      <c r="AZ78" s="15" t="s">
        <v>334</v>
      </c>
      <c r="BA78" s="14" t="s">
        <v>154</v>
      </c>
      <c r="BB78" s="21">
        <v>1</v>
      </c>
      <c r="BC78" s="20">
        <f t="shared" si="103"/>
        <v>3592</v>
      </c>
      <c r="BD78" s="16" t="s">
        <v>967</v>
      </c>
      <c r="BE78" s="16" t="s">
        <v>391</v>
      </c>
      <c r="BF78" s="16" t="s">
        <v>391</v>
      </c>
      <c r="BG78" s="20" t="s">
        <v>966</v>
      </c>
      <c r="BH78" s="20" t="str">
        <f t="shared" si="104"/>
        <v>3592_1</v>
      </c>
      <c r="BI78" s="21"/>
      <c r="BJ78" s="21" t="str">
        <f t="shared" si="105"/>
        <v>100000003592</v>
      </c>
      <c r="BK78" s="16" t="s">
        <v>51</v>
      </c>
      <c r="BL78" s="16" t="s">
        <v>54</v>
      </c>
      <c r="BM78" s="20" t="s">
        <v>411</v>
      </c>
      <c r="BN78" s="16" t="s">
        <v>51</v>
      </c>
      <c r="BO78" s="20" t="str">
        <f t="shared" si="106"/>
        <v>S05S3592</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DS_Pass-3592</v>
      </c>
      <c r="DO78" s="40"/>
      <c r="DP78" s="40"/>
      <c r="DQ78" s="40"/>
      <c r="DR78" s="41"/>
      <c r="DS78" s="41"/>
      <c r="DT78" s="40"/>
      <c r="DU78" s="40"/>
      <c r="DV78" s="40"/>
      <c r="DW78" s="41"/>
      <c r="DX78" s="40"/>
      <c r="DY78" s="40"/>
      <c r="DZ78" s="37" t="s">
        <v>402</v>
      </c>
      <c r="EA78" s="39"/>
      <c r="EB78" s="37"/>
      <c r="EC78" s="37"/>
      <c r="ED78" s="16"/>
      <c r="EE78" s="1"/>
      <c r="EF78" s="54"/>
    </row>
    <row r="79" spans="1:136" x14ac:dyDescent="0.2">
      <c r="A79" s="209" t="s">
        <v>976</v>
      </c>
      <c r="B79" s="209" t="s">
        <v>868</v>
      </c>
      <c r="C79" s="209" t="s">
        <v>865</v>
      </c>
      <c r="D79" s="13">
        <f>'Run Parameters'!$B$1 + ROW()-1</f>
        <v>3593</v>
      </c>
      <c r="E79" s="15" t="s">
        <v>47</v>
      </c>
      <c r="F79" s="18" t="s">
        <v>966</v>
      </c>
      <c r="G79" s="13" t="str">
        <f t="shared" si="90"/>
        <v>Access Dtls-3593</v>
      </c>
      <c r="H79" s="15" t="s">
        <v>275</v>
      </c>
      <c r="I79" s="13" t="str">
        <f>("MR. Test_78_EXCH5_"&amp;D79&amp;"")</f>
        <v>MR. Test_78_EXCH5_3593</v>
      </c>
      <c r="J79" s="18"/>
      <c r="K79" s="19" t="s">
        <v>425</v>
      </c>
      <c r="L79" s="13" t="str">
        <f t="shared" si="91"/>
        <v>Cust. Ref-3593</v>
      </c>
      <c r="M79" s="15" t="s">
        <v>48</v>
      </c>
      <c r="N79" s="15" t="s">
        <v>425</v>
      </c>
      <c r="O79" s="13"/>
      <c r="P79" s="13" t="str">
        <f t="shared" si="92"/>
        <v>SN-3593</v>
      </c>
      <c r="Q79" s="13" t="str">
        <f t="shared" si="93"/>
        <v>SI-3593</v>
      </c>
      <c r="R79" s="13" t="str">
        <f t="shared" si="94"/>
        <v>SE-3593</v>
      </c>
      <c r="S79" s="53" t="str">
        <f t="shared" si="95"/>
        <v>Prev_RA-3593</v>
      </c>
      <c r="T79" s="53" t="str">
        <f t="shared" si="96"/>
        <v>Prev_Comms-3593</v>
      </c>
      <c r="U79" s="17" t="s">
        <v>75</v>
      </c>
      <c r="V79" s="15" t="s">
        <v>401</v>
      </c>
      <c r="W79" s="17" t="s">
        <v>75</v>
      </c>
      <c r="X79" s="15" t="s">
        <v>396</v>
      </c>
      <c r="Y79" s="13" t="str">
        <f t="shared" si="97"/>
        <v>Forward Add-3593</v>
      </c>
      <c r="Z79" s="15" t="s">
        <v>401</v>
      </c>
      <c r="AA79" s="133" t="str">
        <f>'Run Parameters'!$B$2</f>
        <v>2019-04-26 08:00</v>
      </c>
      <c r="AB79" s="213" t="str">
        <f>'Run Parameters'!B$3</f>
        <v>2019-04-26 18:00</v>
      </c>
      <c r="AC79" s="26">
        <f>('Run Parameters'!$B$2) - 7</f>
        <v>43574.333333333336</v>
      </c>
      <c r="AD79" s="17" t="s">
        <v>75</v>
      </c>
      <c r="AE79" s="18" t="str">
        <f t="shared" si="98"/>
        <v>LAST_METER-3593</v>
      </c>
      <c r="AF79" s="133" t="str">
        <f>'Run Parameters'!$B$2</f>
        <v>2019-04-26 08:00</v>
      </c>
      <c r="AG79" s="13" t="str">
        <f>'Run Parameters'!B$4</f>
        <v>AUTOTEST2</v>
      </c>
      <c r="AH79" s="53" t="str">
        <f t="shared" si="99"/>
        <v>Site_Contact_3593</v>
      </c>
      <c r="AI79" s="133" t="str">
        <f>'Run Parameters'!B$2</f>
        <v>2019-04-26 08:00</v>
      </c>
      <c r="AJ79" s="213" t="str">
        <f>'Run Parameters'!B$3</f>
        <v>2019-04-26 18:00</v>
      </c>
      <c r="AK79" s="13" t="s">
        <v>396</v>
      </c>
      <c r="AL79" s="53" t="str">
        <f t="shared" si="100"/>
        <v>011593593</v>
      </c>
      <c r="AM79" s="13" t="str">
        <f t="shared" si="101"/>
        <v>01153593</v>
      </c>
      <c r="AN79" s="15"/>
      <c r="AO79" s="51"/>
      <c r="AP79" s="13">
        <v>1</v>
      </c>
      <c r="AQ79" s="52" t="s">
        <v>49</v>
      </c>
      <c r="AR79" s="15"/>
      <c r="AS79" s="13"/>
      <c r="AT79" s="7"/>
      <c r="AU79" s="7"/>
      <c r="AV79" s="13">
        <f t="shared" si="102"/>
        <v>3593</v>
      </c>
      <c r="AW79" s="13" t="s">
        <v>422</v>
      </c>
      <c r="AX79" s="13" t="s">
        <v>420</v>
      </c>
      <c r="AY79" s="13" t="s">
        <v>421</v>
      </c>
      <c r="AZ79" s="15" t="s">
        <v>334</v>
      </c>
      <c r="BA79" s="14" t="s">
        <v>154</v>
      </c>
      <c r="BB79" s="21">
        <v>1</v>
      </c>
      <c r="BC79" s="20">
        <f t="shared" si="103"/>
        <v>3593</v>
      </c>
      <c r="BD79" s="16" t="s">
        <v>967</v>
      </c>
      <c r="BE79" s="16" t="s">
        <v>391</v>
      </c>
      <c r="BF79" s="16" t="s">
        <v>391</v>
      </c>
      <c r="BG79" s="20" t="s">
        <v>966</v>
      </c>
      <c r="BH79" s="20" t="str">
        <f t="shared" si="104"/>
        <v>3593_1</v>
      </c>
      <c r="BI79" s="21"/>
      <c r="BJ79" s="21" t="str">
        <f t="shared" si="105"/>
        <v>100000003593</v>
      </c>
      <c r="BK79" s="16" t="s">
        <v>51</v>
      </c>
      <c r="BL79" s="16" t="s">
        <v>54</v>
      </c>
      <c r="BM79" s="20" t="s">
        <v>411</v>
      </c>
      <c r="BN79" s="16" t="s">
        <v>51</v>
      </c>
      <c r="BO79" s="20" t="str">
        <f t="shared" si="106"/>
        <v>S05S3593</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DS_Pass-3593</v>
      </c>
      <c r="DO79" s="40"/>
      <c r="DP79" s="40"/>
      <c r="DQ79" s="40"/>
      <c r="DR79" s="41"/>
      <c r="DS79" s="41"/>
      <c r="DT79" s="40"/>
      <c r="DU79" s="40"/>
      <c r="DV79" s="40"/>
      <c r="DW79" s="41"/>
      <c r="DX79" s="40"/>
      <c r="DY79" s="40"/>
      <c r="DZ79" s="37" t="s">
        <v>402</v>
      </c>
      <c r="EA79" s="39"/>
      <c r="EB79" s="37"/>
      <c r="EC79" s="37"/>
      <c r="ED79" s="16"/>
      <c r="EE79" s="1"/>
      <c r="EF79" s="54"/>
    </row>
    <row r="80" spans="1:136" x14ac:dyDescent="0.2">
      <c r="A80" s="209" t="s">
        <v>977</v>
      </c>
      <c r="B80" s="209" t="s">
        <v>892</v>
      </c>
      <c r="C80" s="209" t="s">
        <v>865</v>
      </c>
      <c r="D80" s="13">
        <f>'Run Parameters'!$B$1 + ROW()-1</f>
        <v>3594</v>
      </c>
      <c r="E80" s="15" t="s">
        <v>47</v>
      </c>
      <c r="F80" s="18" t="s">
        <v>966</v>
      </c>
      <c r="G80" s="13" t="str">
        <f t="shared" si="90"/>
        <v>Access Dtls-3594</v>
      </c>
      <c r="H80" s="15" t="s">
        <v>275</v>
      </c>
      <c r="I80" s="13" t="str">
        <f>("MR. Test_79_EXCH5_"&amp;D80&amp;"")</f>
        <v>MR. Test_79_EXCH5_3594</v>
      </c>
      <c r="J80" s="18"/>
      <c r="K80" s="19" t="s">
        <v>425</v>
      </c>
      <c r="L80" s="13" t="str">
        <f t="shared" si="91"/>
        <v>Cust. Ref-3594</v>
      </c>
      <c r="M80" s="15" t="s">
        <v>48</v>
      </c>
      <c r="N80" s="15" t="s">
        <v>425</v>
      </c>
      <c r="O80" s="13"/>
      <c r="P80" s="13" t="str">
        <f t="shared" si="92"/>
        <v>SN-3594</v>
      </c>
      <c r="Q80" s="13" t="str">
        <f t="shared" si="93"/>
        <v>SI-3594</v>
      </c>
      <c r="R80" s="13" t="str">
        <f t="shared" si="94"/>
        <v>SE-3594</v>
      </c>
      <c r="S80" s="53" t="str">
        <f t="shared" si="95"/>
        <v>Prev_RA-3594</v>
      </c>
      <c r="T80" s="53" t="str">
        <f t="shared" si="96"/>
        <v>Prev_Comms-3594</v>
      </c>
      <c r="U80" s="17" t="s">
        <v>75</v>
      </c>
      <c r="V80" s="15" t="s">
        <v>401</v>
      </c>
      <c r="W80" s="17" t="s">
        <v>75</v>
      </c>
      <c r="X80" s="15" t="s">
        <v>396</v>
      </c>
      <c r="Y80" s="13" t="str">
        <f t="shared" si="97"/>
        <v>Forward Add-3594</v>
      </c>
      <c r="Z80" s="15" t="s">
        <v>401</v>
      </c>
      <c r="AA80" s="133" t="str">
        <f>'Run Parameters'!$B$2</f>
        <v>2019-04-26 08:00</v>
      </c>
      <c r="AB80" s="213" t="str">
        <f>'Run Parameters'!B$3</f>
        <v>2019-04-26 18:00</v>
      </c>
      <c r="AC80" s="26">
        <f>('Run Parameters'!$B$2) - 7</f>
        <v>43574.333333333336</v>
      </c>
      <c r="AD80" s="17" t="s">
        <v>75</v>
      </c>
      <c r="AE80" s="18" t="str">
        <f t="shared" si="98"/>
        <v>LAST_METER-3594</v>
      </c>
      <c r="AF80" s="133" t="str">
        <f>'Run Parameters'!$B$2</f>
        <v>2019-04-26 08:00</v>
      </c>
      <c r="AG80" s="13" t="str">
        <f>'Run Parameters'!B$4</f>
        <v>AUTOTEST2</v>
      </c>
      <c r="AH80" s="53" t="str">
        <f t="shared" si="99"/>
        <v>Site_Contact_3594</v>
      </c>
      <c r="AI80" s="133" t="str">
        <f>'Run Parameters'!B$2</f>
        <v>2019-04-26 08:00</v>
      </c>
      <c r="AJ80" s="213" t="str">
        <f>'Run Parameters'!B$3</f>
        <v>2019-04-26 18:00</v>
      </c>
      <c r="AK80" s="13" t="s">
        <v>396</v>
      </c>
      <c r="AL80" s="53" t="str">
        <f t="shared" si="100"/>
        <v>011593594</v>
      </c>
      <c r="AM80" s="13" t="str">
        <f t="shared" si="101"/>
        <v>01153594</v>
      </c>
      <c r="AN80" s="15"/>
      <c r="AO80" s="51"/>
      <c r="AP80" s="13">
        <v>1</v>
      </c>
      <c r="AQ80" s="52" t="s">
        <v>49</v>
      </c>
      <c r="AR80" s="15"/>
      <c r="AS80" s="13"/>
      <c r="AT80" s="7"/>
      <c r="AU80" s="7"/>
      <c r="AV80" s="13">
        <f t="shared" si="102"/>
        <v>3594</v>
      </c>
      <c r="AW80" s="13" t="s">
        <v>422</v>
      </c>
      <c r="AX80" s="13" t="s">
        <v>420</v>
      </c>
      <c r="AY80" s="13" t="s">
        <v>421</v>
      </c>
      <c r="AZ80" s="15" t="s">
        <v>334</v>
      </c>
      <c r="BA80" s="14" t="s">
        <v>154</v>
      </c>
      <c r="BB80" s="21">
        <v>1</v>
      </c>
      <c r="BC80" s="20">
        <f t="shared" si="103"/>
        <v>3594</v>
      </c>
      <c r="BD80" s="16" t="s">
        <v>967</v>
      </c>
      <c r="BE80" s="16" t="s">
        <v>391</v>
      </c>
      <c r="BF80" s="16" t="s">
        <v>391</v>
      </c>
      <c r="BG80" s="20" t="s">
        <v>966</v>
      </c>
      <c r="BH80" s="20" t="str">
        <f t="shared" si="104"/>
        <v>3594_1</v>
      </c>
      <c r="BI80" s="21"/>
      <c r="BJ80" s="21" t="str">
        <f t="shared" si="105"/>
        <v>100000003594</v>
      </c>
      <c r="BK80" s="16" t="s">
        <v>51</v>
      </c>
      <c r="BL80" s="16" t="s">
        <v>54</v>
      </c>
      <c r="BM80" s="20" t="s">
        <v>411</v>
      </c>
      <c r="BN80" s="16" t="s">
        <v>51</v>
      </c>
      <c r="BO80" s="20" t="str">
        <f t="shared" si="106"/>
        <v>S05S3594</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DS_Pass-3594</v>
      </c>
      <c r="DO80" s="40"/>
      <c r="DP80" s="40"/>
      <c r="DQ80" s="40"/>
      <c r="DR80" s="41"/>
      <c r="DS80" s="41"/>
      <c r="DT80" s="40"/>
      <c r="DU80" s="40"/>
      <c r="DV80" s="40"/>
      <c r="DW80" s="41"/>
      <c r="DX80" s="40"/>
      <c r="DY80" s="40"/>
      <c r="DZ80" s="37" t="s">
        <v>402</v>
      </c>
      <c r="EA80" s="39"/>
      <c r="EB80" s="37"/>
      <c r="EC80" s="37"/>
      <c r="ED80" s="16"/>
      <c r="EE80" s="1"/>
      <c r="EF80" s="54"/>
    </row>
    <row r="81" spans="1:136" x14ac:dyDescent="0.2">
      <c r="A81" s="209" t="s">
        <v>978</v>
      </c>
      <c r="B81" s="209" t="s">
        <v>868</v>
      </c>
      <c r="C81" s="209" t="s">
        <v>865</v>
      </c>
      <c r="D81" s="13">
        <f>'Run Parameters'!$B$1 + ROW()-1</f>
        <v>3595</v>
      </c>
      <c r="E81" s="15" t="s">
        <v>47</v>
      </c>
      <c r="F81" s="18" t="s">
        <v>966</v>
      </c>
      <c r="G81" s="13" t="str">
        <f t="shared" si="90"/>
        <v>Access Dtls-3595</v>
      </c>
      <c r="H81" s="15" t="s">
        <v>275</v>
      </c>
      <c r="I81" s="13" t="str">
        <f>("MR. Test_80_EXCH5_"&amp;D81&amp;"")</f>
        <v>MR. Test_80_EXCH5_3595</v>
      </c>
      <c r="J81" s="18"/>
      <c r="K81" s="19" t="s">
        <v>425</v>
      </c>
      <c r="L81" s="13" t="str">
        <f t="shared" si="91"/>
        <v>Cust. Ref-3595</v>
      </c>
      <c r="M81" s="15" t="s">
        <v>48</v>
      </c>
      <c r="N81" s="15" t="s">
        <v>425</v>
      </c>
      <c r="O81" s="13"/>
      <c r="P81" s="13" t="str">
        <f t="shared" si="92"/>
        <v>SN-3595</v>
      </c>
      <c r="Q81" s="13" t="str">
        <f t="shared" si="93"/>
        <v>SI-3595</v>
      </c>
      <c r="R81" s="13" t="str">
        <f t="shared" si="94"/>
        <v>SE-3595</v>
      </c>
      <c r="S81" s="53" t="str">
        <f t="shared" si="95"/>
        <v>Prev_RA-3595</v>
      </c>
      <c r="T81" s="53" t="str">
        <f t="shared" si="96"/>
        <v>Prev_Comms-3595</v>
      </c>
      <c r="U81" s="17" t="s">
        <v>75</v>
      </c>
      <c r="V81" s="15" t="s">
        <v>401</v>
      </c>
      <c r="W81" s="17" t="s">
        <v>75</v>
      </c>
      <c r="X81" s="15" t="s">
        <v>396</v>
      </c>
      <c r="Y81" s="13" t="str">
        <f t="shared" si="97"/>
        <v>Forward Add-3595</v>
      </c>
      <c r="Z81" s="15" t="s">
        <v>401</v>
      </c>
      <c r="AA81" s="133" t="str">
        <f>'Run Parameters'!$B$2</f>
        <v>2019-04-26 08:00</v>
      </c>
      <c r="AB81" s="213" t="str">
        <f>'Run Parameters'!B$3</f>
        <v>2019-04-26 18:00</v>
      </c>
      <c r="AC81" s="26">
        <f>('Run Parameters'!$B$2) - 7</f>
        <v>43574.333333333336</v>
      </c>
      <c r="AD81" s="17" t="s">
        <v>75</v>
      </c>
      <c r="AE81" s="18" t="str">
        <f t="shared" si="98"/>
        <v>LAST_METER-3595</v>
      </c>
      <c r="AF81" s="133" t="str">
        <f>'Run Parameters'!$B$2</f>
        <v>2019-04-26 08:00</v>
      </c>
      <c r="AG81" s="13" t="str">
        <f>'Run Parameters'!B$4</f>
        <v>AUTOTEST2</v>
      </c>
      <c r="AH81" s="53" t="str">
        <f t="shared" si="99"/>
        <v>Site_Contact_3595</v>
      </c>
      <c r="AI81" s="133" t="str">
        <f>'Run Parameters'!B$2</f>
        <v>2019-04-26 08:00</v>
      </c>
      <c r="AJ81" s="213" t="str">
        <f>'Run Parameters'!B$3</f>
        <v>2019-04-26 18:00</v>
      </c>
      <c r="AK81" s="13" t="s">
        <v>396</v>
      </c>
      <c r="AL81" s="53" t="str">
        <f t="shared" si="100"/>
        <v>011593595</v>
      </c>
      <c r="AM81" s="13" t="str">
        <f t="shared" si="101"/>
        <v>01153595</v>
      </c>
      <c r="AN81" s="15"/>
      <c r="AO81" s="51"/>
      <c r="AP81" s="13">
        <v>1</v>
      </c>
      <c r="AQ81" s="52" t="s">
        <v>49</v>
      </c>
      <c r="AR81" s="15"/>
      <c r="AS81" s="13"/>
      <c r="AT81" s="7"/>
      <c r="AU81" s="7"/>
      <c r="AV81" s="13">
        <f t="shared" si="102"/>
        <v>3595</v>
      </c>
      <c r="AW81" s="13" t="s">
        <v>422</v>
      </c>
      <c r="AX81" s="13" t="s">
        <v>420</v>
      </c>
      <c r="AY81" s="13" t="s">
        <v>421</v>
      </c>
      <c r="AZ81" s="15" t="s">
        <v>334</v>
      </c>
      <c r="BA81" s="14" t="s">
        <v>154</v>
      </c>
      <c r="BB81" s="21">
        <v>1</v>
      </c>
      <c r="BC81" s="20">
        <f t="shared" si="103"/>
        <v>3595</v>
      </c>
      <c r="BD81" s="16" t="s">
        <v>967</v>
      </c>
      <c r="BE81" s="16" t="s">
        <v>391</v>
      </c>
      <c r="BF81" s="16" t="s">
        <v>391</v>
      </c>
      <c r="BG81" s="20" t="s">
        <v>966</v>
      </c>
      <c r="BH81" s="20" t="str">
        <f t="shared" si="104"/>
        <v>3595_1</v>
      </c>
      <c r="BI81" s="21"/>
      <c r="BJ81" s="21" t="str">
        <f t="shared" si="105"/>
        <v>100000003595</v>
      </c>
      <c r="BK81" s="16" t="s">
        <v>51</v>
      </c>
      <c r="BL81" s="16" t="s">
        <v>54</v>
      </c>
      <c r="BM81" s="20" t="s">
        <v>411</v>
      </c>
      <c r="BN81" s="16" t="s">
        <v>51</v>
      </c>
      <c r="BO81" s="20" t="str">
        <f t="shared" si="106"/>
        <v>S05S3595</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DS_Pass-3595</v>
      </c>
      <c r="DO81" s="40"/>
      <c r="DP81" s="40"/>
      <c r="DQ81" s="40"/>
      <c r="DR81" s="41"/>
      <c r="DS81" s="41"/>
      <c r="DT81" s="40"/>
      <c r="DU81" s="40"/>
      <c r="DV81" s="40"/>
      <c r="DW81" s="41"/>
      <c r="DX81" s="40"/>
      <c r="DY81" s="40"/>
      <c r="DZ81" s="37" t="s">
        <v>402</v>
      </c>
      <c r="EA81" s="39"/>
      <c r="EB81" s="37"/>
      <c r="EC81" s="37"/>
      <c r="ED81" s="16"/>
      <c r="EE81" s="1"/>
      <c r="EF81" s="54"/>
    </row>
    <row r="82" spans="1:136" x14ac:dyDescent="0.2">
      <c r="A82" s="209" t="s">
        <v>979</v>
      </c>
      <c r="B82" s="209" t="s">
        <v>892</v>
      </c>
      <c r="C82" s="209" t="s">
        <v>865</v>
      </c>
      <c r="D82" s="13">
        <f>'Run Parameters'!$B$1 + ROW()-1</f>
        <v>3596</v>
      </c>
      <c r="E82" s="15" t="s">
        <v>47</v>
      </c>
      <c r="F82" s="18" t="s">
        <v>966</v>
      </c>
      <c r="G82" s="13" t="str">
        <f t="shared" si="90"/>
        <v>Access Dtls-3596</v>
      </c>
      <c r="H82" s="15" t="s">
        <v>275</v>
      </c>
      <c r="I82" s="13" t="str">
        <f>("MR. Test_81_EXCH5_"&amp;D82&amp;"")</f>
        <v>MR. Test_81_EXCH5_3596</v>
      </c>
      <c r="J82" s="18"/>
      <c r="K82" s="19" t="s">
        <v>425</v>
      </c>
      <c r="L82" s="13" t="str">
        <f t="shared" si="91"/>
        <v>Cust. Ref-3596</v>
      </c>
      <c r="M82" s="15" t="s">
        <v>48</v>
      </c>
      <c r="N82" s="15" t="s">
        <v>425</v>
      </c>
      <c r="O82" s="13"/>
      <c r="P82" s="13" t="str">
        <f t="shared" si="92"/>
        <v>SN-3596</v>
      </c>
      <c r="Q82" s="13" t="str">
        <f t="shared" si="93"/>
        <v>SI-3596</v>
      </c>
      <c r="R82" s="13" t="str">
        <f t="shared" si="94"/>
        <v>SE-3596</v>
      </c>
      <c r="S82" s="53" t="str">
        <f t="shared" si="95"/>
        <v>Prev_RA-3596</v>
      </c>
      <c r="T82" s="53" t="str">
        <f t="shared" si="96"/>
        <v>Prev_Comms-3596</v>
      </c>
      <c r="U82" s="17" t="s">
        <v>75</v>
      </c>
      <c r="V82" s="15" t="s">
        <v>401</v>
      </c>
      <c r="W82" s="17" t="s">
        <v>75</v>
      </c>
      <c r="X82" s="15" t="s">
        <v>396</v>
      </c>
      <c r="Y82" s="13" t="str">
        <f t="shared" si="97"/>
        <v>Forward Add-3596</v>
      </c>
      <c r="Z82" s="15" t="s">
        <v>401</v>
      </c>
      <c r="AA82" s="133" t="str">
        <f>'Run Parameters'!$B$2</f>
        <v>2019-04-26 08:00</v>
      </c>
      <c r="AB82" s="213" t="str">
        <f>'Run Parameters'!B$3</f>
        <v>2019-04-26 18:00</v>
      </c>
      <c r="AC82" s="26">
        <f>('Run Parameters'!$B$2) - 7</f>
        <v>43574.333333333336</v>
      </c>
      <c r="AD82" s="17" t="s">
        <v>75</v>
      </c>
      <c r="AE82" s="18" t="str">
        <f t="shared" si="98"/>
        <v>LAST_METER-3596</v>
      </c>
      <c r="AF82" s="133" t="str">
        <f>'Run Parameters'!$B$2</f>
        <v>2019-04-26 08:00</v>
      </c>
      <c r="AG82" s="13" t="str">
        <f>'Run Parameters'!B$4</f>
        <v>AUTOTEST2</v>
      </c>
      <c r="AH82" s="53" t="str">
        <f t="shared" si="99"/>
        <v>Site_Contact_3596</v>
      </c>
      <c r="AI82" s="133" t="str">
        <f>'Run Parameters'!B$2</f>
        <v>2019-04-26 08:00</v>
      </c>
      <c r="AJ82" s="213" t="str">
        <f>'Run Parameters'!B$3</f>
        <v>2019-04-26 18:00</v>
      </c>
      <c r="AK82" s="13" t="s">
        <v>396</v>
      </c>
      <c r="AL82" s="53" t="str">
        <f t="shared" si="100"/>
        <v>011593596</v>
      </c>
      <c r="AM82" s="13" t="str">
        <f t="shared" si="101"/>
        <v>01153596</v>
      </c>
      <c r="AN82" s="15"/>
      <c r="AO82" s="51"/>
      <c r="AP82" s="13">
        <v>1</v>
      </c>
      <c r="AQ82" s="52" t="s">
        <v>49</v>
      </c>
      <c r="AR82" s="15"/>
      <c r="AS82" s="13"/>
      <c r="AT82" s="7"/>
      <c r="AU82" s="7"/>
      <c r="AV82" s="13">
        <f t="shared" si="102"/>
        <v>3596</v>
      </c>
      <c r="AW82" s="13" t="s">
        <v>422</v>
      </c>
      <c r="AX82" s="13" t="s">
        <v>420</v>
      </c>
      <c r="AY82" s="13" t="s">
        <v>421</v>
      </c>
      <c r="AZ82" s="15" t="s">
        <v>334</v>
      </c>
      <c r="BA82" s="14" t="s">
        <v>154</v>
      </c>
      <c r="BB82" s="21">
        <v>1</v>
      </c>
      <c r="BC82" s="20">
        <f t="shared" si="103"/>
        <v>3596</v>
      </c>
      <c r="BD82" s="16" t="s">
        <v>967</v>
      </c>
      <c r="BE82" s="16" t="s">
        <v>391</v>
      </c>
      <c r="BF82" s="16" t="s">
        <v>391</v>
      </c>
      <c r="BG82" s="20" t="s">
        <v>966</v>
      </c>
      <c r="BH82" s="20" t="str">
        <f t="shared" si="104"/>
        <v>3596_1</v>
      </c>
      <c r="BI82" s="21"/>
      <c r="BJ82" s="21" t="str">
        <f t="shared" si="105"/>
        <v>100000003596</v>
      </c>
      <c r="BK82" s="16" t="s">
        <v>51</v>
      </c>
      <c r="BL82" s="16" t="s">
        <v>54</v>
      </c>
      <c r="BM82" s="20" t="s">
        <v>411</v>
      </c>
      <c r="BN82" s="16" t="s">
        <v>51</v>
      </c>
      <c r="BO82" s="20" t="str">
        <f t="shared" si="106"/>
        <v>S05S3596</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DS_Pass-3596</v>
      </c>
      <c r="DO82" s="40"/>
      <c r="DP82" s="40"/>
      <c r="DQ82" s="40"/>
      <c r="DR82" s="41"/>
      <c r="DS82" s="41"/>
      <c r="DT82" s="40"/>
      <c r="DU82" s="40"/>
      <c r="DV82" s="40"/>
      <c r="DW82" s="41"/>
      <c r="DX82" s="40"/>
      <c r="DY82" s="40"/>
      <c r="DZ82" s="37" t="s">
        <v>402</v>
      </c>
      <c r="EA82" s="39"/>
      <c r="EB82" s="37"/>
      <c r="EC82" s="37"/>
      <c r="ED82" s="16"/>
      <c r="EE82" s="1"/>
      <c r="EF82" s="54"/>
    </row>
    <row r="83" spans="1:136" x14ac:dyDescent="0.2">
      <c r="A83" s="209" t="s">
        <v>1092</v>
      </c>
      <c r="B83" s="209" t="s">
        <v>892</v>
      </c>
      <c r="C83" s="209" t="s">
        <v>865</v>
      </c>
      <c r="D83" s="13">
        <f>'Run Parameters'!$B$1 + ROW()-1</f>
        <v>3597</v>
      </c>
      <c r="E83" s="15" t="s">
        <v>47</v>
      </c>
      <c r="F83" s="18" t="s">
        <v>966</v>
      </c>
      <c r="G83" s="13" t="str">
        <f t="shared" si="90"/>
        <v>Access Dtls-3597</v>
      </c>
      <c r="H83" s="15" t="s">
        <v>275</v>
      </c>
      <c r="I83" s="13" t="str">
        <f>("MR. Test_82_EXCH5_"&amp;D83&amp;"")</f>
        <v>MR. Test_82_EXCH5_3597</v>
      </c>
      <c r="J83" s="18"/>
      <c r="K83" s="19" t="s">
        <v>425</v>
      </c>
      <c r="L83" s="13" t="str">
        <f t="shared" si="91"/>
        <v>Cust. Ref-3597</v>
      </c>
      <c r="M83" s="15" t="s">
        <v>48</v>
      </c>
      <c r="N83" s="15" t="s">
        <v>425</v>
      </c>
      <c r="O83" s="13"/>
      <c r="P83" s="13" t="str">
        <f t="shared" si="92"/>
        <v>SN-3597</v>
      </c>
      <c r="Q83" s="13" t="str">
        <f t="shared" si="93"/>
        <v>SI-3597</v>
      </c>
      <c r="R83" s="13" t="str">
        <f t="shared" si="94"/>
        <v>SE-3597</v>
      </c>
      <c r="S83" s="53" t="str">
        <f t="shared" si="95"/>
        <v>Prev_RA-3597</v>
      </c>
      <c r="T83" s="53" t="str">
        <f t="shared" si="96"/>
        <v>Prev_Comms-3597</v>
      </c>
      <c r="U83" s="17" t="s">
        <v>75</v>
      </c>
      <c r="V83" s="15" t="s">
        <v>401</v>
      </c>
      <c r="W83" s="17" t="s">
        <v>75</v>
      </c>
      <c r="X83" s="15" t="s">
        <v>1087</v>
      </c>
      <c r="Y83" s="13" t="str">
        <f t="shared" si="97"/>
        <v>Forward Add-3597</v>
      </c>
      <c r="Z83" s="15" t="s">
        <v>401</v>
      </c>
      <c r="AA83" s="133" t="str">
        <f>'Run Parameters'!$B$2</f>
        <v>2019-04-26 08:00</v>
      </c>
      <c r="AB83" s="213" t="str">
        <f>'Run Parameters'!B$3</f>
        <v>2019-04-26 18:00</v>
      </c>
      <c r="AC83" s="26">
        <f>('Run Parameters'!$B$2) - 7</f>
        <v>43574.333333333336</v>
      </c>
      <c r="AD83" s="17" t="s">
        <v>75</v>
      </c>
      <c r="AE83" s="18" t="str">
        <f t="shared" si="98"/>
        <v>LAST_METER-3597</v>
      </c>
      <c r="AF83" s="133" t="str">
        <f>'Run Parameters'!$B$2</f>
        <v>2019-04-26 08:00</v>
      </c>
      <c r="AG83" s="13" t="str">
        <f>'Run Parameters'!B$4</f>
        <v>AUTOTEST2</v>
      </c>
      <c r="AH83" s="53" t="str">
        <f t="shared" si="99"/>
        <v>Site_Contact_3597</v>
      </c>
      <c r="AI83" s="133" t="str">
        <f>'Run Parameters'!B$2</f>
        <v>2019-04-26 08:00</v>
      </c>
      <c r="AJ83" s="213" t="str">
        <f>'Run Parameters'!B$3</f>
        <v>2019-04-26 18:00</v>
      </c>
      <c r="AK83" s="13" t="s">
        <v>1087</v>
      </c>
      <c r="AL83" s="53" t="str">
        <f t="shared" si="100"/>
        <v>011593597</v>
      </c>
      <c r="AM83" s="13" t="str">
        <f t="shared" si="101"/>
        <v>01153597</v>
      </c>
      <c r="AN83" s="15"/>
      <c r="AO83" s="51"/>
      <c r="AP83" s="13">
        <v>1</v>
      </c>
      <c r="AQ83" s="52" t="s">
        <v>49</v>
      </c>
      <c r="AR83" s="15"/>
      <c r="AS83" s="13"/>
      <c r="AT83" s="7"/>
      <c r="AU83" s="7"/>
      <c r="AV83" s="13">
        <f t="shared" si="102"/>
        <v>3597</v>
      </c>
      <c r="AW83" s="13" t="s">
        <v>422</v>
      </c>
      <c r="AX83" s="13" t="s">
        <v>420</v>
      </c>
      <c r="AY83" s="13" t="s">
        <v>421</v>
      </c>
      <c r="AZ83" s="15" t="s">
        <v>334</v>
      </c>
      <c r="BA83" s="14" t="s">
        <v>154</v>
      </c>
      <c r="BB83" s="21">
        <v>1</v>
      </c>
      <c r="BC83" s="20">
        <f t="shared" si="103"/>
        <v>3597</v>
      </c>
      <c r="BD83" s="16" t="s">
        <v>1105</v>
      </c>
      <c r="BE83" s="16" t="s">
        <v>391</v>
      </c>
      <c r="BF83" s="16" t="s">
        <v>391</v>
      </c>
      <c r="BG83" s="20" t="s">
        <v>966</v>
      </c>
      <c r="BH83" s="20" t="str">
        <f t="shared" si="104"/>
        <v>3597_1</v>
      </c>
      <c r="BI83" s="21"/>
      <c r="BJ83" s="21" t="str">
        <f t="shared" si="105"/>
        <v>100000003597</v>
      </c>
      <c r="BK83" s="16" t="s">
        <v>51</v>
      </c>
      <c r="BL83" s="16" t="s">
        <v>54</v>
      </c>
      <c r="BM83" s="20" t="s">
        <v>411</v>
      </c>
      <c r="BN83" s="16" t="s">
        <v>51</v>
      </c>
      <c r="BO83" s="20" t="str">
        <f t="shared" si="106"/>
        <v>S05S3597</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1087</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DS_Pass-3597</v>
      </c>
      <c r="DO83" s="40"/>
      <c r="DP83" s="40"/>
      <c r="DQ83" s="40"/>
      <c r="DR83" s="41"/>
      <c r="DS83" s="41"/>
      <c r="DT83" s="40"/>
      <c r="DU83" s="40"/>
      <c r="DV83" s="40"/>
      <c r="DW83" s="41"/>
      <c r="DX83" s="40"/>
      <c r="DY83" s="40"/>
      <c r="DZ83" s="37" t="s">
        <v>402</v>
      </c>
      <c r="EA83" s="39"/>
      <c r="EB83" s="37"/>
      <c r="EC83" s="37"/>
      <c r="ED83" s="16"/>
      <c r="EE83" s="1"/>
      <c r="EF83" s="54"/>
    </row>
    <row r="84" spans="1:136" x14ac:dyDescent="0.2">
      <c r="A84" s="209" t="s">
        <v>1026</v>
      </c>
      <c r="B84" s="209" t="s">
        <v>892</v>
      </c>
      <c r="C84" s="209" t="s">
        <v>865</v>
      </c>
      <c r="D84" s="13">
        <f>'Run Parameters'!$B$1 + ROW()-1</f>
        <v>3598</v>
      </c>
      <c r="E84" s="15" t="s">
        <v>47</v>
      </c>
      <c r="F84" s="18" t="s">
        <v>1024</v>
      </c>
      <c r="G84" s="13" t="str">
        <f t="shared" ref="G84:G95" si="107">("Access Dtls-" &amp; D84)</f>
        <v>Access Dtls-3598</v>
      </c>
      <c r="H84" s="15" t="s">
        <v>275</v>
      </c>
      <c r="I84" s="13" t="str">
        <f>("MR. Test_83_EXCH11_"&amp;D84&amp;"")</f>
        <v>MR. Test_83_EXCH11_3598</v>
      </c>
      <c r="J84" s="18"/>
      <c r="K84" s="19" t="s">
        <v>425</v>
      </c>
      <c r="L84" s="13" t="str">
        <f t="shared" ref="L84:L95" si="108">("Cust. Ref-" &amp; D84)</f>
        <v>Cust. Ref-3598</v>
      </c>
      <c r="M84" s="15" t="s">
        <v>48</v>
      </c>
      <c r="N84" s="15" t="s">
        <v>425</v>
      </c>
      <c r="O84" s="13"/>
      <c r="P84" s="13" t="str">
        <f t="shared" ref="P84:P95" si="109">("SN-" &amp; D84)</f>
        <v>SN-3598</v>
      </c>
      <c r="Q84" s="13" t="str">
        <f t="shared" ref="Q84:Q95" si="110">("SI-" &amp; D84)</f>
        <v>SI-3598</v>
      </c>
      <c r="R84" s="13" t="str">
        <f t="shared" ref="R84:R95" si="111">("SE-" &amp; D84)</f>
        <v>SE-3598</v>
      </c>
      <c r="S84" s="53" t="str">
        <f t="shared" ref="S84:S95" si="112">("Prev_RA-" &amp; D84)</f>
        <v>Prev_RA-3598</v>
      </c>
      <c r="T84" s="53" t="str">
        <f t="shared" ref="T84:T95" si="113">("Prev_Comms-" &amp; D84)</f>
        <v>Prev_Comms-3598</v>
      </c>
      <c r="U84" s="17" t="s">
        <v>75</v>
      </c>
      <c r="V84" s="15" t="s">
        <v>401</v>
      </c>
      <c r="W84" s="17" t="s">
        <v>75</v>
      </c>
      <c r="X84" s="15" t="s">
        <v>396</v>
      </c>
      <c r="Y84" s="13" t="str">
        <f t="shared" ref="Y84:Y95" si="114">("Forward Add-" &amp; D84)</f>
        <v>Forward Add-3598</v>
      </c>
      <c r="Z84" s="15" t="s">
        <v>401</v>
      </c>
      <c r="AA84" s="133" t="str">
        <f>'Run Parameters'!$B$2</f>
        <v>2019-04-26 08:00</v>
      </c>
      <c r="AB84" s="213" t="str">
        <f>'Run Parameters'!B$3</f>
        <v>2019-04-26 18:00</v>
      </c>
      <c r="AC84" s="26">
        <f>('Run Parameters'!$B$2) - 7</f>
        <v>43574.333333333336</v>
      </c>
      <c r="AD84" s="17" t="s">
        <v>75</v>
      </c>
      <c r="AE84" s="18" t="str">
        <f t="shared" ref="AE84:AE95" si="115">("LAST_METER-" &amp; D84)</f>
        <v>LAST_METER-3598</v>
      </c>
      <c r="AF84" s="133" t="str">
        <f>'Run Parameters'!$B$2</f>
        <v>2019-04-26 08:00</v>
      </c>
      <c r="AG84" s="13" t="str">
        <f>'Run Parameters'!B$4</f>
        <v>AUTOTEST2</v>
      </c>
      <c r="AH84" s="53" t="str">
        <f t="shared" ref="AH84:AH95" si="116">("Site_Contact_" &amp; D84)</f>
        <v>Site_Contact_3598</v>
      </c>
      <c r="AI84" s="133" t="str">
        <f>'Run Parameters'!B$2</f>
        <v>2019-04-26 08:00</v>
      </c>
      <c r="AJ84" s="213" t="str">
        <f>'Run Parameters'!B$3</f>
        <v>2019-04-26 18:00</v>
      </c>
      <c r="AK84" s="13" t="s">
        <v>396</v>
      </c>
      <c r="AL84" s="53" t="str">
        <f t="shared" ref="AL84:AL95" si="117">"01159" &amp; D84</f>
        <v>011593598</v>
      </c>
      <c r="AM84" s="13" t="str">
        <f t="shared" ref="AM84:AM95" si="118">("0115" &amp; D84)</f>
        <v>01153598</v>
      </c>
      <c r="AN84" s="15"/>
      <c r="AO84" s="51"/>
      <c r="AP84" s="13">
        <v>1</v>
      </c>
      <c r="AQ84" s="52" t="s">
        <v>49</v>
      </c>
      <c r="AR84" s="15"/>
      <c r="AS84" s="13"/>
      <c r="AT84" s="7"/>
      <c r="AU84" s="7"/>
      <c r="AV84" s="13">
        <f t="shared" ref="AV84:AV95" si="119">D84</f>
        <v>3598</v>
      </c>
      <c r="AW84" s="13" t="s">
        <v>1022</v>
      </c>
      <c r="AX84" s="13" t="s">
        <v>420</v>
      </c>
      <c r="AY84" s="13" t="s">
        <v>421</v>
      </c>
      <c r="AZ84" s="15" t="s">
        <v>334</v>
      </c>
      <c r="BA84" s="14" t="s">
        <v>154</v>
      </c>
      <c r="BB84" s="21">
        <v>1</v>
      </c>
      <c r="BC84" s="20">
        <f t="shared" ref="BC84:BC95" si="120">D84</f>
        <v>3598</v>
      </c>
      <c r="BD84" s="16" t="s">
        <v>1023</v>
      </c>
      <c r="BE84" s="16" t="s">
        <v>390</v>
      </c>
      <c r="BF84" s="16" t="s">
        <v>391</v>
      </c>
      <c r="BG84" s="20" t="s">
        <v>1024</v>
      </c>
      <c r="BH84" s="20" t="str">
        <f t="shared" ref="BH84:BH95" si="121">BC84&amp;"_"&amp;BB84</f>
        <v>3598_1</v>
      </c>
      <c r="BI84" s="21"/>
      <c r="BJ84" s="21" t="str">
        <f t="shared" ref="BJ84:BJ95" si="122">"10000000" &amp; D84</f>
        <v>100000003598</v>
      </c>
      <c r="BK84" s="16" t="s">
        <v>51</v>
      </c>
      <c r="BL84" s="16" t="s">
        <v>54</v>
      </c>
      <c r="BM84" s="20" t="s">
        <v>411</v>
      </c>
      <c r="BN84" s="16" t="s">
        <v>51</v>
      </c>
      <c r="BO84" s="20" t="str">
        <f t="shared" ref="BO84:BO95" si="123">"S05S" &amp; D84</f>
        <v>S05S3598</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DS_Pass-3598</v>
      </c>
      <c r="DO84" s="40"/>
      <c r="DP84" s="40"/>
      <c r="DQ84" s="40"/>
      <c r="DR84" s="41"/>
      <c r="DS84" s="41"/>
      <c r="DT84" s="40"/>
      <c r="DU84" s="40"/>
      <c r="DV84" s="40"/>
      <c r="DW84" s="41"/>
      <c r="DX84" s="40"/>
      <c r="DY84" s="40"/>
      <c r="DZ84" s="37" t="s">
        <v>402</v>
      </c>
      <c r="EA84" s="39"/>
      <c r="EB84" s="37"/>
      <c r="EC84" s="37"/>
      <c r="ED84" s="16"/>
      <c r="EE84" s="1"/>
      <c r="EF84" s="54"/>
    </row>
    <row r="85" spans="1:136" x14ac:dyDescent="0.2">
      <c r="A85" s="209" t="s">
        <v>1027</v>
      </c>
      <c r="B85" s="209" t="s">
        <v>868</v>
      </c>
      <c r="C85" s="209" t="s">
        <v>865</v>
      </c>
      <c r="D85" s="13">
        <f>'Run Parameters'!$B$1 + ROW()-1</f>
        <v>3599</v>
      </c>
      <c r="E85" s="15" t="s">
        <v>47</v>
      </c>
      <c r="F85" s="18" t="s">
        <v>1024</v>
      </c>
      <c r="G85" s="13" t="str">
        <f t="shared" si="107"/>
        <v>Access Dtls-3599</v>
      </c>
      <c r="H85" s="15" t="s">
        <v>275</v>
      </c>
      <c r="I85" s="13" t="str">
        <f>("MR. Test_84_EXCH11_"&amp;D85&amp;"")</f>
        <v>MR. Test_84_EXCH11_3599</v>
      </c>
      <c r="J85" s="18"/>
      <c r="K85" s="19" t="s">
        <v>425</v>
      </c>
      <c r="L85" s="13" t="str">
        <f t="shared" si="108"/>
        <v>Cust. Ref-3599</v>
      </c>
      <c r="M85" s="15" t="s">
        <v>48</v>
      </c>
      <c r="N85" s="15" t="s">
        <v>425</v>
      </c>
      <c r="O85" s="13"/>
      <c r="P85" s="13" t="str">
        <f t="shared" si="109"/>
        <v>SN-3599</v>
      </c>
      <c r="Q85" s="13" t="str">
        <f t="shared" si="110"/>
        <v>SI-3599</v>
      </c>
      <c r="R85" s="13" t="str">
        <f t="shared" si="111"/>
        <v>SE-3599</v>
      </c>
      <c r="S85" s="53" t="str">
        <f t="shared" si="112"/>
        <v>Prev_RA-3599</v>
      </c>
      <c r="T85" s="53" t="str">
        <f t="shared" si="113"/>
        <v>Prev_Comms-3599</v>
      </c>
      <c r="U85" s="17" t="s">
        <v>75</v>
      </c>
      <c r="V85" s="15" t="s">
        <v>401</v>
      </c>
      <c r="W85" s="17" t="s">
        <v>75</v>
      </c>
      <c r="X85" s="15" t="s">
        <v>396</v>
      </c>
      <c r="Y85" s="13" t="str">
        <f t="shared" si="114"/>
        <v>Forward Add-3599</v>
      </c>
      <c r="Z85" s="15" t="s">
        <v>401</v>
      </c>
      <c r="AA85" s="133" t="str">
        <f>'Run Parameters'!$B$2</f>
        <v>2019-04-26 08:00</v>
      </c>
      <c r="AB85" s="213" t="str">
        <f>'Run Parameters'!B$3</f>
        <v>2019-04-26 18:00</v>
      </c>
      <c r="AC85" s="26">
        <f>('Run Parameters'!$B$2) - 7</f>
        <v>43574.333333333336</v>
      </c>
      <c r="AD85" s="17" t="s">
        <v>75</v>
      </c>
      <c r="AE85" s="18" t="str">
        <f t="shared" si="115"/>
        <v>LAST_METER-3599</v>
      </c>
      <c r="AF85" s="133" t="str">
        <f>'Run Parameters'!$B$2</f>
        <v>2019-04-26 08:00</v>
      </c>
      <c r="AG85" s="13" t="str">
        <f>'Run Parameters'!B$4</f>
        <v>AUTOTEST2</v>
      </c>
      <c r="AH85" s="53" t="str">
        <f t="shared" si="116"/>
        <v>Site_Contact_3599</v>
      </c>
      <c r="AI85" s="133" t="str">
        <f>'Run Parameters'!B$2</f>
        <v>2019-04-26 08:00</v>
      </c>
      <c r="AJ85" s="213" t="str">
        <f>'Run Parameters'!B$3</f>
        <v>2019-04-26 18:00</v>
      </c>
      <c r="AK85" s="13" t="s">
        <v>396</v>
      </c>
      <c r="AL85" s="53" t="str">
        <f t="shared" si="117"/>
        <v>011593599</v>
      </c>
      <c r="AM85" s="13" t="str">
        <f t="shared" si="118"/>
        <v>01153599</v>
      </c>
      <c r="AN85" s="15"/>
      <c r="AO85" s="51"/>
      <c r="AP85" s="13">
        <v>1</v>
      </c>
      <c r="AQ85" s="52" t="s">
        <v>49</v>
      </c>
      <c r="AR85" s="15"/>
      <c r="AS85" s="13"/>
      <c r="AT85" s="7"/>
      <c r="AU85" s="7"/>
      <c r="AV85" s="13">
        <f t="shared" si="119"/>
        <v>3599</v>
      </c>
      <c r="AW85" s="13" t="s">
        <v>1022</v>
      </c>
      <c r="AX85" s="13" t="s">
        <v>420</v>
      </c>
      <c r="AY85" s="13" t="s">
        <v>421</v>
      </c>
      <c r="AZ85" s="15" t="s">
        <v>334</v>
      </c>
      <c r="BA85" s="14" t="s">
        <v>154</v>
      </c>
      <c r="BB85" s="21">
        <v>1</v>
      </c>
      <c r="BC85" s="20">
        <f t="shared" si="120"/>
        <v>3599</v>
      </c>
      <c r="BD85" s="16" t="s">
        <v>1023</v>
      </c>
      <c r="BE85" s="16" t="s">
        <v>390</v>
      </c>
      <c r="BF85" s="16" t="s">
        <v>391</v>
      </c>
      <c r="BG85" s="20" t="s">
        <v>1024</v>
      </c>
      <c r="BH85" s="20" t="str">
        <f t="shared" si="121"/>
        <v>3599_1</v>
      </c>
      <c r="BI85" s="21"/>
      <c r="BJ85" s="21" t="str">
        <f t="shared" si="122"/>
        <v>100000003599</v>
      </c>
      <c r="BK85" s="16" t="s">
        <v>51</v>
      </c>
      <c r="BL85" s="16" t="s">
        <v>54</v>
      </c>
      <c r="BM85" s="20" t="s">
        <v>411</v>
      </c>
      <c r="BN85" s="16" t="s">
        <v>51</v>
      </c>
      <c r="BO85" s="20" t="str">
        <f t="shared" si="123"/>
        <v>S05S3599</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DS_Pass-3599</v>
      </c>
      <c r="DO85" s="40"/>
      <c r="DP85" s="40"/>
      <c r="DQ85" s="40"/>
      <c r="DR85" s="41"/>
      <c r="DS85" s="41"/>
      <c r="DT85" s="40"/>
      <c r="DU85" s="40"/>
      <c r="DV85" s="40"/>
      <c r="DW85" s="41"/>
      <c r="DX85" s="40"/>
      <c r="DY85" s="40"/>
      <c r="DZ85" s="37" t="s">
        <v>402</v>
      </c>
      <c r="EA85" s="39"/>
      <c r="EB85" s="37"/>
      <c r="EC85" s="37"/>
      <c r="ED85" s="16"/>
      <c r="EE85" s="1"/>
      <c r="EF85" s="54"/>
    </row>
    <row r="86" spans="1:136" x14ac:dyDescent="0.2">
      <c r="A86" s="209" t="s">
        <v>1028</v>
      </c>
      <c r="B86" s="209" t="s">
        <v>892</v>
      </c>
      <c r="C86" s="209" t="s">
        <v>865</v>
      </c>
      <c r="D86" s="13">
        <f>'Run Parameters'!$B$1 + ROW()-1</f>
        <v>3600</v>
      </c>
      <c r="E86" s="15" t="s">
        <v>47</v>
      </c>
      <c r="F86" s="18" t="s">
        <v>1024</v>
      </c>
      <c r="G86" s="13" t="str">
        <f t="shared" si="107"/>
        <v>Access Dtls-3600</v>
      </c>
      <c r="H86" s="15" t="s">
        <v>275</v>
      </c>
      <c r="I86" s="13" t="str">
        <f>("MR. Test_85_EXCH11_"&amp;D86&amp;"")</f>
        <v>MR. Test_85_EXCH11_3600</v>
      </c>
      <c r="J86" s="18"/>
      <c r="K86" s="19" t="s">
        <v>425</v>
      </c>
      <c r="L86" s="13" t="str">
        <f t="shared" si="108"/>
        <v>Cust. Ref-3600</v>
      </c>
      <c r="M86" s="15" t="s">
        <v>48</v>
      </c>
      <c r="N86" s="15" t="s">
        <v>425</v>
      </c>
      <c r="O86" s="13"/>
      <c r="P86" s="13" t="str">
        <f t="shared" si="109"/>
        <v>SN-3600</v>
      </c>
      <c r="Q86" s="13" t="str">
        <f t="shared" si="110"/>
        <v>SI-3600</v>
      </c>
      <c r="R86" s="13" t="str">
        <f t="shared" si="111"/>
        <v>SE-3600</v>
      </c>
      <c r="S86" s="53" t="str">
        <f t="shared" si="112"/>
        <v>Prev_RA-3600</v>
      </c>
      <c r="T86" s="53" t="str">
        <f t="shared" si="113"/>
        <v>Prev_Comms-3600</v>
      </c>
      <c r="U86" s="17" t="s">
        <v>75</v>
      </c>
      <c r="V86" s="15" t="s">
        <v>401</v>
      </c>
      <c r="W86" s="17" t="s">
        <v>75</v>
      </c>
      <c r="X86" s="15" t="s">
        <v>396</v>
      </c>
      <c r="Y86" s="13" t="str">
        <f t="shared" si="114"/>
        <v>Forward Add-3600</v>
      </c>
      <c r="Z86" s="15" t="s">
        <v>401</v>
      </c>
      <c r="AA86" s="133" t="str">
        <f>'Run Parameters'!$B$2</f>
        <v>2019-04-26 08:00</v>
      </c>
      <c r="AB86" s="213" t="str">
        <f>'Run Parameters'!B$3</f>
        <v>2019-04-26 18:00</v>
      </c>
      <c r="AC86" s="26">
        <f>('Run Parameters'!$B$2) - 7</f>
        <v>43574.333333333336</v>
      </c>
      <c r="AD86" s="17" t="s">
        <v>75</v>
      </c>
      <c r="AE86" s="18" t="str">
        <f t="shared" si="115"/>
        <v>LAST_METER-3600</v>
      </c>
      <c r="AF86" s="133" t="str">
        <f>'Run Parameters'!$B$2</f>
        <v>2019-04-26 08:00</v>
      </c>
      <c r="AG86" s="13" t="str">
        <f>'Run Parameters'!B$4</f>
        <v>AUTOTEST2</v>
      </c>
      <c r="AH86" s="53" t="str">
        <f t="shared" si="116"/>
        <v>Site_Contact_3600</v>
      </c>
      <c r="AI86" s="133" t="str">
        <f>'Run Parameters'!B$2</f>
        <v>2019-04-26 08:00</v>
      </c>
      <c r="AJ86" s="213" t="str">
        <f>'Run Parameters'!B$3</f>
        <v>2019-04-26 18:00</v>
      </c>
      <c r="AK86" s="13" t="s">
        <v>396</v>
      </c>
      <c r="AL86" s="53" t="str">
        <f t="shared" si="117"/>
        <v>011593600</v>
      </c>
      <c r="AM86" s="13" t="str">
        <f t="shared" si="118"/>
        <v>01153600</v>
      </c>
      <c r="AN86" s="15"/>
      <c r="AO86" s="51"/>
      <c r="AP86" s="13">
        <v>1</v>
      </c>
      <c r="AQ86" s="52" t="s">
        <v>49</v>
      </c>
      <c r="AR86" s="15"/>
      <c r="AS86" s="13"/>
      <c r="AT86" s="7"/>
      <c r="AU86" s="7"/>
      <c r="AV86" s="13">
        <f t="shared" si="119"/>
        <v>3600</v>
      </c>
      <c r="AW86" s="13" t="s">
        <v>1022</v>
      </c>
      <c r="AX86" s="13" t="s">
        <v>420</v>
      </c>
      <c r="AY86" s="13" t="s">
        <v>421</v>
      </c>
      <c r="AZ86" s="15" t="s">
        <v>334</v>
      </c>
      <c r="BA86" s="14" t="s">
        <v>154</v>
      </c>
      <c r="BB86" s="21">
        <v>1</v>
      </c>
      <c r="BC86" s="20">
        <f t="shared" si="120"/>
        <v>3600</v>
      </c>
      <c r="BD86" s="16" t="s">
        <v>1023</v>
      </c>
      <c r="BE86" s="16" t="s">
        <v>390</v>
      </c>
      <c r="BF86" s="16" t="s">
        <v>391</v>
      </c>
      <c r="BG86" s="20" t="s">
        <v>1024</v>
      </c>
      <c r="BH86" s="20" t="str">
        <f t="shared" si="121"/>
        <v>3600_1</v>
      </c>
      <c r="BI86" s="21"/>
      <c r="BJ86" s="21" t="str">
        <f t="shared" si="122"/>
        <v>100000003600</v>
      </c>
      <c r="BK86" s="16" t="s">
        <v>51</v>
      </c>
      <c r="BL86" s="16" t="s">
        <v>54</v>
      </c>
      <c r="BM86" s="20" t="s">
        <v>411</v>
      </c>
      <c r="BN86" s="16" t="s">
        <v>51</v>
      </c>
      <c r="BO86" s="20" t="str">
        <f t="shared" si="123"/>
        <v>S05S3600</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DS_Pass-3600</v>
      </c>
      <c r="DO86" s="40"/>
      <c r="DP86" s="40"/>
      <c r="DQ86" s="40"/>
      <c r="DR86" s="41"/>
      <c r="DS86" s="41"/>
      <c r="DT86" s="40"/>
      <c r="DU86" s="40"/>
      <c r="DV86" s="40"/>
      <c r="DW86" s="41"/>
      <c r="DX86" s="40"/>
      <c r="DY86" s="40"/>
      <c r="DZ86" s="37" t="s">
        <v>402</v>
      </c>
      <c r="EA86" s="39"/>
      <c r="EB86" s="37"/>
      <c r="EC86" s="37"/>
      <c r="ED86" s="16"/>
      <c r="EE86" s="1"/>
      <c r="EF86" s="54"/>
    </row>
    <row r="87" spans="1:136" x14ac:dyDescent="0.2">
      <c r="A87" s="209" t="s">
        <v>1100</v>
      </c>
      <c r="B87" s="209" t="s">
        <v>892</v>
      </c>
      <c r="C87" s="209" t="s">
        <v>865</v>
      </c>
      <c r="D87" s="13">
        <f>'Run Parameters'!$B$1 + ROW()-1</f>
        <v>3601</v>
      </c>
      <c r="E87" s="15" t="s">
        <v>47</v>
      </c>
      <c r="F87" s="18" t="s">
        <v>1024</v>
      </c>
      <c r="G87" s="13" t="str">
        <f t="shared" si="107"/>
        <v>Access Dtls-3601</v>
      </c>
      <c r="H87" s="15" t="s">
        <v>275</v>
      </c>
      <c r="I87" s="13" t="str">
        <f>("MR. Test_86_EXCH11_"&amp;D87&amp;"")</f>
        <v>MR. Test_86_EXCH11_3601</v>
      </c>
      <c r="J87" s="18"/>
      <c r="K87" s="19" t="s">
        <v>425</v>
      </c>
      <c r="L87" s="13" t="str">
        <f t="shared" si="108"/>
        <v>Cust. Ref-3601</v>
      </c>
      <c r="M87" s="15" t="s">
        <v>48</v>
      </c>
      <c r="N87" s="15" t="s">
        <v>425</v>
      </c>
      <c r="O87" s="13"/>
      <c r="P87" s="13" t="str">
        <f t="shared" si="109"/>
        <v>SN-3601</v>
      </c>
      <c r="Q87" s="13" t="str">
        <f t="shared" si="110"/>
        <v>SI-3601</v>
      </c>
      <c r="R87" s="13" t="str">
        <f t="shared" si="111"/>
        <v>SE-3601</v>
      </c>
      <c r="S87" s="53" t="str">
        <f t="shared" si="112"/>
        <v>Prev_RA-3601</v>
      </c>
      <c r="T87" s="53" t="str">
        <f t="shared" si="113"/>
        <v>Prev_Comms-3601</v>
      </c>
      <c r="U87" s="17" t="s">
        <v>75</v>
      </c>
      <c r="V87" s="15" t="s">
        <v>401</v>
      </c>
      <c r="W87" s="17" t="s">
        <v>75</v>
      </c>
      <c r="X87" s="15" t="s">
        <v>1087</v>
      </c>
      <c r="Y87" s="13" t="str">
        <f t="shared" si="114"/>
        <v>Forward Add-3601</v>
      </c>
      <c r="Z87" s="15" t="s">
        <v>401</v>
      </c>
      <c r="AA87" s="133" t="str">
        <f>'Run Parameters'!$B$2</f>
        <v>2019-04-26 08:00</v>
      </c>
      <c r="AB87" s="213" t="str">
        <f>'Run Parameters'!B$3</f>
        <v>2019-04-26 18:00</v>
      </c>
      <c r="AC87" s="26">
        <f>('Run Parameters'!$B$2) - 7</f>
        <v>43574.333333333336</v>
      </c>
      <c r="AD87" s="17" t="s">
        <v>75</v>
      </c>
      <c r="AE87" s="18" t="str">
        <f t="shared" si="115"/>
        <v>LAST_METER-3601</v>
      </c>
      <c r="AF87" s="133" t="str">
        <f>'Run Parameters'!$B$2</f>
        <v>2019-04-26 08:00</v>
      </c>
      <c r="AG87" s="13" t="str">
        <f>'Run Parameters'!B$4</f>
        <v>AUTOTEST2</v>
      </c>
      <c r="AH87" s="53" t="str">
        <f t="shared" si="116"/>
        <v>Site_Contact_3601</v>
      </c>
      <c r="AI87" s="133" t="str">
        <f>'Run Parameters'!B$2</f>
        <v>2019-04-26 08:00</v>
      </c>
      <c r="AJ87" s="213" t="str">
        <f>'Run Parameters'!B$3</f>
        <v>2019-04-26 18:00</v>
      </c>
      <c r="AK87" s="13" t="s">
        <v>1087</v>
      </c>
      <c r="AL87" s="53" t="str">
        <f t="shared" si="117"/>
        <v>011593601</v>
      </c>
      <c r="AM87" s="13" t="str">
        <f t="shared" si="118"/>
        <v>01153601</v>
      </c>
      <c r="AN87" s="15"/>
      <c r="AO87" s="51"/>
      <c r="AP87" s="13">
        <v>1</v>
      </c>
      <c r="AQ87" s="52" t="s">
        <v>49</v>
      </c>
      <c r="AR87" s="15"/>
      <c r="AS87" s="13"/>
      <c r="AT87" s="7"/>
      <c r="AU87" s="7"/>
      <c r="AV87" s="13">
        <f t="shared" si="119"/>
        <v>3601</v>
      </c>
      <c r="AW87" s="13" t="s">
        <v>1022</v>
      </c>
      <c r="AX87" s="13" t="s">
        <v>420</v>
      </c>
      <c r="AY87" s="13" t="s">
        <v>421</v>
      </c>
      <c r="AZ87" s="15" t="s">
        <v>334</v>
      </c>
      <c r="BA87" s="14" t="s">
        <v>154</v>
      </c>
      <c r="BB87" s="21">
        <v>1</v>
      </c>
      <c r="BC87" s="20">
        <f t="shared" si="120"/>
        <v>3601</v>
      </c>
      <c r="BD87" s="16" t="s">
        <v>1023</v>
      </c>
      <c r="BE87" s="16" t="s">
        <v>390</v>
      </c>
      <c r="BF87" s="16" t="s">
        <v>391</v>
      </c>
      <c r="BG87" s="20" t="s">
        <v>1024</v>
      </c>
      <c r="BH87" s="20" t="str">
        <f t="shared" si="121"/>
        <v>3601_1</v>
      </c>
      <c r="BI87" s="21"/>
      <c r="BJ87" s="21" t="str">
        <f t="shared" si="122"/>
        <v>100000003601</v>
      </c>
      <c r="BK87" s="16" t="s">
        <v>51</v>
      </c>
      <c r="BL87" s="16" t="s">
        <v>54</v>
      </c>
      <c r="BM87" s="20" t="s">
        <v>411</v>
      </c>
      <c r="BN87" s="16" t="s">
        <v>51</v>
      </c>
      <c r="BO87" s="20" t="str">
        <f t="shared" si="123"/>
        <v>S05S3601</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1087</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DS_Pass-3601</v>
      </c>
      <c r="DO87" s="40"/>
      <c r="DP87" s="40"/>
      <c r="DQ87" s="40"/>
      <c r="DR87" s="41"/>
      <c r="DS87" s="41"/>
      <c r="DT87" s="40"/>
      <c r="DU87" s="40"/>
      <c r="DV87" s="40"/>
      <c r="DW87" s="41"/>
      <c r="DX87" s="40"/>
      <c r="DY87" s="40"/>
      <c r="DZ87" s="37" t="s">
        <v>402</v>
      </c>
      <c r="EA87" s="39"/>
      <c r="EB87" s="37"/>
      <c r="EC87" s="37"/>
      <c r="ED87" s="16"/>
      <c r="EE87" s="1"/>
      <c r="EF87" s="54"/>
    </row>
    <row r="88" spans="1:136" x14ac:dyDescent="0.2">
      <c r="A88" s="209" t="s">
        <v>1029</v>
      </c>
      <c r="B88" s="209" t="s">
        <v>892</v>
      </c>
      <c r="C88" s="209" t="s">
        <v>865</v>
      </c>
      <c r="D88" s="13">
        <f>'Run Parameters'!$B$1 + ROW()-1</f>
        <v>3602</v>
      </c>
      <c r="E88" s="15" t="s">
        <v>47</v>
      </c>
      <c r="F88" s="18" t="s">
        <v>1024</v>
      </c>
      <c r="G88" s="13" t="str">
        <f t="shared" si="107"/>
        <v>Access Dtls-3602</v>
      </c>
      <c r="H88" s="15" t="s">
        <v>275</v>
      </c>
      <c r="I88" s="13" t="str">
        <f>("MR. Test_87_EXCH11_"&amp;D88&amp;"")</f>
        <v>MR. Test_87_EXCH11_3602</v>
      </c>
      <c r="J88" s="18"/>
      <c r="K88" s="19" t="s">
        <v>425</v>
      </c>
      <c r="L88" s="13" t="str">
        <f t="shared" si="108"/>
        <v>Cust. Ref-3602</v>
      </c>
      <c r="M88" s="15" t="s">
        <v>48</v>
      </c>
      <c r="N88" s="15" t="s">
        <v>425</v>
      </c>
      <c r="O88" s="13"/>
      <c r="P88" s="13" t="str">
        <f t="shared" si="109"/>
        <v>SN-3602</v>
      </c>
      <c r="Q88" s="13" t="str">
        <f t="shared" si="110"/>
        <v>SI-3602</v>
      </c>
      <c r="R88" s="13" t="str">
        <f t="shared" si="111"/>
        <v>SE-3602</v>
      </c>
      <c r="S88" s="53" t="str">
        <f t="shared" si="112"/>
        <v>Prev_RA-3602</v>
      </c>
      <c r="T88" s="53" t="str">
        <f t="shared" si="113"/>
        <v>Prev_Comms-3602</v>
      </c>
      <c r="U88" s="17" t="s">
        <v>75</v>
      </c>
      <c r="V88" s="15" t="s">
        <v>401</v>
      </c>
      <c r="W88" s="17" t="s">
        <v>75</v>
      </c>
      <c r="X88" s="15" t="s">
        <v>396</v>
      </c>
      <c r="Y88" s="13" t="str">
        <f t="shared" si="114"/>
        <v>Forward Add-3602</v>
      </c>
      <c r="Z88" s="15" t="s">
        <v>401</v>
      </c>
      <c r="AA88" s="133" t="str">
        <f>'Run Parameters'!$B$2</f>
        <v>2019-04-26 08:00</v>
      </c>
      <c r="AB88" s="213" t="str">
        <f>'Run Parameters'!B$3</f>
        <v>2019-04-26 18:00</v>
      </c>
      <c r="AC88" s="26">
        <f>('Run Parameters'!$B$2) - 7</f>
        <v>43574.333333333336</v>
      </c>
      <c r="AD88" s="17" t="s">
        <v>75</v>
      </c>
      <c r="AE88" s="18" t="str">
        <f t="shared" si="115"/>
        <v>LAST_METER-3602</v>
      </c>
      <c r="AF88" s="133" t="str">
        <f>'Run Parameters'!$B$2</f>
        <v>2019-04-26 08:00</v>
      </c>
      <c r="AG88" s="13" t="str">
        <f>'Run Parameters'!B$4</f>
        <v>AUTOTEST2</v>
      </c>
      <c r="AH88" s="53" t="str">
        <f t="shared" si="116"/>
        <v>Site_Contact_3602</v>
      </c>
      <c r="AI88" s="133" t="str">
        <f>'Run Parameters'!B$2</f>
        <v>2019-04-26 08:00</v>
      </c>
      <c r="AJ88" s="213" t="str">
        <f>'Run Parameters'!B$3</f>
        <v>2019-04-26 18:00</v>
      </c>
      <c r="AK88" s="13" t="s">
        <v>396</v>
      </c>
      <c r="AL88" s="53" t="str">
        <f t="shared" si="117"/>
        <v>011593602</v>
      </c>
      <c r="AM88" s="13" t="str">
        <f t="shared" si="118"/>
        <v>01153602</v>
      </c>
      <c r="AN88" s="15"/>
      <c r="AO88" s="51"/>
      <c r="AP88" s="13">
        <v>1</v>
      </c>
      <c r="AQ88" s="52" t="s">
        <v>49</v>
      </c>
      <c r="AR88" s="15"/>
      <c r="AS88" s="13"/>
      <c r="AT88" s="7"/>
      <c r="AU88" s="7"/>
      <c r="AV88" s="13">
        <f t="shared" si="119"/>
        <v>3602</v>
      </c>
      <c r="AW88" s="13" t="s">
        <v>1022</v>
      </c>
      <c r="AX88" s="13" t="s">
        <v>420</v>
      </c>
      <c r="AY88" s="13" t="s">
        <v>421</v>
      </c>
      <c r="AZ88" s="15" t="s">
        <v>334</v>
      </c>
      <c r="BA88" s="14" t="s">
        <v>154</v>
      </c>
      <c r="BB88" s="21">
        <v>1</v>
      </c>
      <c r="BC88" s="20">
        <f t="shared" si="120"/>
        <v>3602</v>
      </c>
      <c r="BD88" s="16" t="s">
        <v>1023</v>
      </c>
      <c r="BE88" s="16" t="s">
        <v>390</v>
      </c>
      <c r="BF88" s="16" t="s">
        <v>391</v>
      </c>
      <c r="BG88" s="20" t="s">
        <v>1024</v>
      </c>
      <c r="BH88" s="20" t="str">
        <f t="shared" si="121"/>
        <v>3602_1</v>
      </c>
      <c r="BI88" s="21"/>
      <c r="BJ88" s="21" t="str">
        <f t="shared" si="122"/>
        <v>100000003602</v>
      </c>
      <c r="BK88" s="16" t="s">
        <v>51</v>
      </c>
      <c r="BL88" s="16" t="s">
        <v>54</v>
      </c>
      <c r="BM88" s="20" t="s">
        <v>411</v>
      </c>
      <c r="BN88" s="16" t="s">
        <v>51</v>
      </c>
      <c r="BO88" s="20" t="str">
        <f t="shared" si="123"/>
        <v>S05S3602</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DS_Pass-3602</v>
      </c>
      <c r="DO88" s="40"/>
      <c r="DP88" s="40"/>
      <c r="DQ88" s="40"/>
      <c r="DR88" s="41"/>
      <c r="DS88" s="41"/>
      <c r="DT88" s="40"/>
      <c r="DU88" s="40"/>
      <c r="DV88" s="40"/>
      <c r="DW88" s="41"/>
      <c r="DX88" s="40"/>
      <c r="DY88" s="40"/>
      <c r="DZ88" s="37" t="s">
        <v>402</v>
      </c>
      <c r="EA88" s="39"/>
      <c r="EB88" s="37"/>
      <c r="EC88" s="37"/>
      <c r="ED88" s="16"/>
      <c r="EE88" s="1"/>
      <c r="EF88" s="54"/>
    </row>
    <row r="89" spans="1:136" x14ac:dyDescent="0.2">
      <c r="A89" s="209" t="s">
        <v>1030</v>
      </c>
      <c r="B89" s="209" t="s">
        <v>868</v>
      </c>
      <c r="C89" s="209" t="s">
        <v>865</v>
      </c>
      <c r="D89" s="13">
        <f>'Run Parameters'!$B$1 + ROW()-1</f>
        <v>3603</v>
      </c>
      <c r="E89" s="15" t="s">
        <v>47</v>
      </c>
      <c r="F89" s="18" t="s">
        <v>1024</v>
      </c>
      <c r="G89" s="13" t="str">
        <f t="shared" si="107"/>
        <v>Access Dtls-3603</v>
      </c>
      <c r="H89" s="15" t="s">
        <v>275</v>
      </c>
      <c r="I89" s="13" t="str">
        <f>("MR. Test_88_EXCH11_"&amp;D89&amp;"")</f>
        <v>MR. Test_88_EXCH11_3603</v>
      </c>
      <c r="J89" s="18"/>
      <c r="K89" s="19" t="s">
        <v>425</v>
      </c>
      <c r="L89" s="13" t="str">
        <f t="shared" si="108"/>
        <v>Cust. Ref-3603</v>
      </c>
      <c r="M89" s="15" t="s">
        <v>48</v>
      </c>
      <c r="N89" s="15" t="s">
        <v>425</v>
      </c>
      <c r="O89" s="13"/>
      <c r="P89" s="13" t="str">
        <f t="shared" si="109"/>
        <v>SN-3603</v>
      </c>
      <c r="Q89" s="13" t="str">
        <f t="shared" si="110"/>
        <v>SI-3603</v>
      </c>
      <c r="R89" s="13" t="str">
        <f t="shared" si="111"/>
        <v>SE-3603</v>
      </c>
      <c r="S89" s="53" t="str">
        <f t="shared" si="112"/>
        <v>Prev_RA-3603</v>
      </c>
      <c r="T89" s="53" t="str">
        <f t="shared" si="113"/>
        <v>Prev_Comms-3603</v>
      </c>
      <c r="U89" s="17" t="s">
        <v>75</v>
      </c>
      <c r="V89" s="15" t="s">
        <v>401</v>
      </c>
      <c r="W89" s="17" t="s">
        <v>75</v>
      </c>
      <c r="X89" s="15" t="s">
        <v>396</v>
      </c>
      <c r="Y89" s="13" t="str">
        <f t="shared" si="114"/>
        <v>Forward Add-3603</v>
      </c>
      <c r="Z89" s="15" t="s">
        <v>401</v>
      </c>
      <c r="AA89" s="133" t="str">
        <f>'Run Parameters'!$B$2</f>
        <v>2019-04-26 08:00</v>
      </c>
      <c r="AB89" s="213" t="str">
        <f>'Run Parameters'!B$3</f>
        <v>2019-04-26 18:00</v>
      </c>
      <c r="AC89" s="26">
        <f>('Run Parameters'!$B$2) - 7</f>
        <v>43574.333333333336</v>
      </c>
      <c r="AD89" s="17" t="s">
        <v>75</v>
      </c>
      <c r="AE89" s="18" t="str">
        <f t="shared" si="115"/>
        <v>LAST_METER-3603</v>
      </c>
      <c r="AF89" s="133" t="str">
        <f>'Run Parameters'!$B$2</f>
        <v>2019-04-26 08:00</v>
      </c>
      <c r="AG89" s="13" t="str">
        <f>'Run Parameters'!B$4</f>
        <v>AUTOTEST2</v>
      </c>
      <c r="AH89" s="53" t="str">
        <f t="shared" si="116"/>
        <v>Site_Contact_3603</v>
      </c>
      <c r="AI89" s="133" t="str">
        <f>'Run Parameters'!B$2</f>
        <v>2019-04-26 08:00</v>
      </c>
      <c r="AJ89" s="213" t="str">
        <f>'Run Parameters'!B$3</f>
        <v>2019-04-26 18:00</v>
      </c>
      <c r="AK89" s="13" t="s">
        <v>396</v>
      </c>
      <c r="AL89" s="53" t="str">
        <f t="shared" si="117"/>
        <v>011593603</v>
      </c>
      <c r="AM89" s="13" t="str">
        <f t="shared" si="118"/>
        <v>01153603</v>
      </c>
      <c r="AN89" s="15"/>
      <c r="AO89" s="51"/>
      <c r="AP89" s="13">
        <v>1</v>
      </c>
      <c r="AQ89" s="52" t="s">
        <v>49</v>
      </c>
      <c r="AR89" s="15"/>
      <c r="AS89" s="13"/>
      <c r="AT89" s="7"/>
      <c r="AU89" s="7"/>
      <c r="AV89" s="13">
        <f t="shared" si="119"/>
        <v>3603</v>
      </c>
      <c r="AW89" s="13" t="s">
        <v>1022</v>
      </c>
      <c r="AX89" s="13" t="s">
        <v>420</v>
      </c>
      <c r="AY89" s="13" t="s">
        <v>421</v>
      </c>
      <c r="AZ89" s="15" t="s">
        <v>334</v>
      </c>
      <c r="BA89" s="14" t="s">
        <v>154</v>
      </c>
      <c r="BB89" s="21">
        <v>1</v>
      </c>
      <c r="BC89" s="20">
        <f t="shared" si="120"/>
        <v>3603</v>
      </c>
      <c r="BD89" s="16" t="s">
        <v>1023</v>
      </c>
      <c r="BE89" s="16" t="s">
        <v>390</v>
      </c>
      <c r="BF89" s="16" t="s">
        <v>391</v>
      </c>
      <c r="BG89" s="20" t="s">
        <v>1024</v>
      </c>
      <c r="BH89" s="20" t="str">
        <f t="shared" si="121"/>
        <v>3603_1</v>
      </c>
      <c r="BI89" s="21"/>
      <c r="BJ89" s="21" t="str">
        <f t="shared" si="122"/>
        <v>100000003603</v>
      </c>
      <c r="BK89" s="16" t="s">
        <v>51</v>
      </c>
      <c r="BL89" s="16" t="s">
        <v>54</v>
      </c>
      <c r="BM89" s="20" t="s">
        <v>411</v>
      </c>
      <c r="BN89" s="16" t="s">
        <v>51</v>
      </c>
      <c r="BO89" s="20" t="str">
        <f t="shared" si="123"/>
        <v>S05S3603</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DS_Pass-3603</v>
      </c>
      <c r="DO89" s="40"/>
      <c r="DP89" s="40"/>
      <c r="DQ89" s="40"/>
      <c r="DR89" s="41"/>
      <c r="DS89" s="41"/>
      <c r="DT89" s="40"/>
      <c r="DU89" s="40"/>
      <c r="DV89" s="40"/>
      <c r="DW89" s="41"/>
      <c r="DX89" s="40"/>
      <c r="DY89" s="40"/>
      <c r="DZ89" s="37" t="s">
        <v>402</v>
      </c>
      <c r="EA89" s="39"/>
      <c r="EB89" s="37"/>
      <c r="EC89" s="37"/>
      <c r="ED89" s="16"/>
      <c r="EE89" s="1"/>
      <c r="EF89" s="54"/>
    </row>
    <row r="90" spans="1:136" x14ac:dyDescent="0.2">
      <c r="A90" s="209" t="s">
        <v>1031</v>
      </c>
      <c r="B90" s="209" t="s">
        <v>892</v>
      </c>
      <c r="C90" s="209" t="s">
        <v>865</v>
      </c>
      <c r="D90" s="13">
        <f>'Run Parameters'!$B$1 + ROW()-1</f>
        <v>3604</v>
      </c>
      <c r="E90" s="15" t="s">
        <v>47</v>
      </c>
      <c r="F90" s="18" t="s">
        <v>1024</v>
      </c>
      <c r="G90" s="13" t="str">
        <f t="shared" si="107"/>
        <v>Access Dtls-3604</v>
      </c>
      <c r="H90" s="15" t="s">
        <v>275</v>
      </c>
      <c r="I90" s="13" t="str">
        <f>("MR. Test_89_EXCH11_"&amp;D90&amp;"")</f>
        <v>MR. Test_89_EXCH11_3604</v>
      </c>
      <c r="J90" s="18"/>
      <c r="K90" s="19" t="s">
        <v>425</v>
      </c>
      <c r="L90" s="13" t="str">
        <f t="shared" si="108"/>
        <v>Cust. Ref-3604</v>
      </c>
      <c r="M90" s="15" t="s">
        <v>48</v>
      </c>
      <c r="N90" s="15" t="s">
        <v>425</v>
      </c>
      <c r="O90" s="13"/>
      <c r="P90" s="13" t="str">
        <f t="shared" si="109"/>
        <v>SN-3604</v>
      </c>
      <c r="Q90" s="13" t="str">
        <f t="shared" si="110"/>
        <v>SI-3604</v>
      </c>
      <c r="R90" s="13" t="str">
        <f t="shared" si="111"/>
        <v>SE-3604</v>
      </c>
      <c r="S90" s="53" t="str">
        <f t="shared" si="112"/>
        <v>Prev_RA-3604</v>
      </c>
      <c r="T90" s="53" t="str">
        <f t="shared" si="113"/>
        <v>Prev_Comms-3604</v>
      </c>
      <c r="U90" s="17" t="s">
        <v>75</v>
      </c>
      <c r="V90" s="15" t="s">
        <v>401</v>
      </c>
      <c r="W90" s="17" t="s">
        <v>75</v>
      </c>
      <c r="X90" s="15" t="s">
        <v>396</v>
      </c>
      <c r="Y90" s="13" t="str">
        <f t="shared" si="114"/>
        <v>Forward Add-3604</v>
      </c>
      <c r="Z90" s="15" t="s">
        <v>401</v>
      </c>
      <c r="AA90" s="133" t="str">
        <f>'Run Parameters'!$B$2</f>
        <v>2019-04-26 08:00</v>
      </c>
      <c r="AB90" s="213" t="str">
        <f>'Run Parameters'!B$3</f>
        <v>2019-04-26 18:00</v>
      </c>
      <c r="AC90" s="26">
        <f>('Run Parameters'!$B$2) - 7</f>
        <v>43574.333333333336</v>
      </c>
      <c r="AD90" s="17" t="s">
        <v>75</v>
      </c>
      <c r="AE90" s="18" t="str">
        <f t="shared" si="115"/>
        <v>LAST_METER-3604</v>
      </c>
      <c r="AF90" s="133" t="str">
        <f>'Run Parameters'!$B$2</f>
        <v>2019-04-26 08:00</v>
      </c>
      <c r="AG90" s="13" t="str">
        <f>'Run Parameters'!B$4</f>
        <v>AUTOTEST2</v>
      </c>
      <c r="AH90" s="53" t="str">
        <f t="shared" si="116"/>
        <v>Site_Contact_3604</v>
      </c>
      <c r="AI90" s="133" t="str">
        <f>'Run Parameters'!B$2</f>
        <v>2019-04-26 08:00</v>
      </c>
      <c r="AJ90" s="213" t="str">
        <f>'Run Parameters'!B$3</f>
        <v>2019-04-26 18:00</v>
      </c>
      <c r="AK90" s="13" t="s">
        <v>396</v>
      </c>
      <c r="AL90" s="53" t="str">
        <f t="shared" si="117"/>
        <v>011593604</v>
      </c>
      <c r="AM90" s="13" t="str">
        <f t="shared" si="118"/>
        <v>01153604</v>
      </c>
      <c r="AN90" s="15"/>
      <c r="AO90" s="51"/>
      <c r="AP90" s="13">
        <v>1</v>
      </c>
      <c r="AQ90" s="52" t="s">
        <v>49</v>
      </c>
      <c r="AR90" s="15"/>
      <c r="AS90" s="13"/>
      <c r="AT90" s="7"/>
      <c r="AU90" s="7"/>
      <c r="AV90" s="13">
        <f t="shared" si="119"/>
        <v>3604</v>
      </c>
      <c r="AW90" s="13" t="s">
        <v>1022</v>
      </c>
      <c r="AX90" s="13" t="s">
        <v>420</v>
      </c>
      <c r="AY90" s="13" t="s">
        <v>421</v>
      </c>
      <c r="AZ90" s="15" t="s">
        <v>334</v>
      </c>
      <c r="BA90" s="14" t="s">
        <v>154</v>
      </c>
      <c r="BB90" s="21">
        <v>1</v>
      </c>
      <c r="BC90" s="20">
        <f t="shared" si="120"/>
        <v>3604</v>
      </c>
      <c r="BD90" s="16" t="s">
        <v>1023</v>
      </c>
      <c r="BE90" s="16" t="s">
        <v>390</v>
      </c>
      <c r="BF90" s="16" t="s">
        <v>391</v>
      </c>
      <c r="BG90" s="20" t="s">
        <v>1024</v>
      </c>
      <c r="BH90" s="20" t="str">
        <f t="shared" si="121"/>
        <v>3604_1</v>
      </c>
      <c r="BI90" s="21"/>
      <c r="BJ90" s="21" t="str">
        <f t="shared" si="122"/>
        <v>100000003604</v>
      </c>
      <c r="BK90" s="16" t="s">
        <v>51</v>
      </c>
      <c r="BL90" s="16" t="s">
        <v>54</v>
      </c>
      <c r="BM90" s="20" t="s">
        <v>411</v>
      </c>
      <c r="BN90" s="16" t="s">
        <v>51</v>
      </c>
      <c r="BO90" s="20" t="str">
        <f t="shared" si="123"/>
        <v>S05S3604</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DS_Pass-3604</v>
      </c>
      <c r="DO90" s="40"/>
      <c r="DP90" s="40"/>
      <c r="DQ90" s="40"/>
      <c r="DR90" s="41"/>
      <c r="DS90" s="41"/>
      <c r="DT90" s="40"/>
      <c r="DU90" s="40"/>
      <c r="DV90" s="40"/>
      <c r="DW90" s="41"/>
      <c r="DX90" s="40"/>
      <c r="DY90" s="40"/>
      <c r="DZ90" s="37" t="s">
        <v>402</v>
      </c>
      <c r="EA90" s="39"/>
      <c r="EB90" s="37"/>
      <c r="EC90" s="37"/>
      <c r="ED90" s="16"/>
      <c r="EE90" s="1"/>
      <c r="EF90" s="54"/>
    </row>
    <row r="91" spans="1:136" x14ac:dyDescent="0.2">
      <c r="A91" s="209" t="s">
        <v>1032</v>
      </c>
      <c r="B91" s="209" t="s">
        <v>868</v>
      </c>
      <c r="C91" s="209" t="s">
        <v>865</v>
      </c>
      <c r="D91" s="13">
        <f>'Run Parameters'!$B$1 + ROW()-1</f>
        <v>3605</v>
      </c>
      <c r="E91" s="15" t="s">
        <v>47</v>
      </c>
      <c r="F91" s="18" t="s">
        <v>1024</v>
      </c>
      <c r="G91" s="13" t="str">
        <f t="shared" si="107"/>
        <v>Access Dtls-3605</v>
      </c>
      <c r="H91" s="15" t="s">
        <v>275</v>
      </c>
      <c r="I91" s="13" t="str">
        <f>("MR. Test_90_EXCH11_"&amp;D91&amp;"")</f>
        <v>MR. Test_90_EXCH11_3605</v>
      </c>
      <c r="J91" s="18"/>
      <c r="K91" s="19" t="s">
        <v>425</v>
      </c>
      <c r="L91" s="13" t="str">
        <f t="shared" si="108"/>
        <v>Cust. Ref-3605</v>
      </c>
      <c r="M91" s="15" t="s">
        <v>48</v>
      </c>
      <c r="N91" s="15" t="s">
        <v>425</v>
      </c>
      <c r="O91" s="13"/>
      <c r="P91" s="13" t="str">
        <f t="shared" si="109"/>
        <v>SN-3605</v>
      </c>
      <c r="Q91" s="13" t="str">
        <f t="shared" si="110"/>
        <v>SI-3605</v>
      </c>
      <c r="R91" s="13" t="str">
        <f t="shared" si="111"/>
        <v>SE-3605</v>
      </c>
      <c r="S91" s="53" t="str">
        <f t="shared" si="112"/>
        <v>Prev_RA-3605</v>
      </c>
      <c r="T91" s="53" t="str">
        <f t="shared" si="113"/>
        <v>Prev_Comms-3605</v>
      </c>
      <c r="U91" s="17" t="s">
        <v>75</v>
      </c>
      <c r="V91" s="15" t="s">
        <v>401</v>
      </c>
      <c r="W91" s="17" t="s">
        <v>75</v>
      </c>
      <c r="X91" s="15" t="s">
        <v>396</v>
      </c>
      <c r="Y91" s="13" t="str">
        <f t="shared" si="114"/>
        <v>Forward Add-3605</v>
      </c>
      <c r="Z91" s="15" t="s">
        <v>401</v>
      </c>
      <c r="AA91" s="133" t="str">
        <f>'Run Parameters'!$B$2</f>
        <v>2019-04-26 08:00</v>
      </c>
      <c r="AB91" s="213" t="str">
        <f>'Run Parameters'!B$3</f>
        <v>2019-04-26 18:00</v>
      </c>
      <c r="AC91" s="26">
        <f>('Run Parameters'!$B$2) - 7</f>
        <v>43574.333333333336</v>
      </c>
      <c r="AD91" s="17" t="s">
        <v>75</v>
      </c>
      <c r="AE91" s="18" t="str">
        <f t="shared" si="115"/>
        <v>LAST_METER-3605</v>
      </c>
      <c r="AF91" s="133" t="str">
        <f>'Run Parameters'!$B$2</f>
        <v>2019-04-26 08:00</v>
      </c>
      <c r="AG91" s="13" t="str">
        <f>'Run Parameters'!B$4</f>
        <v>AUTOTEST2</v>
      </c>
      <c r="AH91" s="53" t="str">
        <f t="shared" si="116"/>
        <v>Site_Contact_3605</v>
      </c>
      <c r="AI91" s="133" t="str">
        <f>'Run Parameters'!B$2</f>
        <v>2019-04-26 08:00</v>
      </c>
      <c r="AJ91" s="213" t="str">
        <f>'Run Parameters'!B$3</f>
        <v>2019-04-26 18:00</v>
      </c>
      <c r="AK91" s="13" t="s">
        <v>396</v>
      </c>
      <c r="AL91" s="53" t="str">
        <f t="shared" si="117"/>
        <v>011593605</v>
      </c>
      <c r="AM91" s="13" t="str">
        <f t="shared" si="118"/>
        <v>01153605</v>
      </c>
      <c r="AN91" s="15"/>
      <c r="AO91" s="51"/>
      <c r="AP91" s="13">
        <v>1</v>
      </c>
      <c r="AQ91" s="52" t="s">
        <v>49</v>
      </c>
      <c r="AR91" s="15"/>
      <c r="AS91" s="13"/>
      <c r="AT91" s="7"/>
      <c r="AU91" s="7"/>
      <c r="AV91" s="13">
        <f t="shared" si="119"/>
        <v>3605</v>
      </c>
      <c r="AW91" s="13" t="s">
        <v>1022</v>
      </c>
      <c r="AX91" s="13" t="s">
        <v>420</v>
      </c>
      <c r="AY91" s="13" t="s">
        <v>421</v>
      </c>
      <c r="AZ91" s="15" t="s">
        <v>334</v>
      </c>
      <c r="BA91" s="14" t="s">
        <v>154</v>
      </c>
      <c r="BB91" s="21">
        <v>1</v>
      </c>
      <c r="BC91" s="20">
        <f t="shared" si="120"/>
        <v>3605</v>
      </c>
      <c r="BD91" s="16" t="s">
        <v>1023</v>
      </c>
      <c r="BE91" s="16" t="s">
        <v>390</v>
      </c>
      <c r="BF91" s="16" t="s">
        <v>391</v>
      </c>
      <c r="BG91" s="20" t="s">
        <v>1024</v>
      </c>
      <c r="BH91" s="20" t="str">
        <f t="shared" si="121"/>
        <v>3605_1</v>
      </c>
      <c r="BI91" s="21"/>
      <c r="BJ91" s="21" t="str">
        <f t="shared" si="122"/>
        <v>100000003605</v>
      </c>
      <c r="BK91" s="16" t="s">
        <v>51</v>
      </c>
      <c r="BL91" s="16" t="s">
        <v>54</v>
      </c>
      <c r="BM91" s="20" t="s">
        <v>411</v>
      </c>
      <c r="BN91" s="16" t="s">
        <v>51</v>
      </c>
      <c r="BO91" s="20" t="str">
        <f t="shared" si="123"/>
        <v>S05S3605</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DS_Pass-3605</v>
      </c>
      <c r="DO91" s="40"/>
      <c r="DP91" s="40"/>
      <c r="DQ91" s="40"/>
      <c r="DR91" s="41"/>
      <c r="DS91" s="41"/>
      <c r="DT91" s="40"/>
      <c r="DU91" s="40"/>
      <c r="DV91" s="40"/>
      <c r="DW91" s="41"/>
      <c r="DX91" s="40"/>
      <c r="DY91" s="40"/>
      <c r="DZ91" s="37" t="s">
        <v>402</v>
      </c>
      <c r="EA91" s="39"/>
      <c r="EB91" s="37"/>
      <c r="EC91" s="37"/>
      <c r="ED91" s="16"/>
      <c r="EE91" s="1"/>
      <c r="EF91" s="54"/>
    </row>
    <row r="92" spans="1:136" x14ac:dyDescent="0.2">
      <c r="A92" s="209" t="s">
        <v>1033</v>
      </c>
      <c r="B92" s="209" t="s">
        <v>892</v>
      </c>
      <c r="C92" s="209" t="s">
        <v>865</v>
      </c>
      <c r="D92" s="13">
        <f>'Run Parameters'!$B$1 + ROW()-1</f>
        <v>3606</v>
      </c>
      <c r="E92" s="15" t="s">
        <v>47</v>
      </c>
      <c r="F92" s="18" t="s">
        <v>1024</v>
      </c>
      <c r="G92" s="13" t="str">
        <f t="shared" si="107"/>
        <v>Access Dtls-3606</v>
      </c>
      <c r="H92" s="15" t="s">
        <v>275</v>
      </c>
      <c r="I92" s="13" t="str">
        <f>("MR. Test_91_EXCH11_"&amp;D92&amp;"")</f>
        <v>MR. Test_91_EXCH11_3606</v>
      </c>
      <c r="J92" s="18"/>
      <c r="K92" s="19" t="s">
        <v>425</v>
      </c>
      <c r="L92" s="13" t="str">
        <f t="shared" si="108"/>
        <v>Cust. Ref-3606</v>
      </c>
      <c r="M92" s="15" t="s">
        <v>48</v>
      </c>
      <c r="N92" s="15" t="s">
        <v>425</v>
      </c>
      <c r="O92" s="13"/>
      <c r="P92" s="13" t="str">
        <f t="shared" si="109"/>
        <v>SN-3606</v>
      </c>
      <c r="Q92" s="13" t="str">
        <f t="shared" si="110"/>
        <v>SI-3606</v>
      </c>
      <c r="R92" s="13" t="str">
        <f t="shared" si="111"/>
        <v>SE-3606</v>
      </c>
      <c r="S92" s="53" t="str">
        <f t="shared" si="112"/>
        <v>Prev_RA-3606</v>
      </c>
      <c r="T92" s="53" t="str">
        <f t="shared" si="113"/>
        <v>Prev_Comms-3606</v>
      </c>
      <c r="U92" s="17" t="s">
        <v>75</v>
      </c>
      <c r="V92" s="15" t="s">
        <v>401</v>
      </c>
      <c r="W92" s="17" t="s">
        <v>75</v>
      </c>
      <c r="X92" s="15" t="s">
        <v>396</v>
      </c>
      <c r="Y92" s="13" t="str">
        <f t="shared" si="114"/>
        <v>Forward Add-3606</v>
      </c>
      <c r="Z92" s="15" t="s">
        <v>401</v>
      </c>
      <c r="AA92" s="133" t="str">
        <f>'Run Parameters'!$B$2</f>
        <v>2019-04-26 08:00</v>
      </c>
      <c r="AB92" s="213" t="str">
        <f>'Run Parameters'!B$3</f>
        <v>2019-04-26 18:00</v>
      </c>
      <c r="AC92" s="26">
        <f>('Run Parameters'!$B$2) - 7</f>
        <v>43574.333333333336</v>
      </c>
      <c r="AD92" s="17" t="s">
        <v>75</v>
      </c>
      <c r="AE92" s="18" t="str">
        <f t="shared" si="115"/>
        <v>LAST_METER-3606</v>
      </c>
      <c r="AF92" s="133" t="str">
        <f>'Run Parameters'!$B$2</f>
        <v>2019-04-26 08:00</v>
      </c>
      <c r="AG92" s="13" t="str">
        <f>'Run Parameters'!B$4</f>
        <v>AUTOTEST2</v>
      </c>
      <c r="AH92" s="53" t="str">
        <f t="shared" si="116"/>
        <v>Site_Contact_3606</v>
      </c>
      <c r="AI92" s="133" t="str">
        <f>'Run Parameters'!B$2</f>
        <v>2019-04-26 08:00</v>
      </c>
      <c r="AJ92" s="213" t="str">
        <f>'Run Parameters'!B$3</f>
        <v>2019-04-26 18:00</v>
      </c>
      <c r="AK92" s="13" t="s">
        <v>396</v>
      </c>
      <c r="AL92" s="53" t="str">
        <f t="shared" si="117"/>
        <v>011593606</v>
      </c>
      <c r="AM92" s="13" t="str">
        <f t="shared" si="118"/>
        <v>01153606</v>
      </c>
      <c r="AN92" s="15"/>
      <c r="AO92" s="51"/>
      <c r="AP92" s="13">
        <v>1</v>
      </c>
      <c r="AQ92" s="52" t="s">
        <v>49</v>
      </c>
      <c r="AR92" s="15"/>
      <c r="AS92" s="13"/>
      <c r="AT92" s="7"/>
      <c r="AU92" s="7"/>
      <c r="AV92" s="13">
        <f t="shared" si="119"/>
        <v>3606</v>
      </c>
      <c r="AW92" s="13" t="s">
        <v>1022</v>
      </c>
      <c r="AX92" s="13" t="s">
        <v>420</v>
      </c>
      <c r="AY92" s="13" t="s">
        <v>421</v>
      </c>
      <c r="AZ92" s="15" t="s">
        <v>334</v>
      </c>
      <c r="BA92" s="14" t="s">
        <v>154</v>
      </c>
      <c r="BB92" s="21">
        <v>1</v>
      </c>
      <c r="BC92" s="20">
        <f t="shared" si="120"/>
        <v>3606</v>
      </c>
      <c r="BD92" s="16" t="s">
        <v>1023</v>
      </c>
      <c r="BE92" s="16" t="s">
        <v>390</v>
      </c>
      <c r="BF92" s="16" t="s">
        <v>391</v>
      </c>
      <c r="BG92" s="20" t="s">
        <v>1024</v>
      </c>
      <c r="BH92" s="20" t="str">
        <f t="shared" si="121"/>
        <v>3606_1</v>
      </c>
      <c r="BI92" s="21"/>
      <c r="BJ92" s="21" t="str">
        <f t="shared" si="122"/>
        <v>100000003606</v>
      </c>
      <c r="BK92" s="16" t="s">
        <v>51</v>
      </c>
      <c r="BL92" s="16" t="s">
        <v>54</v>
      </c>
      <c r="BM92" s="20" t="s">
        <v>411</v>
      </c>
      <c r="BN92" s="16" t="s">
        <v>51</v>
      </c>
      <c r="BO92" s="20" t="str">
        <f t="shared" si="123"/>
        <v>S05S3606</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DS_Pass-3606</v>
      </c>
      <c r="DO92" s="40"/>
      <c r="DP92" s="40"/>
      <c r="DQ92" s="40"/>
      <c r="DR92" s="41"/>
      <c r="DS92" s="41"/>
      <c r="DT92" s="40"/>
      <c r="DU92" s="40"/>
      <c r="DV92" s="40"/>
      <c r="DW92" s="41"/>
      <c r="DX92" s="40"/>
      <c r="DY92" s="40"/>
      <c r="DZ92" s="37" t="s">
        <v>402</v>
      </c>
      <c r="EA92" s="39"/>
      <c r="EB92" s="37"/>
      <c r="EC92" s="37"/>
      <c r="ED92" s="16"/>
      <c r="EE92" s="1"/>
      <c r="EF92" s="54"/>
    </row>
    <row r="93" spans="1:136" x14ac:dyDescent="0.2">
      <c r="A93" s="209" t="s">
        <v>1034</v>
      </c>
      <c r="B93" s="209" t="s">
        <v>868</v>
      </c>
      <c r="C93" s="209" t="s">
        <v>865</v>
      </c>
      <c r="D93" s="13">
        <f>'Run Parameters'!$B$1 + ROW()-1</f>
        <v>3607</v>
      </c>
      <c r="E93" s="15" t="s">
        <v>47</v>
      </c>
      <c r="F93" s="18" t="s">
        <v>1024</v>
      </c>
      <c r="G93" s="13" t="str">
        <f t="shared" si="107"/>
        <v>Access Dtls-3607</v>
      </c>
      <c r="H93" s="15" t="s">
        <v>275</v>
      </c>
      <c r="I93" s="13" t="str">
        <f>("MR. Test_92_EXCH11_"&amp;D93&amp;"")</f>
        <v>MR. Test_92_EXCH11_3607</v>
      </c>
      <c r="J93" s="18"/>
      <c r="K93" s="19" t="s">
        <v>425</v>
      </c>
      <c r="L93" s="13" t="str">
        <f t="shared" si="108"/>
        <v>Cust. Ref-3607</v>
      </c>
      <c r="M93" s="15" t="s">
        <v>48</v>
      </c>
      <c r="N93" s="15" t="s">
        <v>425</v>
      </c>
      <c r="O93" s="13"/>
      <c r="P93" s="13" t="str">
        <f t="shared" si="109"/>
        <v>SN-3607</v>
      </c>
      <c r="Q93" s="13" t="str">
        <f t="shared" si="110"/>
        <v>SI-3607</v>
      </c>
      <c r="R93" s="13" t="str">
        <f t="shared" si="111"/>
        <v>SE-3607</v>
      </c>
      <c r="S93" s="53" t="str">
        <f t="shared" si="112"/>
        <v>Prev_RA-3607</v>
      </c>
      <c r="T93" s="53" t="str">
        <f t="shared" si="113"/>
        <v>Prev_Comms-3607</v>
      </c>
      <c r="U93" s="17" t="s">
        <v>75</v>
      </c>
      <c r="V93" s="15" t="s">
        <v>401</v>
      </c>
      <c r="W93" s="17" t="s">
        <v>75</v>
      </c>
      <c r="X93" s="15" t="s">
        <v>396</v>
      </c>
      <c r="Y93" s="13" t="str">
        <f t="shared" si="114"/>
        <v>Forward Add-3607</v>
      </c>
      <c r="Z93" s="15" t="s">
        <v>401</v>
      </c>
      <c r="AA93" s="133" t="str">
        <f>'Run Parameters'!$B$2</f>
        <v>2019-04-26 08:00</v>
      </c>
      <c r="AB93" s="213" t="str">
        <f>'Run Parameters'!B$3</f>
        <v>2019-04-26 18:00</v>
      </c>
      <c r="AC93" s="26">
        <f>('Run Parameters'!$B$2) - 7</f>
        <v>43574.333333333336</v>
      </c>
      <c r="AD93" s="17" t="s">
        <v>75</v>
      </c>
      <c r="AE93" s="18" t="str">
        <f t="shared" si="115"/>
        <v>LAST_METER-3607</v>
      </c>
      <c r="AF93" s="133" t="str">
        <f>'Run Parameters'!$B$2</f>
        <v>2019-04-26 08:00</v>
      </c>
      <c r="AG93" s="13" t="str">
        <f>'Run Parameters'!B$4</f>
        <v>AUTOTEST2</v>
      </c>
      <c r="AH93" s="53" t="str">
        <f t="shared" si="116"/>
        <v>Site_Contact_3607</v>
      </c>
      <c r="AI93" s="133" t="str">
        <f>'Run Parameters'!B$2</f>
        <v>2019-04-26 08:00</v>
      </c>
      <c r="AJ93" s="213" t="str">
        <f>'Run Parameters'!B$3</f>
        <v>2019-04-26 18:00</v>
      </c>
      <c r="AK93" s="13" t="s">
        <v>396</v>
      </c>
      <c r="AL93" s="53" t="str">
        <f t="shared" si="117"/>
        <v>011593607</v>
      </c>
      <c r="AM93" s="13" t="str">
        <f t="shared" si="118"/>
        <v>01153607</v>
      </c>
      <c r="AN93" s="15"/>
      <c r="AO93" s="51"/>
      <c r="AP93" s="13">
        <v>1</v>
      </c>
      <c r="AQ93" s="52" t="s">
        <v>49</v>
      </c>
      <c r="AR93" s="15"/>
      <c r="AS93" s="13"/>
      <c r="AT93" s="7"/>
      <c r="AU93" s="7"/>
      <c r="AV93" s="13">
        <f t="shared" si="119"/>
        <v>3607</v>
      </c>
      <c r="AW93" s="13" t="s">
        <v>1022</v>
      </c>
      <c r="AX93" s="13" t="s">
        <v>420</v>
      </c>
      <c r="AY93" s="13" t="s">
        <v>421</v>
      </c>
      <c r="AZ93" s="15" t="s">
        <v>334</v>
      </c>
      <c r="BA93" s="14" t="s">
        <v>154</v>
      </c>
      <c r="BB93" s="21">
        <v>1</v>
      </c>
      <c r="BC93" s="20">
        <f t="shared" si="120"/>
        <v>3607</v>
      </c>
      <c r="BD93" s="16" t="s">
        <v>1023</v>
      </c>
      <c r="BE93" s="16" t="s">
        <v>390</v>
      </c>
      <c r="BF93" s="16" t="s">
        <v>391</v>
      </c>
      <c r="BG93" s="20" t="s">
        <v>1024</v>
      </c>
      <c r="BH93" s="20" t="str">
        <f t="shared" si="121"/>
        <v>3607_1</v>
      </c>
      <c r="BI93" s="21"/>
      <c r="BJ93" s="21" t="str">
        <f t="shared" si="122"/>
        <v>100000003607</v>
      </c>
      <c r="BK93" s="16" t="s">
        <v>51</v>
      </c>
      <c r="BL93" s="16" t="s">
        <v>54</v>
      </c>
      <c r="BM93" s="20" t="s">
        <v>411</v>
      </c>
      <c r="BN93" s="16" t="s">
        <v>51</v>
      </c>
      <c r="BO93" s="20" t="str">
        <f t="shared" si="123"/>
        <v>S05S3607</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DS_Pass-3607</v>
      </c>
      <c r="DO93" s="40"/>
      <c r="DP93" s="40"/>
      <c r="DQ93" s="40"/>
      <c r="DR93" s="41"/>
      <c r="DS93" s="41"/>
      <c r="DT93" s="40"/>
      <c r="DU93" s="40"/>
      <c r="DV93" s="40"/>
      <c r="DW93" s="41"/>
      <c r="DX93" s="40"/>
      <c r="DY93" s="40"/>
      <c r="DZ93" s="37" t="s">
        <v>402</v>
      </c>
      <c r="EA93" s="39"/>
      <c r="EB93" s="37"/>
      <c r="EC93" s="37"/>
      <c r="ED93" s="16"/>
      <c r="EE93" s="1"/>
      <c r="EF93" s="54"/>
    </row>
    <row r="94" spans="1:136" x14ac:dyDescent="0.2">
      <c r="A94" s="209" t="s">
        <v>1035</v>
      </c>
      <c r="B94" s="209" t="s">
        <v>892</v>
      </c>
      <c r="C94" s="209" t="s">
        <v>865</v>
      </c>
      <c r="D94" s="13">
        <f>'Run Parameters'!$B$1 + ROW()-1</f>
        <v>3608</v>
      </c>
      <c r="E94" s="15" t="s">
        <v>47</v>
      </c>
      <c r="F94" s="18" t="s">
        <v>1024</v>
      </c>
      <c r="G94" s="13" t="str">
        <f t="shared" si="107"/>
        <v>Access Dtls-3608</v>
      </c>
      <c r="H94" s="15" t="s">
        <v>275</v>
      </c>
      <c r="I94" s="13" t="str">
        <f>("MR. Test_93_EXCH11_"&amp;D94&amp;"")</f>
        <v>MR. Test_93_EXCH11_3608</v>
      </c>
      <c r="J94" s="18"/>
      <c r="K94" s="19" t="s">
        <v>425</v>
      </c>
      <c r="L94" s="13" t="str">
        <f t="shared" si="108"/>
        <v>Cust. Ref-3608</v>
      </c>
      <c r="M94" s="15" t="s">
        <v>48</v>
      </c>
      <c r="N94" s="15" t="s">
        <v>425</v>
      </c>
      <c r="O94" s="13"/>
      <c r="P94" s="13" t="str">
        <f t="shared" si="109"/>
        <v>SN-3608</v>
      </c>
      <c r="Q94" s="13" t="str">
        <f t="shared" si="110"/>
        <v>SI-3608</v>
      </c>
      <c r="R94" s="13" t="str">
        <f t="shared" si="111"/>
        <v>SE-3608</v>
      </c>
      <c r="S94" s="53" t="str">
        <f t="shared" si="112"/>
        <v>Prev_RA-3608</v>
      </c>
      <c r="T94" s="53" t="str">
        <f t="shared" si="113"/>
        <v>Prev_Comms-3608</v>
      </c>
      <c r="U94" s="17" t="s">
        <v>75</v>
      </c>
      <c r="V94" s="15" t="s">
        <v>401</v>
      </c>
      <c r="W94" s="17" t="s">
        <v>75</v>
      </c>
      <c r="X94" s="15" t="s">
        <v>396</v>
      </c>
      <c r="Y94" s="13" t="str">
        <f t="shared" si="114"/>
        <v>Forward Add-3608</v>
      </c>
      <c r="Z94" s="15" t="s">
        <v>401</v>
      </c>
      <c r="AA94" s="133" t="str">
        <f>'Run Parameters'!$B$2</f>
        <v>2019-04-26 08:00</v>
      </c>
      <c r="AB94" s="213" t="str">
        <f>'Run Parameters'!B$3</f>
        <v>2019-04-26 18:00</v>
      </c>
      <c r="AC94" s="26">
        <f>('Run Parameters'!$B$2) - 7</f>
        <v>43574.333333333336</v>
      </c>
      <c r="AD94" s="17" t="s">
        <v>75</v>
      </c>
      <c r="AE94" s="18" t="str">
        <f t="shared" si="115"/>
        <v>LAST_METER-3608</v>
      </c>
      <c r="AF94" s="133" t="str">
        <f>'Run Parameters'!$B$2</f>
        <v>2019-04-26 08:00</v>
      </c>
      <c r="AG94" s="13" t="str">
        <f>'Run Parameters'!B$4</f>
        <v>AUTOTEST2</v>
      </c>
      <c r="AH94" s="53" t="str">
        <f t="shared" si="116"/>
        <v>Site_Contact_3608</v>
      </c>
      <c r="AI94" s="133" t="str">
        <f>'Run Parameters'!B$2</f>
        <v>2019-04-26 08:00</v>
      </c>
      <c r="AJ94" s="213" t="str">
        <f>'Run Parameters'!B$3</f>
        <v>2019-04-26 18:00</v>
      </c>
      <c r="AK94" s="13" t="s">
        <v>396</v>
      </c>
      <c r="AL94" s="53" t="str">
        <f t="shared" si="117"/>
        <v>011593608</v>
      </c>
      <c r="AM94" s="13" t="str">
        <f t="shared" si="118"/>
        <v>01153608</v>
      </c>
      <c r="AN94" s="15"/>
      <c r="AO94" s="51"/>
      <c r="AP94" s="13">
        <v>1</v>
      </c>
      <c r="AQ94" s="52" t="s">
        <v>49</v>
      </c>
      <c r="AR94" s="15"/>
      <c r="AS94" s="13"/>
      <c r="AT94" s="7"/>
      <c r="AU94" s="7"/>
      <c r="AV94" s="13">
        <f t="shared" si="119"/>
        <v>3608</v>
      </c>
      <c r="AW94" s="13" t="s">
        <v>1022</v>
      </c>
      <c r="AX94" s="13" t="s">
        <v>420</v>
      </c>
      <c r="AY94" s="13" t="s">
        <v>421</v>
      </c>
      <c r="AZ94" s="15" t="s">
        <v>334</v>
      </c>
      <c r="BA94" s="14" t="s">
        <v>154</v>
      </c>
      <c r="BB94" s="21">
        <v>1</v>
      </c>
      <c r="BC94" s="20">
        <f t="shared" si="120"/>
        <v>3608</v>
      </c>
      <c r="BD94" s="16" t="s">
        <v>1023</v>
      </c>
      <c r="BE94" s="16" t="s">
        <v>390</v>
      </c>
      <c r="BF94" s="16" t="s">
        <v>391</v>
      </c>
      <c r="BG94" s="20" t="s">
        <v>1024</v>
      </c>
      <c r="BH94" s="20" t="str">
        <f t="shared" si="121"/>
        <v>3608_1</v>
      </c>
      <c r="BI94" s="21"/>
      <c r="BJ94" s="21" t="str">
        <f t="shared" si="122"/>
        <v>100000003608</v>
      </c>
      <c r="BK94" s="16" t="s">
        <v>51</v>
      </c>
      <c r="BL94" s="16" t="s">
        <v>54</v>
      </c>
      <c r="BM94" s="20" t="s">
        <v>411</v>
      </c>
      <c r="BN94" s="16" t="s">
        <v>51</v>
      </c>
      <c r="BO94" s="20" t="str">
        <f t="shared" si="123"/>
        <v>S05S3608</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DS_Pass-3608</v>
      </c>
      <c r="DO94" s="40"/>
      <c r="DP94" s="40"/>
      <c r="DQ94" s="40"/>
      <c r="DR94" s="41"/>
      <c r="DS94" s="41"/>
      <c r="DT94" s="40"/>
      <c r="DU94" s="40"/>
      <c r="DV94" s="40"/>
      <c r="DW94" s="41"/>
      <c r="DX94" s="40"/>
      <c r="DY94" s="40"/>
      <c r="DZ94" s="37" t="s">
        <v>402</v>
      </c>
      <c r="EA94" s="39"/>
      <c r="EB94" s="37"/>
      <c r="EC94" s="37"/>
      <c r="ED94" s="16"/>
      <c r="EE94" s="1"/>
      <c r="EF94" s="54"/>
    </row>
    <row r="95" spans="1:136" x14ac:dyDescent="0.2">
      <c r="A95" s="209" t="s">
        <v>1090</v>
      </c>
      <c r="B95" s="209" t="s">
        <v>892</v>
      </c>
      <c r="C95" s="209" t="s">
        <v>865</v>
      </c>
      <c r="D95" s="13">
        <f>'Run Parameters'!$B$1 + ROW()-1</f>
        <v>3609</v>
      </c>
      <c r="E95" s="15" t="s">
        <v>47</v>
      </c>
      <c r="F95" s="18" t="s">
        <v>1024</v>
      </c>
      <c r="G95" s="13" t="str">
        <f t="shared" si="107"/>
        <v>Access Dtls-3609</v>
      </c>
      <c r="H95" s="15" t="s">
        <v>275</v>
      </c>
      <c r="I95" s="13" t="str">
        <f>("MR. Test_94_EXCH11_"&amp;D95&amp;"")</f>
        <v>MR. Test_94_EXCH11_3609</v>
      </c>
      <c r="J95" s="18"/>
      <c r="K95" s="19" t="s">
        <v>425</v>
      </c>
      <c r="L95" s="13" t="str">
        <f t="shared" si="108"/>
        <v>Cust. Ref-3609</v>
      </c>
      <c r="M95" s="15" t="s">
        <v>48</v>
      </c>
      <c r="N95" s="15" t="s">
        <v>425</v>
      </c>
      <c r="O95" s="13"/>
      <c r="P95" s="13" t="str">
        <f t="shared" si="109"/>
        <v>SN-3609</v>
      </c>
      <c r="Q95" s="13" t="str">
        <f t="shared" si="110"/>
        <v>SI-3609</v>
      </c>
      <c r="R95" s="13" t="str">
        <f t="shared" si="111"/>
        <v>SE-3609</v>
      </c>
      <c r="S95" s="53" t="str">
        <f t="shared" si="112"/>
        <v>Prev_RA-3609</v>
      </c>
      <c r="T95" s="53" t="str">
        <f t="shared" si="113"/>
        <v>Prev_Comms-3609</v>
      </c>
      <c r="U95" s="17" t="s">
        <v>75</v>
      </c>
      <c r="V95" s="15" t="s">
        <v>401</v>
      </c>
      <c r="W95" s="17" t="s">
        <v>75</v>
      </c>
      <c r="X95" s="15" t="s">
        <v>1087</v>
      </c>
      <c r="Y95" s="13" t="str">
        <f t="shared" si="114"/>
        <v>Forward Add-3609</v>
      </c>
      <c r="Z95" s="15" t="s">
        <v>401</v>
      </c>
      <c r="AA95" s="133" t="str">
        <f>'Run Parameters'!$B$2</f>
        <v>2019-04-26 08:00</v>
      </c>
      <c r="AB95" s="213" t="str">
        <f>'Run Parameters'!B$3</f>
        <v>2019-04-26 18:00</v>
      </c>
      <c r="AC95" s="26">
        <f>('Run Parameters'!$B$2) - 7</f>
        <v>43574.333333333336</v>
      </c>
      <c r="AD95" s="17" t="s">
        <v>75</v>
      </c>
      <c r="AE95" s="18" t="str">
        <f t="shared" si="115"/>
        <v>LAST_METER-3609</v>
      </c>
      <c r="AF95" s="133" t="str">
        <f>'Run Parameters'!$B$2</f>
        <v>2019-04-26 08:00</v>
      </c>
      <c r="AG95" s="13" t="str">
        <f>'Run Parameters'!B$4</f>
        <v>AUTOTEST2</v>
      </c>
      <c r="AH95" s="53" t="str">
        <f t="shared" si="116"/>
        <v>Site_Contact_3609</v>
      </c>
      <c r="AI95" s="133" t="str">
        <f>'Run Parameters'!B$2</f>
        <v>2019-04-26 08:00</v>
      </c>
      <c r="AJ95" s="213" t="str">
        <f>'Run Parameters'!B$3</f>
        <v>2019-04-26 18:00</v>
      </c>
      <c r="AK95" s="13" t="s">
        <v>1087</v>
      </c>
      <c r="AL95" s="53" t="str">
        <f t="shared" si="117"/>
        <v>011593609</v>
      </c>
      <c r="AM95" s="13" t="str">
        <f t="shared" si="118"/>
        <v>01153609</v>
      </c>
      <c r="AN95" s="15"/>
      <c r="AO95" s="51"/>
      <c r="AP95" s="13">
        <v>1</v>
      </c>
      <c r="AQ95" s="52" t="s">
        <v>49</v>
      </c>
      <c r="AR95" s="15"/>
      <c r="AS95" s="13"/>
      <c r="AT95" s="7"/>
      <c r="AU95" s="7"/>
      <c r="AV95" s="13">
        <f t="shared" si="119"/>
        <v>3609</v>
      </c>
      <c r="AW95" s="13" t="s">
        <v>1022</v>
      </c>
      <c r="AX95" s="13" t="s">
        <v>420</v>
      </c>
      <c r="AY95" s="13" t="s">
        <v>421</v>
      </c>
      <c r="AZ95" s="15" t="s">
        <v>334</v>
      </c>
      <c r="BA95" s="14" t="s">
        <v>154</v>
      </c>
      <c r="BB95" s="21">
        <v>1</v>
      </c>
      <c r="BC95" s="20">
        <f t="shared" si="120"/>
        <v>3609</v>
      </c>
      <c r="BD95" s="16" t="s">
        <v>1106</v>
      </c>
      <c r="BE95" s="16" t="s">
        <v>390</v>
      </c>
      <c r="BF95" s="16" t="s">
        <v>391</v>
      </c>
      <c r="BG95" s="20" t="s">
        <v>1024</v>
      </c>
      <c r="BH95" s="20" t="str">
        <f t="shared" si="121"/>
        <v>3609_1</v>
      </c>
      <c r="BI95" s="21"/>
      <c r="BJ95" s="21" t="str">
        <f t="shared" si="122"/>
        <v>100000003609</v>
      </c>
      <c r="BK95" s="16" t="s">
        <v>51</v>
      </c>
      <c r="BL95" s="16" t="s">
        <v>54</v>
      </c>
      <c r="BM95" s="20" t="s">
        <v>411</v>
      </c>
      <c r="BN95" s="16" t="s">
        <v>51</v>
      </c>
      <c r="BO95" s="20" t="str">
        <f t="shared" si="123"/>
        <v>S05S3609</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1087</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DS_Pass-3609</v>
      </c>
      <c r="DO95" s="40"/>
      <c r="DP95" s="40"/>
      <c r="DQ95" s="40"/>
      <c r="DR95" s="41"/>
      <c r="DS95" s="41"/>
      <c r="DT95" s="40"/>
      <c r="DU95" s="40"/>
      <c r="DV95" s="40"/>
      <c r="DW95" s="41"/>
      <c r="DX95" s="40"/>
      <c r="DY95" s="40"/>
      <c r="DZ95" s="37" t="s">
        <v>402</v>
      </c>
      <c r="EA95" s="39"/>
      <c r="EB95" s="37"/>
      <c r="EC95" s="37"/>
      <c r="ED95" s="16"/>
      <c r="EE95" s="1"/>
      <c r="EF95" s="54"/>
    </row>
    <row r="96" spans="1:136" x14ac:dyDescent="0.2">
      <c r="A96" s="209" t="s">
        <v>980</v>
      </c>
      <c r="B96" s="209" t="s">
        <v>892</v>
      </c>
      <c r="C96" s="209" t="s">
        <v>865</v>
      </c>
      <c r="D96" s="13">
        <f>'Run Parameters'!$B$1 + ROW()-1</f>
        <v>3610</v>
      </c>
      <c r="E96" s="15" t="s">
        <v>47</v>
      </c>
      <c r="F96" s="18" t="s">
        <v>993</v>
      </c>
      <c r="G96" s="13" t="str">
        <f t="shared" ref="G96:G115" si="124">("Access Dtls-" &amp; D96)</f>
        <v>Access Dtls-3610</v>
      </c>
      <c r="H96" s="15" t="s">
        <v>275</v>
      </c>
      <c r="I96" s="13" t="str">
        <f>("MR. Test_95_INST5_"&amp;D96&amp;"")</f>
        <v>MR. Test_95_INST5_3610</v>
      </c>
      <c r="J96" s="18"/>
      <c r="K96" s="19" t="s">
        <v>425</v>
      </c>
      <c r="L96" s="13" t="str">
        <f t="shared" ref="L96:L115" si="125">("Cust. Ref-" &amp; D96)</f>
        <v>Cust. Ref-3610</v>
      </c>
      <c r="M96" s="15" t="s">
        <v>48</v>
      </c>
      <c r="N96" s="15" t="s">
        <v>425</v>
      </c>
      <c r="O96" s="13"/>
      <c r="P96" s="13" t="str">
        <f t="shared" ref="P96:P115" si="126">("SN-" &amp; D96)</f>
        <v>SN-3610</v>
      </c>
      <c r="Q96" s="13" t="str">
        <f t="shared" ref="Q96:Q115" si="127">("SI-" &amp; D96)</f>
        <v>SI-3610</v>
      </c>
      <c r="R96" s="13" t="str">
        <f t="shared" ref="R96:R115" si="128">("SE-" &amp; D96)</f>
        <v>SE-3610</v>
      </c>
      <c r="S96" s="53" t="str">
        <f t="shared" ref="S96:S115" si="129">("Prev_RA-" &amp; D96)</f>
        <v>Prev_RA-3610</v>
      </c>
      <c r="T96" s="53" t="str">
        <f t="shared" ref="T96:T115" si="130">("Prev_Comms-" &amp; D96)</f>
        <v>Prev_Comms-3610</v>
      </c>
      <c r="U96" s="17" t="s">
        <v>75</v>
      </c>
      <c r="V96" s="15" t="s">
        <v>401</v>
      </c>
      <c r="W96" s="17" t="s">
        <v>75</v>
      </c>
      <c r="X96" s="15" t="s">
        <v>396</v>
      </c>
      <c r="Y96" s="13" t="str">
        <f t="shared" ref="Y96:Y115" si="131">("Forward Add-" &amp; D96)</f>
        <v>Forward Add-3610</v>
      </c>
      <c r="Z96" s="15" t="s">
        <v>401</v>
      </c>
      <c r="AA96" s="133" t="str">
        <f>'Run Parameters'!$B$2</f>
        <v>2019-04-26 08:00</v>
      </c>
      <c r="AB96" s="213" t="str">
        <f>'Run Parameters'!B$3</f>
        <v>2019-04-26 18:00</v>
      </c>
      <c r="AC96" s="26">
        <f>('Run Parameters'!$B$2) - 7</f>
        <v>43574.333333333336</v>
      </c>
      <c r="AD96" s="17" t="s">
        <v>75</v>
      </c>
      <c r="AE96" s="18" t="str">
        <f t="shared" ref="AE96:AE115" si="132">("LAST_METER-" &amp; D96)</f>
        <v>LAST_METER-3610</v>
      </c>
      <c r="AF96" s="133" t="str">
        <f>'Run Parameters'!$B$2</f>
        <v>2019-04-26 08:00</v>
      </c>
      <c r="AG96" s="13" t="str">
        <f>'Run Parameters'!B$4</f>
        <v>AUTOTEST2</v>
      </c>
      <c r="AH96" s="53" t="str">
        <f t="shared" ref="AH96:AH115" si="133">("Site_Contact_" &amp; D96)</f>
        <v>Site_Contact_3610</v>
      </c>
      <c r="AI96" s="133" t="str">
        <f>'Run Parameters'!B$2</f>
        <v>2019-04-26 08:00</v>
      </c>
      <c r="AJ96" s="213" t="str">
        <f>'Run Parameters'!B$3</f>
        <v>2019-04-26 18:00</v>
      </c>
      <c r="AK96" s="13" t="s">
        <v>396</v>
      </c>
      <c r="AL96" s="53" t="str">
        <f t="shared" ref="AL96:AL115" si="134">"01159" &amp; D96</f>
        <v>011593610</v>
      </c>
      <c r="AM96" s="13" t="str">
        <f t="shared" ref="AM96:AM115" si="135">("0115" &amp; D96)</f>
        <v>01153610</v>
      </c>
      <c r="AN96" s="15"/>
      <c r="AO96" s="51"/>
      <c r="AP96" s="13">
        <v>1</v>
      </c>
      <c r="AQ96" s="52" t="s">
        <v>49</v>
      </c>
      <c r="AR96" s="15"/>
      <c r="AS96" s="13"/>
      <c r="AT96" s="7"/>
      <c r="AU96" s="7"/>
      <c r="AV96" s="13">
        <f t="shared" ref="AV96:AV115" si="136">D96</f>
        <v>3610</v>
      </c>
      <c r="AW96" s="13" t="s">
        <v>991</v>
      </c>
      <c r="AX96" s="13" t="s">
        <v>420</v>
      </c>
      <c r="AY96" s="13" t="s">
        <v>421</v>
      </c>
      <c r="AZ96" s="15" t="s">
        <v>334</v>
      </c>
      <c r="BA96" s="14" t="s">
        <v>154</v>
      </c>
      <c r="BB96" s="21">
        <v>1</v>
      </c>
      <c r="BC96" s="20">
        <f t="shared" ref="BC96:BC115" si="137">D96</f>
        <v>3610</v>
      </c>
      <c r="BD96" s="16" t="s">
        <v>992</v>
      </c>
      <c r="BE96" s="16" t="s">
        <v>391</v>
      </c>
      <c r="BF96" s="16" t="s">
        <v>391</v>
      </c>
      <c r="BG96" s="18" t="s">
        <v>993</v>
      </c>
      <c r="BH96" s="20" t="str">
        <f t="shared" ref="BH96:BH115" si="138">BC96&amp;"_"&amp;BB96</f>
        <v>3610_1</v>
      </c>
      <c r="BI96" s="21"/>
      <c r="BJ96" s="21" t="str">
        <f t="shared" ref="BJ96:BJ115" si="139">"10000000" &amp; D96</f>
        <v>100000003610</v>
      </c>
      <c r="BK96" s="16" t="s">
        <v>51</v>
      </c>
      <c r="BL96" s="16" t="s">
        <v>54</v>
      </c>
      <c r="BM96" s="20" t="s">
        <v>411</v>
      </c>
      <c r="BN96" s="16" t="s">
        <v>51</v>
      </c>
      <c r="BO96" s="20" t="str">
        <f t="shared" ref="BO96:BO107" si="140">"S05S" &amp; D96</f>
        <v>S05S3610</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DS_Pass-3610</v>
      </c>
      <c r="DO96" s="40"/>
      <c r="DP96" s="40"/>
      <c r="DQ96" s="40"/>
      <c r="DR96" s="41"/>
      <c r="DS96" s="41"/>
      <c r="DT96" s="40"/>
      <c r="DU96" s="40"/>
      <c r="DV96" s="40"/>
      <c r="DW96" s="41"/>
      <c r="DX96" s="40"/>
      <c r="DY96" s="40"/>
      <c r="DZ96" s="37" t="s">
        <v>402</v>
      </c>
      <c r="EA96" s="39"/>
      <c r="EB96" s="37"/>
      <c r="EC96" s="37"/>
      <c r="ED96" s="16"/>
      <c r="EE96" s="1"/>
      <c r="EF96" s="54"/>
    </row>
    <row r="97" spans="1:136" x14ac:dyDescent="0.2">
      <c r="A97" s="209" t="s">
        <v>981</v>
      </c>
      <c r="B97" s="209" t="s">
        <v>868</v>
      </c>
      <c r="C97" s="209" t="s">
        <v>865</v>
      </c>
      <c r="D97" s="13">
        <f>'Run Parameters'!$B$1 + ROW()-1</f>
        <v>3611</v>
      </c>
      <c r="E97" s="15" t="s">
        <v>47</v>
      </c>
      <c r="F97" s="18" t="s">
        <v>993</v>
      </c>
      <c r="G97" s="13" t="str">
        <f t="shared" si="124"/>
        <v>Access Dtls-3611</v>
      </c>
      <c r="H97" s="15" t="s">
        <v>275</v>
      </c>
      <c r="I97" s="13" t="str">
        <f>("MR. Test_96_INST5_"&amp;D97&amp;"")</f>
        <v>MR. Test_96_INST5_3611</v>
      </c>
      <c r="J97" s="18"/>
      <c r="K97" s="19" t="s">
        <v>425</v>
      </c>
      <c r="L97" s="13" t="str">
        <f t="shared" si="125"/>
        <v>Cust. Ref-3611</v>
      </c>
      <c r="M97" s="15" t="s">
        <v>48</v>
      </c>
      <c r="N97" s="15" t="s">
        <v>425</v>
      </c>
      <c r="O97" s="13"/>
      <c r="P97" s="13" t="str">
        <f t="shared" si="126"/>
        <v>SN-3611</v>
      </c>
      <c r="Q97" s="13" t="str">
        <f t="shared" si="127"/>
        <v>SI-3611</v>
      </c>
      <c r="R97" s="13" t="str">
        <f t="shared" si="128"/>
        <v>SE-3611</v>
      </c>
      <c r="S97" s="53" t="str">
        <f t="shared" si="129"/>
        <v>Prev_RA-3611</v>
      </c>
      <c r="T97" s="53" t="str">
        <f t="shared" si="130"/>
        <v>Prev_Comms-3611</v>
      </c>
      <c r="U97" s="17" t="s">
        <v>75</v>
      </c>
      <c r="V97" s="15" t="s">
        <v>401</v>
      </c>
      <c r="W97" s="17" t="s">
        <v>75</v>
      </c>
      <c r="X97" s="15" t="s">
        <v>396</v>
      </c>
      <c r="Y97" s="13" t="str">
        <f t="shared" si="131"/>
        <v>Forward Add-3611</v>
      </c>
      <c r="Z97" s="15" t="s">
        <v>401</v>
      </c>
      <c r="AA97" s="133" t="str">
        <f>'Run Parameters'!$B$2</f>
        <v>2019-04-26 08:00</v>
      </c>
      <c r="AB97" s="213" t="str">
        <f>'Run Parameters'!B$3</f>
        <v>2019-04-26 18:00</v>
      </c>
      <c r="AC97" s="26">
        <f>('Run Parameters'!$B$2) - 7</f>
        <v>43574.333333333336</v>
      </c>
      <c r="AD97" s="17" t="s">
        <v>75</v>
      </c>
      <c r="AE97" s="18" t="str">
        <f t="shared" si="132"/>
        <v>LAST_METER-3611</v>
      </c>
      <c r="AF97" s="133" t="str">
        <f>'Run Parameters'!$B$2</f>
        <v>2019-04-26 08:00</v>
      </c>
      <c r="AG97" s="13" t="str">
        <f>'Run Parameters'!B$4</f>
        <v>AUTOTEST2</v>
      </c>
      <c r="AH97" s="53" t="str">
        <f t="shared" si="133"/>
        <v>Site_Contact_3611</v>
      </c>
      <c r="AI97" s="133" t="str">
        <f>'Run Parameters'!B$2</f>
        <v>2019-04-26 08:00</v>
      </c>
      <c r="AJ97" s="213" t="str">
        <f>'Run Parameters'!B$3</f>
        <v>2019-04-26 18:00</v>
      </c>
      <c r="AK97" s="13" t="s">
        <v>396</v>
      </c>
      <c r="AL97" s="53" t="str">
        <f t="shared" si="134"/>
        <v>011593611</v>
      </c>
      <c r="AM97" s="13" t="str">
        <f t="shared" si="135"/>
        <v>01153611</v>
      </c>
      <c r="AN97" s="15"/>
      <c r="AO97" s="51"/>
      <c r="AP97" s="13">
        <v>1</v>
      </c>
      <c r="AQ97" s="52" t="s">
        <v>49</v>
      </c>
      <c r="AR97" s="15"/>
      <c r="AS97" s="13"/>
      <c r="AT97" s="7"/>
      <c r="AU97" s="7"/>
      <c r="AV97" s="13">
        <f t="shared" si="136"/>
        <v>3611</v>
      </c>
      <c r="AW97" s="13" t="s">
        <v>991</v>
      </c>
      <c r="AX97" s="13" t="s">
        <v>420</v>
      </c>
      <c r="AY97" s="13" t="s">
        <v>421</v>
      </c>
      <c r="AZ97" s="15" t="s">
        <v>334</v>
      </c>
      <c r="BA97" s="14" t="s">
        <v>154</v>
      </c>
      <c r="BB97" s="21">
        <v>1</v>
      </c>
      <c r="BC97" s="20">
        <f t="shared" si="137"/>
        <v>3611</v>
      </c>
      <c r="BD97" s="16" t="s">
        <v>992</v>
      </c>
      <c r="BE97" s="16" t="s">
        <v>391</v>
      </c>
      <c r="BF97" s="16" t="s">
        <v>391</v>
      </c>
      <c r="BG97" s="18" t="s">
        <v>993</v>
      </c>
      <c r="BH97" s="20" t="str">
        <f t="shared" si="138"/>
        <v>3611_1</v>
      </c>
      <c r="BI97" s="21"/>
      <c r="BJ97" s="21" t="str">
        <f t="shared" si="139"/>
        <v>100000003611</v>
      </c>
      <c r="BK97" s="16" t="s">
        <v>51</v>
      </c>
      <c r="BL97" s="16" t="s">
        <v>54</v>
      </c>
      <c r="BM97" s="20" t="s">
        <v>411</v>
      </c>
      <c r="BN97" s="16" t="s">
        <v>51</v>
      </c>
      <c r="BO97" s="20" t="str">
        <f t="shared" si="140"/>
        <v>S05S3611</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DS_Pass-3611</v>
      </c>
      <c r="DO97" s="40"/>
      <c r="DP97" s="40"/>
      <c r="DQ97" s="40"/>
      <c r="DR97" s="41"/>
      <c r="DS97" s="41"/>
      <c r="DT97" s="40"/>
      <c r="DU97" s="40"/>
      <c r="DV97" s="40"/>
      <c r="DW97" s="41"/>
      <c r="DX97" s="40"/>
      <c r="DY97" s="40"/>
      <c r="DZ97" s="37" t="s">
        <v>402</v>
      </c>
      <c r="EA97" s="39"/>
      <c r="EB97" s="37"/>
      <c r="EC97" s="37"/>
      <c r="ED97" s="16"/>
      <c r="EE97" s="1"/>
      <c r="EF97" s="54"/>
    </row>
    <row r="98" spans="1:136" x14ac:dyDescent="0.2">
      <c r="A98" s="209" t="s">
        <v>982</v>
      </c>
      <c r="B98" s="209" t="s">
        <v>892</v>
      </c>
      <c r="C98" s="209" t="s">
        <v>865</v>
      </c>
      <c r="D98" s="13">
        <f>'Run Parameters'!$B$1 + ROW()-1</f>
        <v>3612</v>
      </c>
      <c r="E98" s="15" t="s">
        <v>47</v>
      </c>
      <c r="F98" s="18" t="s">
        <v>993</v>
      </c>
      <c r="G98" s="13" t="str">
        <f t="shared" si="124"/>
        <v>Access Dtls-3612</v>
      </c>
      <c r="H98" s="15" t="s">
        <v>275</v>
      </c>
      <c r="I98" s="13" t="str">
        <f>("MR. Test_97_INST5_"&amp;D98&amp;"")</f>
        <v>MR. Test_97_INST5_3612</v>
      </c>
      <c r="J98" s="18"/>
      <c r="K98" s="19" t="s">
        <v>425</v>
      </c>
      <c r="L98" s="13" t="str">
        <f t="shared" si="125"/>
        <v>Cust. Ref-3612</v>
      </c>
      <c r="M98" s="15" t="s">
        <v>48</v>
      </c>
      <c r="N98" s="15" t="s">
        <v>425</v>
      </c>
      <c r="O98" s="13"/>
      <c r="P98" s="13" t="str">
        <f t="shared" si="126"/>
        <v>SN-3612</v>
      </c>
      <c r="Q98" s="13" t="str">
        <f t="shared" si="127"/>
        <v>SI-3612</v>
      </c>
      <c r="R98" s="13" t="str">
        <f t="shared" si="128"/>
        <v>SE-3612</v>
      </c>
      <c r="S98" s="53" t="str">
        <f t="shared" si="129"/>
        <v>Prev_RA-3612</v>
      </c>
      <c r="T98" s="53" t="str">
        <f t="shared" si="130"/>
        <v>Prev_Comms-3612</v>
      </c>
      <c r="U98" s="17" t="s">
        <v>75</v>
      </c>
      <c r="V98" s="15" t="s">
        <v>401</v>
      </c>
      <c r="W98" s="17" t="s">
        <v>75</v>
      </c>
      <c r="X98" s="15" t="s">
        <v>396</v>
      </c>
      <c r="Y98" s="13" t="str">
        <f t="shared" si="131"/>
        <v>Forward Add-3612</v>
      </c>
      <c r="Z98" s="15" t="s">
        <v>401</v>
      </c>
      <c r="AA98" s="133" t="str">
        <f>'Run Parameters'!$B$2</f>
        <v>2019-04-26 08:00</v>
      </c>
      <c r="AB98" s="213" t="str">
        <f>'Run Parameters'!B$3</f>
        <v>2019-04-26 18:00</v>
      </c>
      <c r="AC98" s="26">
        <f>('Run Parameters'!$B$2) - 7</f>
        <v>43574.333333333336</v>
      </c>
      <c r="AD98" s="17" t="s">
        <v>75</v>
      </c>
      <c r="AE98" s="18" t="str">
        <f t="shared" si="132"/>
        <v>LAST_METER-3612</v>
      </c>
      <c r="AF98" s="133" t="str">
        <f>'Run Parameters'!$B$2</f>
        <v>2019-04-26 08:00</v>
      </c>
      <c r="AG98" s="13" t="str">
        <f>'Run Parameters'!B$4</f>
        <v>AUTOTEST2</v>
      </c>
      <c r="AH98" s="53" t="str">
        <f t="shared" si="133"/>
        <v>Site_Contact_3612</v>
      </c>
      <c r="AI98" s="133" t="str">
        <f>'Run Parameters'!B$2</f>
        <v>2019-04-26 08:00</v>
      </c>
      <c r="AJ98" s="213" t="str">
        <f>'Run Parameters'!B$3</f>
        <v>2019-04-26 18:00</v>
      </c>
      <c r="AK98" s="13" t="s">
        <v>396</v>
      </c>
      <c r="AL98" s="53" t="str">
        <f t="shared" si="134"/>
        <v>011593612</v>
      </c>
      <c r="AM98" s="13" t="str">
        <f t="shared" si="135"/>
        <v>01153612</v>
      </c>
      <c r="AN98" s="15"/>
      <c r="AO98" s="51"/>
      <c r="AP98" s="13">
        <v>1</v>
      </c>
      <c r="AQ98" s="52" t="s">
        <v>49</v>
      </c>
      <c r="AR98" s="15"/>
      <c r="AS98" s="13"/>
      <c r="AT98" s="7"/>
      <c r="AU98" s="7"/>
      <c r="AV98" s="13">
        <f t="shared" si="136"/>
        <v>3612</v>
      </c>
      <c r="AW98" s="13" t="s">
        <v>991</v>
      </c>
      <c r="AX98" s="13" t="s">
        <v>420</v>
      </c>
      <c r="AY98" s="13" t="s">
        <v>421</v>
      </c>
      <c r="AZ98" s="15" t="s">
        <v>334</v>
      </c>
      <c r="BA98" s="14" t="s">
        <v>154</v>
      </c>
      <c r="BB98" s="21">
        <v>1</v>
      </c>
      <c r="BC98" s="20">
        <f t="shared" si="137"/>
        <v>3612</v>
      </c>
      <c r="BD98" s="16" t="s">
        <v>992</v>
      </c>
      <c r="BE98" s="16" t="s">
        <v>391</v>
      </c>
      <c r="BF98" s="16" t="s">
        <v>391</v>
      </c>
      <c r="BG98" s="18" t="s">
        <v>993</v>
      </c>
      <c r="BH98" s="20" t="str">
        <f t="shared" si="138"/>
        <v>3612_1</v>
      </c>
      <c r="BI98" s="21"/>
      <c r="BJ98" s="21" t="str">
        <f t="shared" si="139"/>
        <v>100000003612</v>
      </c>
      <c r="BK98" s="16" t="s">
        <v>51</v>
      </c>
      <c r="BL98" s="16" t="s">
        <v>54</v>
      </c>
      <c r="BM98" s="20" t="s">
        <v>411</v>
      </c>
      <c r="BN98" s="16" t="s">
        <v>51</v>
      </c>
      <c r="BO98" s="20" t="str">
        <f t="shared" si="140"/>
        <v>S05S3612</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DS_Pass-3612</v>
      </c>
      <c r="DO98" s="40"/>
      <c r="DP98" s="40"/>
      <c r="DQ98" s="40"/>
      <c r="DR98" s="41"/>
      <c r="DS98" s="41"/>
      <c r="DT98" s="40"/>
      <c r="DU98" s="40"/>
      <c r="DV98" s="40"/>
      <c r="DW98" s="41"/>
      <c r="DX98" s="40"/>
      <c r="DY98" s="40"/>
      <c r="DZ98" s="37" t="s">
        <v>402</v>
      </c>
      <c r="EA98" s="39"/>
      <c r="EB98" s="37"/>
      <c r="EC98" s="37"/>
      <c r="ED98" s="16"/>
      <c r="EE98" s="1"/>
      <c r="EF98" s="54"/>
    </row>
    <row r="99" spans="1:136" x14ac:dyDescent="0.2">
      <c r="A99" s="209" t="s">
        <v>983</v>
      </c>
      <c r="B99" s="209" t="s">
        <v>868</v>
      </c>
      <c r="C99" s="209" t="s">
        <v>865</v>
      </c>
      <c r="D99" s="13">
        <f>'Run Parameters'!$B$1 + ROW()-1</f>
        <v>3613</v>
      </c>
      <c r="E99" s="15" t="s">
        <v>47</v>
      </c>
      <c r="F99" s="18" t="s">
        <v>993</v>
      </c>
      <c r="G99" s="13" t="str">
        <f t="shared" si="124"/>
        <v>Access Dtls-3613</v>
      </c>
      <c r="H99" s="15" t="s">
        <v>275</v>
      </c>
      <c r="I99" s="13" t="str">
        <f>("MR. Test_98_INST5_"&amp;D99&amp;"")</f>
        <v>MR. Test_98_INST5_3613</v>
      </c>
      <c r="J99" s="18"/>
      <c r="K99" s="19" t="s">
        <v>425</v>
      </c>
      <c r="L99" s="13" t="str">
        <f t="shared" si="125"/>
        <v>Cust. Ref-3613</v>
      </c>
      <c r="M99" s="15" t="s">
        <v>48</v>
      </c>
      <c r="N99" s="15" t="s">
        <v>425</v>
      </c>
      <c r="O99" s="13"/>
      <c r="P99" s="13" t="str">
        <f t="shared" si="126"/>
        <v>SN-3613</v>
      </c>
      <c r="Q99" s="13" t="str">
        <f t="shared" si="127"/>
        <v>SI-3613</v>
      </c>
      <c r="R99" s="13" t="str">
        <f t="shared" si="128"/>
        <v>SE-3613</v>
      </c>
      <c r="S99" s="53" t="str">
        <f t="shared" si="129"/>
        <v>Prev_RA-3613</v>
      </c>
      <c r="T99" s="53" t="str">
        <f t="shared" si="130"/>
        <v>Prev_Comms-3613</v>
      </c>
      <c r="U99" s="17" t="s">
        <v>75</v>
      </c>
      <c r="V99" s="15" t="s">
        <v>401</v>
      </c>
      <c r="W99" s="17" t="s">
        <v>75</v>
      </c>
      <c r="X99" s="15" t="s">
        <v>396</v>
      </c>
      <c r="Y99" s="13" t="str">
        <f t="shared" si="131"/>
        <v>Forward Add-3613</v>
      </c>
      <c r="Z99" s="15" t="s">
        <v>401</v>
      </c>
      <c r="AA99" s="133" t="str">
        <f>'Run Parameters'!$B$2</f>
        <v>2019-04-26 08:00</v>
      </c>
      <c r="AB99" s="213" t="str">
        <f>'Run Parameters'!B$3</f>
        <v>2019-04-26 18:00</v>
      </c>
      <c r="AC99" s="26">
        <f>('Run Parameters'!$B$2) - 7</f>
        <v>43574.333333333336</v>
      </c>
      <c r="AD99" s="17" t="s">
        <v>75</v>
      </c>
      <c r="AE99" s="18" t="str">
        <f t="shared" si="132"/>
        <v>LAST_METER-3613</v>
      </c>
      <c r="AF99" s="133" t="str">
        <f>'Run Parameters'!$B$2</f>
        <v>2019-04-26 08:00</v>
      </c>
      <c r="AG99" s="13" t="str">
        <f>'Run Parameters'!B$4</f>
        <v>AUTOTEST2</v>
      </c>
      <c r="AH99" s="53" t="str">
        <f t="shared" si="133"/>
        <v>Site_Contact_3613</v>
      </c>
      <c r="AI99" s="133" t="str">
        <f>'Run Parameters'!B$2</f>
        <v>2019-04-26 08:00</v>
      </c>
      <c r="AJ99" s="213" t="str">
        <f>'Run Parameters'!B$3</f>
        <v>2019-04-26 18:00</v>
      </c>
      <c r="AK99" s="13" t="s">
        <v>396</v>
      </c>
      <c r="AL99" s="53" t="str">
        <f t="shared" si="134"/>
        <v>011593613</v>
      </c>
      <c r="AM99" s="13" t="str">
        <f t="shared" si="135"/>
        <v>01153613</v>
      </c>
      <c r="AN99" s="15"/>
      <c r="AO99" s="51"/>
      <c r="AP99" s="13">
        <v>1</v>
      </c>
      <c r="AQ99" s="52" t="s">
        <v>49</v>
      </c>
      <c r="AR99" s="15"/>
      <c r="AS99" s="13"/>
      <c r="AT99" s="7"/>
      <c r="AU99" s="7"/>
      <c r="AV99" s="13">
        <f t="shared" si="136"/>
        <v>3613</v>
      </c>
      <c r="AW99" s="13" t="s">
        <v>991</v>
      </c>
      <c r="AX99" s="13" t="s">
        <v>420</v>
      </c>
      <c r="AY99" s="13" t="s">
        <v>421</v>
      </c>
      <c r="AZ99" s="15" t="s">
        <v>334</v>
      </c>
      <c r="BA99" s="14" t="s">
        <v>154</v>
      </c>
      <c r="BB99" s="21">
        <v>1</v>
      </c>
      <c r="BC99" s="20">
        <f t="shared" si="137"/>
        <v>3613</v>
      </c>
      <c r="BD99" s="16" t="s">
        <v>992</v>
      </c>
      <c r="BE99" s="16" t="s">
        <v>391</v>
      </c>
      <c r="BF99" s="16" t="s">
        <v>391</v>
      </c>
      <c r="BG99" s="18" t="s">
        <v>993</v>
      </c>
      <c r="BH99" s="20" t="str">
        <f t="shared" si="138"/>
        <v>3613_1</v>
      </c>
      <c r="BI99" s="21"/>
      <c r="BJ99" s="21" t="str">
        <f t="shared" si="139"/>
        <v>100000003613</v>
      </c>
      <c r="BK99" s="16" t="s">
        <v>51</v>
      </c>
      <c r="BL99" s="16" t="s">
        <v>54</v>
      </c>
      <c r="BM99" s="20" t="s">
        <v>411</v>
      </c>
      <c r="BN99" s="16" t="s">
        <v>51</v>
      </c>
      <c r="BO99" s="20" t="str">
        <f t="shared" si="140"/>
        <v>S05S3613</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DS_Pass-3613</v>
      </c>
      <c r="DO99" s="40"/>
      <c r="DP99" s="40"/>
      <c r="DQ99" s="40"/>
      <c r="DR99" s="41"/>
      <c r="DS99" s="41"/>
      <c r="DT99" s="40"/>
      <c r="DU99" s="40"/>
      <c r="DV99" s="40"/>
      <c r="DW99" s="41"/>
      <c r="DX99" s="40"/>
      <c r="DY99" s="40"/>
      <c r="DZ99" s="37" t="s">
        <v>402</v>
      </c>
      <c r="EA99" s="39"/>
      <c r="EB99" s="37"/>
      <c r="EC99" s="37"/>
      <c r="ED99" s="16"/>
      <c r="EE99" s="1"/>
      <c r="EF99" s="54"/>
    </row>
    <row r="100" spans="1:136" x14ac:dyDescent="0.2">
      <c r="A100" s="209" t="s">
        <v>984</v>
      </c>
      <c r="B100" s="209" t="s">
        <v>892</v>
      </c>
      <c r="C100" s="209" t="s">
        <v>865</v>
      </c>
      <c r="D100" s="13">
        <f>'Run Parameters'!$B$1 + ROW()-1</f>
        <v>3614</v>
      </c>
      <c r="E100" s="15" t="s">
        <v>47</v>
      </c>
      <c r="F100" s="18" t="s">
        <v>993</v>
      </c>
      <c r="G100" s="13" t="str">
        <f t="shared" si="124"/>
        <v>Access Dtls-3614</v>
      </c>
      <c r="H100" s="15" t="s">
        <v>275</v>
      </c>
      <c r="I100" s="13" t="str">
        <f>("MR. Test_99_INST5_"&amp;D100&amp;"")</f>
        <v>MR. Test_99_INST5_3614</v>
      </c>
      <c r="J100" s="18"/>
      <c r="K100" s="19" t="s">
        <v>425</v>
      </c>
      <c r="L100" s="13" t="str">
        <f t="shared" si="125"/>
        <v>Cust. Ref-3614</v>
      </c>
      <c r="M100" s="15" t="s">
        <v>48</v>
      </c>
      <c r="N100" s="15" t="s">
        <v>425</v>
      </c>
      <c r="O100" s="13"/>
      <c r="P100" s="13" t="str">
        <f t="shared" si="126"/>
        <v>SN-3614</v>
      </c>
      <c r="Q100" s="13" t="str">
        <f t="shared" si="127"/>
        <v>SI-3614</v>
      </c>
      <c r="R100" s="13" t="str">
        <f t="shared" si="128"/>
        <v>SE-3614</v>
      </c>
      <c r="S100" s="53" t="str">
        <f t="shared" si="129"/>
        <v>Prev_RA-3614</v>
      </c>
      <c r="T100" s="53" t="str">
        <f t="shared" si="130"/>
        <v>Prev_Comms-3614</v>
      </c>
      <c r="U100" s="17" t="s">
        <v>75</v>
      </c>
      <c r="V100" s="15" t="s">
        <v>401</v>
      </c>
      <c r="W100" s="17" t="s">
        <v>75</v>
      </c>
      <c r="X100" s="15" t="s">
        <v>396</v>
      </c>
      <c r="Y100" s="13" t="str">
        <f t="shared" si="131"/>
        <v>Forward Add-3614</v>
      </c>
      <c r="Z100" s="15" t="s">
        <v>401</v>
      </c>
      <c r="AA100" s="133" t="str">
        <f>'Run Parameters'!$B$2</f>
        <v>2019-04-26 08:00</v>
      </c>
      <c r="AB100" s="213" t="str">
        <f>'Run Parameters'!B$3</f>
        <v>2019-04-26 18:00</v>
      </c>
      <c r="AC100" s="26">
        <f>('Run Parameters'!$B$2) - 7</f>
        <v>43574.333333333336</v>
      </c>
      <c r="AD100" s="17" t="s">
        <v>75</v>
      </c>
      <c r="AE100" s="18" t="str">
        <f t="shared" si="132"/>
        <v>LAST_METER-3614</v>
      </c>
      <c r="AF100" s="133" t="str">
        <f>'Run Parameters'!$B$2</f>
        <v>2019-04-26 08:00</v>
      </c>
      <c r="AG100" s="13" t="str">
        <f>'Run Parameters'!B$4</f>
        <v>AUTOTEST2</v>
      </c>
      <c r="AH100" s="53" t="str">
        <f t="shared" si="133"/>
        <v>Site_Contact_3614</v>
      </c>
      <c r="AI100" s="133" t="str">
        <f>'Run Parameters'!B$2</f>
        <v>2019-04-26 08:00</v>
      </c>
      <c r="AJ100" s="213" t="str">
        <f>'Run Parameters'!B$3</f>
        <v>2019-04-26 18:00</v>
      </c>
      <c r="AK100" s="13" t="s">
        <v>396</v>
      </c>
      <c r="AL100" s="53" t="str">
        <f t="shared" si="134"/>
        <v>011593614</v>
      </c>
      <c r="AM100" s="13" t="str">
        <f t="shared" si="135"/>
        <v>01153614</v>
      </c>
      <c r="AN100" s="15"/>
      <c r="AO100" s="51"/>
      <c r="AP100" s="13">
        <v>1</v>
      </c>
      <c r="AQ100" s="52" t="s">
        <v>49</v>
      </c>
      <c r="AR100" s="15"/>
      <c r="AS100" s="13"/>
      <c r="AT100" s="7"/>
      <c r="AU100" s="7"/>
      <c r="AV100" s="13">
        <f t="shared" si="136"/>
        <v>3614</v>
      </c>
      <c r="AW100" s="13" t="s">
        <v>991</v>
      </c>
      <c r="AX100" s="13" t="s">
        <v>420</v>
      </c>
      <c r="AY100" s="13" t="s">
        <v>421</v>
      </c>
      <c r="AZ100" s="15" t="s">
        <v>334</v>
      </c>
      <c r="BA100" s="14" t="s">
        <v>154</v>
      </c>
      <c r="BB100" s="21">
        <v>1</v>
      </c>
      <c r="BC100" s="20">
        <f t="shared" si="137"/>
        <v>3614</v>
      </c>
      <c r="BD100" s="16" t="s">
        <v>992</v>
      </c>
      <c r="BE100" s="16" t="s">
        <v>391</v>
      </c>
      <c r="BF100" s="16" t="s">
        <v>391</v>
      </c>
      <c r="BG100" s="18" t="s">
        <v>993</v>
      </c>
      <c r="BH100" s="20" t="str">
        <f t="shared" si="138"/>
        <v>3614_1</v>
      </c>
      <c r="BI100" s="21"/>
      <c r="BJ100" s="21" t="str">
        <f t="shared" si="139"/>
        <v>100000003614</v>
      </c>
      <c r="BK100" s="16" t="s">
        <v>51</v>
      </c>
      <c r="BL100" s="16" t="s">
        <v>54</v>
      </c>
      <c r="BM100" s="20" t="s">
        <v>411</v>
      </c>
      <c r="BN100" s="16" t="s">
        <v>51</v>
      </c>
      <c r="BO100" s="20" t="str">
        <f t="shared" si="140"/>
        <v>S05S3614</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DS_Pass-3614</v>
      </c>
      <c r="DO100" s="40"/>
      <c r="DP100" s="40"/>
      <c r="DQ100" s="40"/>
      <c r="DR100" s="41"/>
      <c r="DS100" s="41"/>
      <c r="DT100" s="40"/>
      <c r="DU100" s="40"/>
      <c r="DV100" s="40"/>
      <c r="DW100" s="41"/>
      <c r="DX100" s="40"/>
      <c r="DY100" s="40"/>
      <c r="DZ100" s="37" t="s">
        <v>402</v>
      </c>
      <c r="EA100" s="39"/>
      <c r="EB100" s="37"/>
      <c r="EC100" s="37"/>
      <c r="ED100" s="16"/>
      <c r="EE100" s="1"/>
      <c r="EF100" s="54"/>
    </row>
    <row r="101" spans="1:136" x14ac:dyDescent="0.2">
      <c r="A101" s="209" t="s">
        <v>985</v>
      </c>
      <c r="B101" s="209" t="s">
        <v>868</v>
      </c>
      <c r="C101" s="209" t="s">
        <v>865</v>
      </c>
      <c r="D101" s="13">
        <f>'Run Parameters'!$B$1 + ROW()-1</f>
        <v>3615</v>
      </c>
      <c r="E101" s="15" t="s">
        <v>47</v>
      </c>
      <c r="F101" s="18" t="s">
        <v>993</v>
      </c>
      <c r="G101" s="13" t="str">
        <f t="shared" si="124"/>
        <v>Access Dtls-3615</v>
      </c>
      <c r="H101" s="15" t="s">
        <v>275</v>
      </c>
      <c r="I101" s="13" t="str">
        <f>("MR. Test_100_INST5_"&amp;D101&amp;"")</f>
        <v>MR. Test_100_INST5_3615</v>
      </c>
      <c r="J101" s="18"/>
      <c r="K101" s="19" t="s">
        <v>425</v>
      </c>
      <c r="L101" s="13" t="str">
        <f t="shared" si="125"/>
        <v>Cust. Ref-3615</v>
      </c>
      <c r="M101" s="15" t="s">
        <v>48</v>
      </c>
      <c r="N101" s="15" t="s">
        <v>425</v>
      </c>
      <c r="O101" s="13"/>
      <c r="P101" s="13" t="str">
        <f t="shared" si="126"/>
        <v>SN-3615</v>
      </c>
      <c r="Q101" s="13" t="str">
        <f t="shared" si="127"/>
        <v>SI-3615</v>
      </c>
      <c r="R101" s="13" t="str">
        <f t="shared" si="128"/>
        <v>SE-3615</v>
      </c>
      <c r="S101" s="53" t="str">
        <f t="shared" si="129"/>
        <v>Prev_RA-3615</v>
      </c>
      <c r="T101" s="53" t="str">
        <f t="shared" si="130"/>
        <v>Prev_Comms-3615</v>
      </c>
      <c r="U101" s="17" t="s">
        <v>75</v>
      </c>
      <c r="V101" s="15" t="s">
        <v>401</v>
      </c>
      <c r="W101" s="17" t="s">
        <v>75</v>
      </c>
      <c r="X101" s="15" t="s">
        <v>396</v>
      </c>
      <c r="Y101" s="13" t="str">
        <f t="shared" si="131"/>
        <v>Forward Add-3615</v>
      </c>
      <c r="Z101" s="15" t="s">
        <v>401</v>
      </c>
      <c r="AA101" s="133" t="str">
        <f>'Run Parameters'!$B$2</f>
        <v>2019-04-26 08:00</v>
      </c>
      <c r="AB101" s="213" t="str">
        <f>'Run Parameters'!B$3</f>
        <v>2019-04-26 18:00</v>
      </c>
      <c r="AC101" s="26">
        <f>('Run Parameters'!$B$2) - 7</f>
        <v>43574.333333333336</v>
      </c>
      <c r="AD101" s="17" t="s">
        <v>75</v>
      </c>
      <c r="AE101" s="18" t="str">
        <f t="shared" si="132"/>
        <v>LAST_METER-3615</v>
      </c>
      <c r="AF101" s="133" t="str">
        <f>'Run Parameters'!$B$2</f>
        <v>2019-04-26 08:00</v>
      </c>
      <c r="AG101" s="13" t="str">
        <f>'Run Parameters'!B$4</f>
        <v>AUTOTEST2</v>
      </c>
      <c r="AH101" s="53" t="str">
        <f t="shared" si="133"/>
        <v>Site_Contact_3615</v>
      </c>
      <c r="AI101" s="133" t="str">
        <f>'Run Parameters'!B$2</f>
        <v>2019-04-26 08:00</v>
      </c>
      <c r="AJ101" s="213" t="str">
        <f>'Run Parameters'!B$3</f>
        <v>2019-04-26 18:00</v>
      </c>
      <c r="AK101" s="13" t="s">
        <v>396</v>
      </c>
      <c r="AL101" s="53" t="str">
        <f t="shared" si="134"/>
        <v>011593615</v>
      </c>
      <c r="AM101" s="13" t="str">
        <f t="shared" si="135"/>
        <v>01153615</v>
      </c>
      <c r="AN101" s="15"/>
      <c r="AO101" s="51"/>
      <c r="AP101" s="13">
        <v>1</v>
      </c>
      <c r="AQ101" s="52" t="s">
        <v>49</v>
      </c>
      <c r="AR101" s="15"/>
      <c r="AS101" s="13"/>
      <c r="AT101" s="7"/>
      <c r="AU101" s="7"/>
      <c r="AV101" s="13">
        <f t="shared" si="136"/>
        <v>3615</v>
      </c>
      <c r="AW101" s="13" t="s">
        <v>991</v>
      </c>
      <c r="AX101" s="13" t="s">
        <v>420</v>
      </c>
      <c r="AY101" s="13" t="s">
        <v>421</v>
      </c>
      <c r="AZ101" s="15" t="s">
        <v>334</v>
      </c>
      <c r="BA101" s="14" t="s">
        <v>154</v>
      </c>
      <c r="BB101" s="21">
        <v>1</v>
      </c>
      <c r="BC101" s="20">
        <f t="shared" si="137"/>
        <v>3615</v>
      </c>
      <c r="BD101" s="16" t="s">
        <v>992</v>
      </c>
      <c r="BE101" s="16" t="s">
        <v>391</v>
      </c>
      <c r="BF101" s="16" t="s">
        <v>391</v>
      </c>
      <c r="BG101" s="18" t="s">
        <v>993</v>
      </c>
      <c r="BH101" s="20" t="str">
        <f t="shared" si="138"/>
        <v>3615_1</v>
      </c>
      <c r="BI101" s="21"/>
      <c r="BJ101" s="21" t="str">
        <f t="shared" si="139"/>
        <v>100000003615</v>
      </c>
      <c r="BK101" s="16" t="s">
        <v>51</v>
      </c>
      <c r="BL101" s="16" t="s">
        <v>54</v>
      </c>
      <c r="BM101" s="20" t="s">
        <v>411</v>
      </c>
      <c r="BN101" s="16" t="s">
        <v>51</v>
      </c>
      <c r="BO101" s="20" t="str">
        <f t="shared" si="140"/>
        <v>S05S3615</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DS_Pass-3615</v>
      </c>
      <c r="DO101" s="40"/>
      <c r="DP101" s="40"/>
      <c r="DQ101" s="40"/>
      <c r="DR101" s="41"/>
      <c r="DS101" s="41"/>
      <c r="DT101" s="40"/>
      <c r="DU101" s="40"/>
      <c r="DV101" s="40"/>
      <c r="DW101" s="41"/>
      <c r="DX101" s="40"/>
      <c r="DY101" s="40"/>
      <c r="DZ101" s="37" t="s">
        <v>402</v>
      </c>
      <c r="EA101" s="39"/>
      <c r="EB101" s="37"/>
      <c r="EC101" s="37"/>
      <c r="ED101" s="16"/>
      <c r="EE101" s="1"/>
      <c r="EF101" s="54"/>
    </row>
    <row r="102" spans="1:136" x14ac:dyDescent="0.2">
      <c r="A102" s="209" t="s">
        <v>986</v>
      </c>
      <c r="B102" s="209" t="s">
        <v>892</v>
      </c>
      <c r="C102" s="209" t="s">
        <v>865</v>
      </c>
      <c r="D102" s="13">
        <f>'Run Parameters'!$B$1 + ROW()-1</f>
        <v>3616</v>
      </c>
      <c r="E102" s="15" t="s">
        <v>47</v>
      </c>
      <c r="F102" s="18" t="s">
        <v>993</v>
      </c>
      <c r="G102" s="13" t="str">
        <f t="shared" si="124"/>
        <v>Access Dtls-3616</v>
      </c>
      <c r="H102" s="15" t="s">
        <v>275</v>
      </c>
      <c r="I102" s="13" t="str">
        <f>("MR. Test_101_INST5_"&amp;D102&amp;"")</f>
        <v>MR. Test_101_INST5_3616</v>
      </c>
      <c r="J102" s="18"/>
      <c r="K102" s="19" t="s">
        <v>425</v>
      </c>
      <c r="L102" s="13" t="str">
        <f t="shared" si="125"/>
        <v>Cust. Ref-3616</v>
      </c>
      <c r="M102" s="15" t="s">
        <v>48</v>
      </c>
      <c r="N102" s="15" t="s">
        <v>425</v>
      </c>
      <c r="O102" s="13"/>
      <c r="P102" s="13" t="str">
        <f t="shared" si="126"/>
        <v>SN-3616</v>
      </c>
      <c r="Q102" s="13" t="str">
        <f t="shared" si="127"/>
        <v>SI-3616</v>
      </c>
      <c r="R102" s="13" t="str">
        <f t="shared" si="128"/>
        <v>SE-3616</v>
      </c>
      <c r="S102" s="53" t="str">
        <f t="shared" si="129"/>
        <v>Prev_RA-3616</v>
      </c>
      <c r="T102" s="53" t="str">
        <f t="shared" si="130"/>
        <v>Prev_Comms-3616</v>
      </c>
      <c r="U102" s="17" t="s">
        <v>75</v>
      </c>
      <c r="V102" s="15" t="s">
        <v>401</v>
      </c>
      <c r="W102" s="17" t="s">
        <v>75</v>
      </c>
      <c r="X102" s="15" t="s">
        <v>396</v>
      </c>
      <c r="Y102" s="13" t="str">
        <f t="shared" si="131"/>
        <v>Forward Add-3616</v>
      </c>
      <c r="Z102" s="15" t="s">
        <v>401</v>
      </c>
      <c r="AA102" s="133" t="str">
        <f>'Run Parameters'!$B$2</f>
        <v>2019-04-26 08:00</v>
      </c>
      <c r="AB102" s="213" t="str">
        <f>'Run Parameters'!B$3</f>
        <v>2019-04-26 18:00</v>
      </c>
      <c r="AC102" s="26">
        <f>('Run Parameters'!$B$2) - 7</f>
        <v>43574.333333333336</v>
      </c>
      <c r="AD102" s="17" t="s">
        <v>75</v>
      </c>
      <c r="AE102" s="18" t="str">
        <f t="shared" si="132"/>
        <v>LAST_METER-3616</v>
      </c>
      <c r="AF102" s="133" t="str">
        <f>'Run Parameters'!$B$2</f>
        <v>2019-04-26 08:00</v>
      </c>
      <c r="AG102" s="13" t="str">
        <f>'Run Parameters'!B$4</f>
        <v>AUTOTEST2</v>
      </c>
      <c r="AH102" s="53" t="str">
        <f t="shared" si="133"/>
        <v>Site_Contact_3616</v>
      </c>
      <c r="AI102" s="133" t="str">
        <f>'Run Parameters'!B$2</f>
        <v>2019-04-26 08:00</v>
      </c>
      <c r="AJ102" s="213" t="str">
        <f>'Run Parameters'!B$3</f>
        <v>2019-04-26 18:00</v>
      </c>
      <c r="AK102" s="13" t="s">
        <v>396</v>
      </c>
      <c r="AL102" s="53" t="str">
        <f t="shared" si="134"/>
        <v>011593616</v>
      </c>
      <c r="AM102" s="13" t="str">
        <f t="shared" si="135"/>
        <v>01153616</v>
      </c>
      <c r="AN102" s="15"/>
      <c r="AO102" s="51"/>
      <c r="AP102" s="13">
        <v>1</v>
      </c>
      <c r="AQ102" s="52" t="s">
        <v>49</v>
      </c>
      <c r="AR102" s="15"/>
      <c r="AS102" s="13"/>
      <c r="AT102" s="7"/>
      <c r="AU102" s="7"/>
      <c r="AV102" s="13">
        <f t="shared" si="136"/>
        <v>3616</v>
      </c>
      <c r="AW102" s="13" t="s">
        <v>991</v>
      </c>
      <c r="AX102" s="13" t="s">
        <v>420</v>
      </c>
      <c r="AY102" s="13" t="s">
        <v>421</v>
      </c>
      <c r="AZ102" s="15" t="s">
        <v>334</v>
      </c>
      <c r="BA102" s="14" t="s">
        <v>154</v>
      </c>
      <c r="BB102" s="21">
        <v>1</v>
      </c>
      <c r="BC102" s="20">
        <f t="shared" si="137"/>
        <v>3616</v>
      </c>
      <c r="BD102" s="16" t="s">
        <v>992</v>
      </c>
      <c r="BE102" s="16" t="s">
        <v>391</v>
      </c>
      <c r="BF102" s="16" t="s">
        <v>391</v>
      </c>
      <c r="BG102" s="18" t="s">
        <v>993</v>
      </c>
      <c r="BH102" s="20" t="str">
        <f t="shared" si="138"/>
        <v>3616_1</v>
      </c>
      <c r="BI102" s="21"/>
      <c r="BJ102" s="21" t="str">
        <f t="shared" si="139"/>
        <v>100000003616</v>
      </c>
      <c r="BK102" s="16" t="s">
        <v>51</v>
      </c>
      <c r="BL102" s="16" t="s">
        <v>54</v>
      </c>
      <c r="BM102" s="20" t="s">
        <v>411</v>
      </c>
      <c r="BN102" s="16" t="s">
        <v>51</v>
      </c>
      <c r="BO102" s="20" t="str">
        <f t="shared" si="140"/>
        <v>S05S3616</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DS_Pass-3616</v>
      </c>
      <c r="DO102" s="40"/>
      <c r="DP102" s="40"/>
      <c r="DQ102" s="40"/>
      <c r="DR102" s="41"/>
      <c r="DS102" s="41"/>
      <c r="DT102" s="40"/>
      <c r="DU102" s="40"/>
      <c r="DV102" s="40"/>
      <c r="DW102" s="41"/>
      <c r="DX102" s="40"/>
      <c r="DY102" s="40"/>
      <c r="DZ102" s="37" t="s">
        <v>402</v>
      </c>
      <c r="EA102" s="39"/>
      <c r="EB102" s="37"/>
      <c r="EC102" s="37"/>
      <c r="ED102" s="16"/>
      <c r="EE102" s="1"/>
      <c r="EF102" s="54"/>
    </row>
    <row r="103" spans="1:136" x14ac:dyDescent="0.2">
      <c r="A103" s="209" t="s">
        <v>987</v>
      </c>
      <c r="B103" s="209" t="s">
        <v>868</v>
      </c>
      <c r="C103" s="209" t="s">
        <v>865</v>
      </c>
      <c r="D103" s="13">
        <f>'Run Parameters'!$B$1 + ROW()-1</f>
        <v>3617</v>
      </c>
      <c r="E103" s="15" t="s">
        <v>47</v>
      </c>
      <c r="F103" s="18" t="s">
        <v>993</v>
      </c>
      <c r="G103" s="13" t="str">
        <f t="shared" si="124"/>
        <v>Access Dtls-3617</v>
      </c>
      <c r="H103" s="15" t="s">
        <v>275</v>
      </c>
      <c r="I103" s="13" t="str">
        <f>("MR. Test_102_INST5_"&amp;D103&amp;"")</f>
        <v>MR. Test_102_INST5_3617</v>
      </c>
      <c r="J103" s="18"/>
      <c r="K103" s="19" t="s">
        <v>425</v>
      </c>
      <c r="L103" s="13" t="str">
        <f t="shared" si="125"/>
        <v>Cust. Ref-3617</v>
      </c>
      <c r="M103" s="15" t="s">
        <v>48</v>
      </c>
      <c r="N103" s="15" t="s">
        <v>425</v>
      </c>
      <c r="O103" s="13"/>
      <c r="P103" s="13" t="str">
        <f t="shared" si="126"/>
        <v>SN-3617</v>
      </c>
      <c r="Q103" s="13" t="str">
        <f t="shared" si="127"/>
        <v>SI-3617</v>
      </c>
      <c r="R103" s="13" t="str">
        <f t="shared" si="128"/>
        <v>SE-3617</v>
      </c>
      <c r="S103" s="53" t="str">
        <f t="shared" si="129"/>
        <v>Prev_RA-3617</v>
      </c>
      <c r="T103" s="53" t="str">
        <f t="shared" si="130"/>
        <v>Prev_Comms-3617</v>
      </c>
      <c r="U103" s="17" t="s">
        <v>75</v>
      </c>
      <c r="V103" s="15" t="s">
        <v>401</v>
      </c>
      <c r="W103" s="17" t="s">
        <v>75</v>
      </c>
      <c r="X103" s="15" t="s">
        <v>396</v>
      </c>
      <c r="Y103" s="13" t="str">
        <f t="shared" si="131"/>
        <v>Forward Add-3617</v>
      </c>
      <c r="Z103" s="15" t="s">
        <v>401</v>
      </c>
      <c r="AA103" s="133" t="str">
        <f>'Run Parameters'!$B$2</f>
        <v>2019-04-26 08:00</v>
      </c>
      <c r="AB103" s="213" t="str">
        <f>'Run Parameters'!B$3</f>
        <v>2019-04-26 18:00</v>
      </c>
      <c r="AC103" s="26">
        <f>('Run Parameters'!$B$2) - 7</f>
        <v>43574.333333333336</v>
      </c>
      <c r="AD103" s="17" t="s">
        <v>75</v>
      </c>
      <c r="AE103" s="18" t="str">
        <f t="shared" si="132"/>
        <v>LAST_METER-3617</v>
      </c>
      <c r="AF103" s="133" t="str">
        <f>'Run Parameters'!$B$2</f>
        <v>2019-04-26 08:00</v>
      </c>
      <c r="AG103" s="13" t="str">
        <f>'Run Parameters'!B$4</f>
        <v>AUTOTEST2</v>
      </c>
      <c r="AH103" s="53" t="str">
        <f t="shared" si="133"/>
        <v>Site_Contact_3617</v>
      </c>
      <c r="AI103" s="133" t="str">
        <f>'Run Parameters'!B$2</f>
        <v>2019-04-26 08:00</v>
      </c>
      <c r="AJ103" s="213" t="str">
        <f>'Run Parameters'!B$3</f>
        <v>2019-04-26 18:00</v>
      </c>
      <c r="AK103" s="13" t="s">
        <v>396</v>
      </c>
      <c r="AL103" s="53" t="str">
        <f t="shared" si="134"/>
        <v>011593617</v>
      </c>
      <c r="AM103" s="13" t="str">
        <f t="shared" si="135"/>
        <v>01153617</v>
      </c>
      <c r="AN103" s="15"/>
      <c r="AO103" s="51"/>
      <c r="AP103" s="13">
        <v>1</v>
      </c>
      <c r="AQ103" s="52" t="s">
        <v>49</v>
      </c>
      <c r="AR103" s="15"/>
      <c r="AS103" s="13"/>
      <c r="AT103" s="7"/>
      <c r="AU103" s="7"/>
      <c r="AV103" s="13">
        <f t="shared" si="136"/>
        <v>3617</v>
      </c>
      <c r="AW103" s="13" t="s">
        <v>991</v>
      </c>
      <c r="AX103" s="13" t="s">
        <v>420</v>
      </c>
      <c r="AY103" s="13" t="s">
        <v>421</v>
      </c>
      <c r="AZ103" s="15" t="s">
        <v>334</v>
      </c>
      <c r="BA103" s="14" t="s">
        <v>154</v>
      </c>
      <c r="BB103" s="21">
        <v>1</v>
      </c>
      <c r="BC103" s="20">
        <f t="shared" si="137"/>
        <v>3617</v>
      </c>
      <c r="BD103" s="16" t="s">
        <v>992</v>
      </c>
      <c r="BE103" s="16" t="s">
        <v>391</v>
      </c>
      <c r="BF103" s="16" t="s">
        <v>391</v>
      </c>
      <c r="BG103" s="18" t="s">
        <v>993</v>
      </c>
      <c r="BH103" s="20" t="str">
        <f t="shared" si="138"/>
        <v>3617_1</v>
      </c>
      <c r="BI103" s="21"/>
      <c r="BJ103" s="21" t="str">
        <f t="shared" si="139"/>
        <v>100000003617</v>
      </c>
      <c r="BK103" s="16" t="s">
        <v>51</v>
      </c>
      <c r="BL103" s="16" t="s">
        <v>54</v>
      </c>
      <c r="BM103" s="20" t="s">
        <v>411</v>
      </c>
      <c r="BN103" s="16" t="s">
        <v>51</v>
      </c>
      <c r="BO103" s="20" t="str">
        <f t="shared" si="140"/>
        <v>S05S3617</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DS_Pass-3617</v>
      </c>
      <c r="DO103" s="40"/>
      <c r="DP103" s="40"/>
      <c r="DQ103" s="40"/>
      <c r="DR103" s="41"/>
      <c r="DS103" s="41"/>
      <c r="DT103" s="40"/>
      <c r="DU103" s="40"/>
      <c r="DV103" s="40"/>
      <c r="DW103" s="41"/>
      <c r="DX103" s="40"/>
      <c r="DY103" s="40"/>
      <c r="DZ103" s="37" t="s">
        <v>402</v>
      </c>
      <c r="EA103" s="39"/>
      <c r="EB103" s="37"/>
      <c r="EC103" s="37"/>
      <c r="ED103" s="16"/>
      <c r="EE103" s="1"/>
      <c r="EF103" s="54"/>
    </row>
    <row r="104" spans="1:136" x14ac:dyDescent="0.2">
      <c r="A104" s="209" t="s">
        <v>988</v>
      </c>
      <c r="B104" s="209" t="s">
        <v>892</v>
      </c>
      <c r="C104" s="209" t="s">
        <v>865</v>
      </c>
      <c r="D104" s="13">
        <f>'Run Parameters'!$B$1 + ROW()-1</f>
        <v>3618</v>
      </c>
      <c r="E104" s="15" t="s">
        <v>47</v>
      </c>
      <c r="F104" s="18" t="s">
        <v>993</v>
      </c>
      <c r="G104" s="13" t="str">
        <f t="shared" si="124"/>
        <v>Access Dtls-3618</v>
      </c>
      <c r="H104" s="15" t="s">
        <v>275</v>
      </c>
      <c r="I104" s="13" t="str">
        <f>("MR. Test_103_INST5_"&amp;D104&amp;"")</f>
        <v>MR. Test_103_INST5_3618</v>
      </c>
      <c r="J104" s="18"/>
      <c r="K104" s="19" t="s">
        <v>425</v>
      </c>
      <c r="L104" s="13" t="str">
        <f t="shared" si="125"/>
        <v>Cust. Ref-3618</v>
      </c>
      <c r="M104" s="15" t="s">
        <v>48</v>
      </c>
      <c r="N104" s="15" t="s">
        <v>425</v>
      </c>
      <c r="O104" s="13"/>
      <c r="P104" s="13" t="str">
        <f t="shared" si="126"/>
        <v>SN-3618</v>
      </c>
      <c r="Q104" s="13" t="str">
        <f t="shared" si="127"/>
        <v>SI-3618</v>
      </c>
      <c r="R104" s="13" t="str">
        <f t="shared" si="128"/>
        <v>SE-3618</v>
      </c>
      <c r="S104" s="53" t="str">
        <f t="shared" si="129"/>
        <v>Prev_RA-3618</v>
      </c>
      <c r="T104" s="53" t="str">
        <f t="shared" si="130"/>
        <v>Prev_Comms-3618</v>
      </c>
      <c r="U104" s="17" t="s">
        <v>75</v>
      </c>
      <c r="V104" s="15" t="s">
        <v>401</v>
      </c>
      <c r="W104" s="17" t="s">
        <v>75</v>
      </c>
      <c r="X104" s="15" t="s">
        <v>396</v>
      </c>
      <c r="Y104" s="13" t="str">
        <f t="shared" si="131"/>
        <v>Forward Add-3618</v>
      </c>
      <c r="Z104" s="15" t="s">
        <v>401</v>
      </c>
      <c r="AA104" s="133" t="str">
        <f>'Run Parameters'!$B$2</f>
        <v>2019-04-26 08:00</v>
      </c>
      <c r="AB104" s="213" t="str">
        <f>'Run Parameters'!B$3</f>
        <v>2019-04-26 18:00</v>
      </c>
      <c r="AC104" s="26">
        <f>('Run Parameters'!$B$2) - 7</f>
        <v>43574.333333333336</v>
      </c>
      <c r="AD104" s="17" t="s">
        <v>75</v>
      </c>
      <c r="AE104" s="18" t="str">
        <f t="shared" si="132"/>
        <v>LAST_METER-3618</v>
      </c>
      <c r="AF104" s="133" t="str">
        <f>'Run Parameters'!$B$2</f>
        <v>2019-04-26 08:00</v>
      </c>
      <c r="AG104" s="13" t="str">
        <f>'Run Parameters'!B$4</f>
        <v>AUTOTEST2</v>
      </c>
      <c r="AH104" s="53" t="str">
        <f t="shared" si="133"/>
        <v>Site_Contact_3618</v>
      </c>
      <c r="AI104" s="133" t="str">
        <f>'Run Parameters'!B$2</f>
        <v>2019-04-26 08:00</v>
      </c>
      <c r="AJ104" s="213" t="str">
        <f>'Run Parameters'!B$3</f>
        <v>2019-04-26 18:00</v>
      </c>
      <c r="AK104" s="13" t="s">
        <v>396</v>
      </c>
      <c r="AL104" s="53" t="str">
        <f t="shared" si="134"/>
        <v>011593618</v>
      </c>
      <c r="AM104" s="13" t="str">
        <f t="shared" si="135"/>
        <v>01153618</v>
      </c>
      <c r="AN104" s="15"/>
      <c r="AO104" s="51"/>
      <c r="AP104" s="13">
        <v>1</v>
      </c>
      <c r="AQ104" s="52" t="s">
        <v>49</v>
      </c>
      <c r="AR104" s="15"/>
      <c r="AS104" s="13"/>
      <c r="AT104" s="7"/>
      <c r="AU104" s="7"/>
      <c r="AV104" s="13">
        <f t="shared" si="136"/>
        <v>3618</v>
      </c>
      <c r="AW104" s="13" t="s">
        <v>991</v>
      </c>
      <c r="AX104" s="13" t="s">
        <v>420</v>
      </c>
      <c r="AY104" s="13" t="s">
        <v>421</v>
      </c>
      <c r="AZ104" s="15" t="s">
        <v>334</v>
      </c>
      <c r="BA104" s="14" t="s">
        <v>154</v>
      </c>
      <c r="BB104" s="21">
        <v>1</v>
      </c>
      <c r="BC104" s="20">
        <f t="shared" si="137"/>
        <v>3618</v>
      </c>
      <c r="BD104" s="16" t="s">
        <v>992</v>
      </c>
      <c r="BE104" s="16" t="s">
        <v>391</v>
      </c>
      <c r="BF104" s="16" t="s">
        <v>391</v>
      </c>
      <c r="BG104" s="18" t="s">
        <v>993</v>
      </c>
      <c r="BH104" s="20" t="str">
        <f t="shared" si="138"/>
        <v>3618_1</v>
      </c>
      <c r="BI104" s="21"/>
      <c r="BJ104" s="21" t="str">
        <f t="shared" si="139"/>
        <v>100000003618</v>
      </c>
      <c r="BK104" s="16" t="s">
        <v>51</v>
      </c>
      <c r="BL104" s="16" t="s">
        <v>54</v>
      </c>
      <c r="BM104" s="20" t="s">
        <v>411</v>
      </c>
      <c r="BN104" s="16" t="s">
        <v>51</v>
      </c>
      <c r="BO104" s="20" t="str">
        <f t="shared" si="140"/>
        <v>S05S3618</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DS_Pass-3618</v>
      </c>
      <c r="DO104" s="40"/>
      <c r="DP104" s="40"/>
      <c r="DQ104" s="40"/>
      <c r="DR104" s="41"/>
      <c r="DS104" s="41"/>
      <c r="DT104" s="40"/>
      <c r="DU104" s="40"/>
      <c r="DV104" s="40"/>
      <c r="DW104" s="41"/>
      <c r="DX104" s="40"/>
      <c r="DY104" s="40"/>
      <c r="DZ104" s="37" t="s">
        <v>402</v>
      </c>
      <c r="EA104" s="39"/>
      <c r="EB104" s="37"/>
      <c r="EC104" s="37"/>
      <c r="ED104" s="16"/>
      <c r="EE104" s="1"/>
      <c r="EF104" s="54"/>
    </row>
    <row r="105" spans="1:136" x14ac:dyDescent="0.2">
      <c r="A105" s="209" t="s">
        <v>989</v>
      </c>
      <c r="B105" s="209" t="s">
        <v>868</v>
      </c>
      <c r="C105" s="209" t="s">
        <v>865</v>
      </c>
      <c r="D105" s="13">
        <f>'Run Parameters'!$B$1 + ROW()-1</f>
        <v>3619</v>
      </c>
      <c r="E105" s="15" t="s">
        <v>47</v>
      </c>
      <c r="F105" s="18" t="s">
        <v>993</v>
      </c>
      <c r="G105" s="13" t="str">
        <f t="shared" si="124"/>
        <v>Access Dtls-3619</v>
      </c>
      <c r="H105" s="15" t="s">
        <v>275</v>
      </c>
      <c r="I105" s="13" t="str">
        <f>("MR. Test_104_INST5_"&amp;D105&amp;"")</f>
        <v>MR. Test_104_INST5_3619</v>
      </c>
      <c r="J105" s="18"/>
      <c r="K105" s="19" t="s">
        <v>425</v>
      </c>
      <c r="L105" s="13" t="str">
        <f t="shared" si="125"/>
        <v>Cust. Ref-3619</v>
      </c>
      <c r="M105" s="15" t="s">
        <v>48</v>
      </c>
      <c r="N105" s="15" t="s">
        <v>425</v>
      </c>
      <c r="O105" s="13"/>
      <c r="P105" s="13" t="str">
        <f t="shared" si="126"/>
        <v>SN-3619</v>
      </c>
      <c r="Q105" s="13" t="str">
        <f t="shared" si="127"/>
        <v>SI-3619</v>
      </c>
      <c r="R105" s="13" t="str">
        <f t="shared" si="128"/>
        <v>SE-3619</v>
      </c>
      <c r="S105" s="53" t="str">
        <f t="shared" si="129"/>
        <v>Prev_RA-3619</v>
      </c>
      <c r="T105" s="53" t="str">
        <f t="shared" si="130"/>
        <v>Prev_Comms-3619</v>
      </c>
      <c r="U105" s="17" t="s">
        <v>75</v>
      </c>
      <c r="V105" s="15" t="s">
        <v>401</v>
      </c>
      <c r="W105" s="17" t="s">
        <v>75</v>
      </c>
      <c r="X105" s="15" t="s">
        <v>396</v>
      </c>
      <c r="Y105" s="13" t="str">
        <f t="shared" si="131"/>
        <v>Forward Add-3619</v>
      </c>
      <c r="Z105" s="15" t="s">
        <v>401</v>
      </c>
      <c r="AA105" s="133" t="str">
        <f>'Run Parameters'!$B$2</f>
        <v>2019-04-26 08:00</v>
      </c>
      <c r="AB105" s="213" t="str">
        <f>'Run Parameters'!B$3</f>
        <v>2019-04-26 18:00</v>
      </c>
      <c r="AC105" s="26">
        <f>('Run Parameters'!$B$2) - 7</f>
        <v>43574.333333333336</v>
      </c>
      <c r="AD105" s="17" t="s">
        <v>75</v>
      </c>
      <c r="AE105" s="18" t="str">
        <f t="shared" si="132"/>
        <v>LAST_METER-3619</v>
      </c>
      <c r="AF105" s="133" t="str">
        <f>'Run Parameters'!$B$2</f>
        <v>2019-04-26 08:00</v>
      </c>
      <c r="AG105" s="13" t="str">
        <f>'Run Parameters'!B$4</f>
        <v>AUTOTEST2</v>
      </c>
      <c r="AH105" s="53" t="str">
        <f t="shared" si="133"/>
        <v>Site_Contact_3619</v>
      </c>
      <c r="AI105" s="133" t="str">
        <f>'Run Parameters'!B$2</f>
        <v>2019-04-26 08:00</v>
      </c>
      <c r="AJ105" s="213" t="str">
        <f>'Run Parameters'!B$3</f>
        <v>2019-04-26 18:00</v>
      </c>
      <c r="AK105" s="13" t="s">
        <v>396</v>
      </c>
      <c r="AL105" s="53" t="str">
        <f t="shared" si="134"/>
        <v>011593619</v>
      </c>
      <c r="AM105" s="13" t="str">
        <f t="shared" si="135"/>
        <v>01153619</v>
      </c>
      <c r="AN105" s="15"/>
      <c r="AO105" s="51"/>
      <c r="AP105" s="13">
        <v>1</v>
      </c>
      <c r="AQ105" s="52" t="s">
        <v>49</v>
      </c>
      <c r="AR105" s="15"/>
      <c r="AS105" s="13"/>
      <c r="AT105" s="7"/>
      <c r="AU105" s="7"/>
      <c r="AV105" s="13">
        <f t="shared" si="136"/>
        <v>3619</v>
      </c>
      <c r="AW105" s="13" t="s">
        <v>991</v>
      </c>
      <c r="AX105" s="13" t="s">
        <v>420</v>
      </c>
      <c r="AY105" s="13" t="s">
        <v>421</v>
      </c>
      <c r="AZ105" s="15" t="s">
        <v>334</v>
      </c>
      <c r="BA105" s="14" t="s">
        <v>154</v>
      </c>
      <c r="BB105" s="21">
        <v>1</v>
      </c>
      <c r="BC105" s="20">
        <f t="shared" si="137"/>
        <v>3619</v>
      </c>
      <c r="BD105" s="16" t="s">
        <v>992</v>
      </c>
      <c r="BE105" s="16" t="s">
        <v>391</v>
      </c>
      <c r="BF105" s="16" t="s">
        <v>391</v>
      </c>
      <c r="BG105" s="18" t="s">
        <v>993</v>
      </c>
      <c r="BH105" s="20" t="str">
        <f t="shared" si="138"/>
        <v>3619_1</v>
      </c>
      <c r="BI105" s="21"/>
      <c r="BJ105" s="21" t="str">
        <f t="shared" si="139"/>
        <v>100000003619</v>
      </c>
      <c r="BK105" s="16" t="s">
        <v>51</v>
      </c>
      <c r="BL105" s="16" t="s">
        <v>54</v>
      </c>
      <c r="BM105" s="20" t="s">
        <v>411</v>
      </c>
      <c r="BN105" s="16" t="s">
        <v>51</v>
      </c>
      <c r="BO105" s="20" t="str">
        <f t="shared" si="140"/>
        <v>S05S3619</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DS_Pass-3619</v>
      </c>
      <c r="DO105" s="40"/>
      <c r="DP105" s="40"/>
      <c r="DQ105" s="40"/>
      <c r="DR105" s="41"/>
      <c r="DS105" s="41"/>
      <c r="DT105" s="40"/>
      <c r="DU105" s="40"/>
      <c r="DV105" s="40"/>
      <c r="DW105" s="41"/>
      <c r="DX105" s="40"/>
      <c r="DY105" s="40"/>
      <c r="DZ105" s="37" t="s">
        <v>402</v>
      </c>
      <c r="EA105" s="39"/>
      <c r="EB105" s="37"/>
      <c r="EC105" s="37"/>
      <c r="ED105" s="16"/>
      <c r="EE105" s="1"/>
      <c r="EF105" s="54"/>
    </row>
    <row r="106" spans="1:136" x14ac:dyDescent="0.2">
      <c r="A106" s="209" t="s">
        <v>990</v>
      </c>
      <c r="B106" s="209" t="s">
        <v>892</v>
      </c>
      <c r="C106" s="209" t="s">
        <v>865</v>
      </c>
      <c r="D106" s="13">
        <f>'Run Parameters'!$B$1 + ROW()-1</f>
        <v>3620</v>
      </c>
      <c r="E106" s="15" t="s">
        <v>47</v>
      </c>
      <c r="F106" s="18" t="s">
        <v>993</v>
      </c>
      <c r="G106" s="13" t="str">
        <f t="shared" si="124"/>
        <v>Access Dtls-3620</v>
      </c>
      <c r="H106" s="15" t="s">
        <v>275</v>
      </c>
      <c r="I106" s="13" t="str">
        <f>("MR. Test_105_INST5_"&amp;D106&amp;"")</f>
        <v>MR. Test_105_INST5_3620</v>
      </c>
      <c r="J106" s="18"/>
      <c r="K106" s="19" t="s">
        <v>425</v>
      </c>
      <c r="L106" s="13" t="str">
        <f t="shared" si="125"/>
        <v>Cust. Ref-3620</v>
      </c>
      <c r="M106" s="15" t="s">
        <v>48</v>
      </c>
      <c r="N106" s="15" t="s">
        <v>425</v>
      </c>
      <c r="O106" s="13"/>
      <c r="P106" s="13" t="str">
        <f t="shared" si="126"/>
        <v>SN-3620</v>
      </c>
      <c r="Q106" s="13" t="str">
        <f t="shared" si="127"/>
        <v>SI-3620</v>
      </c>
      <c r="R106" s="13" t="str">
        <f t="shared" si="128"/>
        <v>SE-3620</v>
      </c>
      <c r="S106" s="53" t="str">
        <f t="shared" si="129"/>
        <v>Prev_RA-3620</v>
      </c>
      <c r="T106" s="53" t="str">
        <f t="shared" si="130"/>
        <v>Prev_Comms-3620</v>
      </c>
      <c r="U106" s="17" t="s">
        <v>75</v>
      </c>
      <c r="V106" s="15" t="s">
        <v>401</v>
      </c>
      <c r="W106" s="17" t="s">
        <v>75</v>
      </c>
      <c r="X106" s="15" t="s">
        <v>396</v>
      </c>
      <c r="Y106" s="13" t="str">
        <f t="shared" si="131"/>
        <v>Forward Add-3620</v>
      </c>
      <c r="Z106" s="15" t="s">
        <v>401</v>
      </c>
      <c r="AA106" s="133" t="str">
        <f>'Run Parameters'!$B$2</f>
        <v>2019-04-26 08:00</v>
      </c>
      <c r="AB106" s="213" t="str">
        <f>'Run Parameters'!B$3</f>
        <v>2019-04-26 18:00</v>
      </c>
      <c r="AC106" s="26">
        <f>('Run Parameters'!$B$2) - 7</f>
        <v>43574.333333333336</v>
      </c>
      <c r="AD106" s="17" t="s">
        <v>75</v>
      </c>
      <c r="AE106" s="18" t="str">
        <f t="shared" si="132"/>
        <v>LAST_METER-3620</v>
      </c>
      <c r="AF106" s="133" t="str">
        <f>'Run Parameters'!$B$2</f>
        <v>2019-04-26 08:00</v>
      </c>
      <c r="AG106" s="13" t="str">
        <f>'Run Parameters'!B$4</f>
        <v>AUTOTEST2</v>
      </c>
      <c r="AH106" s="53" t="str">
        <f t="shared" si="133"/>
        <v>Site_Contact_3620</v>
      </c>
      <c r="AI106" s="133" t="str">
        <f>'Run Parameters'!B$2</f>
        <v>2019-04-26 08:00</v>
      </c>
      <c r="AJ106" s="213" t="str">
        <f>'Run Parameters'!B$3</f>
        <v>2019-04-26 18:00</v>
      </c>
      <c r="AK106" s="13" t="s">
        <v>396</v>
      </c>
      <c r="AL106" s="53" t="str">
        <f t="shared" si="134"/>
        <v>011593620</v>
      </c>
      <c r="AM106" s="13" t="str">
        <f t="shared" si="135"/>
        <v>01153620</v>
      </c>
      <c r="AN106" s="15"/>
      <c r="AO106" s="51"/>
      <c r="AP106" s="13">
        <v>1</v>
      </c>
      <c r="AQ106" s="52" t="s">
        <v>49</v>
      </c>
      <c r="AR106" s="15"/>
      <c r="AS106" s="13"/>
      <c r="AT106" s="7"/>
      <c r="AU106" s="7"/>
      <c r="AV106" s="13">
        <f t="shared" si="136"/>
        <v>3620</v>
      </c>
      <c r="AW106" s="13" t="s">
        <v>991</v>
      </c>
      <c r="AX106" s="13" t="s">
        <v>420</v>
      </c>
      <c r="AY106" s="13" t="s">
        <v>421</v>
      </c>
      <c r="AZ106" s="15" t="s">
        <v>334</v>
      </c>
      <c r="BA106" s="14" t="s">
        <v>154</v>
      </c>
      <c r="BB106" s="21">
        <v>1</v>
      </c>
      <c r="BC106" s="20">
        <f t="shared" si="137"/>
        <v>3620</v>
      </c>
      <c r="BD106" s="16" t="s">
        <v>992</v>
      </c>
      <c r="BE106" s="16" t="s">
        <v>391</v>
      </c>
      <c r="BF106" s="16" t="s">
        <v>391</v>
      </c>
      <c r="BG106" s="18" t="s">
        <v>993</v>
      </c>
      <c r="BH106" s="20" t="str">
        <f t="shared" si="138"/>
        <v>3620_1</v>
      </c>
      <c r="BI106" s="21"/>
      <c r="BJ106" s="21" t="str">
        <f t="shared" si="139"/>
        <v>100000003620</v>
      </c>
      <c r="BK106" s="16" t="s">
        <v>51</v>
      </c>
      <c r="BL106" s="16" t="s">
        <v>54</v>
      </c>
      <c r="BM106" s="20" t="s">
        <v>411</v>
      </c>
      <c r="BN106" s="16" t="s">
        <v>51</v>
      </c>
      <c r="BO106" s="20" t="str">
        <f t="shared" si="140"/>
        <v>S05S3620</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DS_Pass-3620</v>
      </c>
      <c r="DO106" s="40"/>
      <c r="DP106" s="40"/>
      <c r="DQ106" s="40"/>
      <c r="DR106" s="41"/>
      <c r="DS106" s="41"/>
      <c r="DT106" s="40"/>
      <c r="DU106" s="40"/>
      <c r="DV106" s="40"/>
      <c r="DW106" s="41"/>
      <c r="DX106" s="40"/>
      <c r="DY106" s="40"/>
      <c r="DZ106" s="37" t="s">
        <v>402</v>
      </c>
      <c r="EA106" s="39"/>
      <c r="EB106" s="37"/>
      <c r="EC106" s="37"/>
      <c r="ED106" s="16"/>
      <c r="EE106" s="1"/>
      <c r="EF106" s="54"/>
    </row>
    <row r="107" spans="1:136" x14ac:dyDescent="0.2">
      <c r="A107" s="209" t="s">
        <v>1096</v>
      </c>
      <c r="B107" s="209" t="s">
        <v>892</v>
      </c>
      <c r="C107" s="209" t="s">
        <v>865</v>
      </c>
      <c r="D107" s="13">
        <f>'Run Parameters'!$B$1 + ROW()-1</f>
        <v>3621</v>
      </c>
      <c r="E107" s="15" t="s">
        <v>47</v>
      </c>
      <c r="F107" s="18" t="s">
        <v>993</v>
      </c>
      <c r="G107" s="13" t="str">
        <f t="shared" si="124"/>
        <v>Access Dtls-3621</v>
      </c>
      <c r="H107" s="15" t="s">
        <v>275</v>
      </c>
      <c r="I107" s="13" t="str">
        <f>("MR. Test_106_INST5_"&amp;D107&amp;"")</f>
        <v>MR. Test_106_INST5_3621</v>
      </c>
      <c r="J107" s="18"/>
      <c r="K107" s="19" t="s">
        <v>425</v>
      </c>
      <c r="L107" s="13" t="str">
        <f t="shared" si="125"/>
        <v>Cust. Ref-3621</v>
      </c>
      <c r="M107" s="15" t="s">
        <v>48</v>
      </c>
      <c r="N107" s="15" t="s">
        <v>425</v>
      </c>
      <c r="O107" s="13"/>
      <c r="P107" s="13" t="str">
        <f t="shared" si="126"/>
        <v>SN-3621</v>
      </c>
      <c r="Q107" s="13" t="str">
        <f t="shared" si="127"/>
        <v>SI-3621</v>
      </c>
      <c r="R107" s="13" t="str">
        <f t="shared" si="128"/>
        <v>SE-3621</v>
      </c>
      <c r="S107" s="53" t="str">
        <f t="shared" si="129"/>
        <v>Prev_RA-3621</v>
      </c>
      <c r="T107" s="53" t="str">
        <f t="shared" si="130"/>
        <v>Prev_Comms-3621</v>
      </c>
      <c r="U107" s="17" t="s">
        <v>75</v>
      </c>
      <c r="V107" s="15" t="s">
        <v>401</v>
      </c>
      <c r="W107" s="17" t="s">
        <v>75</v>
      </c>
      <c r="X107" s="15" t="s">
        <v>1087</v>
      </c>
      <c r="Y107" s="13" t="str">
        <f t="shared" si="131"/>
        <v>Forward Add-3621</v>
      </c>
      <c r="Z107" s="15" t="s">
        <v>401</v>
      </c>
      <c r="AA107" s="133" t="str">
        <f>'Run Parameters'!$B$2</f>
        <v>2019-04-26 08:00</v>
      </c>
      <c r="AB107" s="213" t="str">
        <f>'Run Parameters'!B$3</f>
        <v>2019-04-26 18:00</v>
      </c>
      <c r="AC107" s="26">
        <f>('Run Parameters'!$B$2) - 7</f>
        <v>43574.333333333336</v>
      </c>
      <c r="AD107" s="17" t="s">
        <v>75</v>
      </c>
      <c r="AE107" s="18" t="str">
        <f t="shared" si="132"/>
        <v>LAST_METER-3621</v>
      </c>
      <c r="AF107" s="133" t="str">
        <f>'Run Parameters'!$B$2</f>
        <v>2019-04-26 08:00</v>
      </c>
      <c r="AG107" s="13" t="str">
        <f>'Run Parameters'!B$4</f>
        <v>AUTOTEST2</v>
      </c>
      <c r="AH107" s="53" t="str">
        <f t="shared" si="133"/>
        <v>Site_Contact_3621</v>
      </c>
      <c r="AI107" s="133" t="str">
        <f>'Run Parameters'!B$2</f>
        <v>2019-04-26 08:00</v>
      </c>
      <c r="AJ107" s="213" t="str">
        <f>'Run Parameters'!B$3</f>
        <v>2019-04-26 18:00</v>
      </c>
      <c r="AK107" s="13" t="s">
        <v>1087</v>
      </c>
      <c r="AL107" s="53" t="str">
        <f t="shared" si="134"/>
        <v>011593621</v>
      </c>
      <c r="AM107" s="13" t="str">
        <f t="shared" si="135"/>
        <v>01153621</v>
      </c>
      <c r="AN107" s="15"/>
      <c r="AO107" s="51"/>
      <c r="AP107" s="13">
        <v>1</v>
      </c>
      <c r="AQ107" s="52" t="s">
        <v>49</v>
      </c>
      <c r="AR107" s="15"/>
      <c r="AS107" s="13"/>
      <c r="AT107" s="7"/>
      <c r="AU107" s="7"/>
      <c r="AV107" s="13">
        <f t="shared" si="136"/>
        <v>3621</v>
      </c>
      <c r="AW107" s="13" t="s">
        <v>991</v>
      </c>
      <c r="AX107" s="13" t="s">
        <v>420</v>
      </c>
      <c r="AY107" s="13" t="s">
        <v>421</v>
      </c>
      <c r="AZ107" s="15" t="s">
        <v>334</v>
      </c>
      <c r="BA107" s="14" t="s">
        <v>154</v>
      </c>
      <c r="BB107" s="21">
        <v>1</v>
      </c>
      <c r="BC107" s="20">
        <f t="shared" si="137"/>
        <v>3621</v>
      </c>
      <c r="BD107" s="16" t="s">
        <v>1107</v>
      </c>
      <c r="BE107" s="16" t="s">
        <v>391</v>
      </c>
      <c r="BF107" s="16" t="s">
        <v>391</v>
      </c>
      <c r="BG107" s="18" t="s">
        <v>993</v>
      </c>
      <c r="BH107" s="20" t="str">
        <f t="shared" si="138"/>
        <v>3621_1</v>
      </c>
      <c r="BI107" s="21"/>
      <c r="BJ107" s="21" t="str">
        <f t="shared" si="139"/>
        <v>100000003621</v>
      </c>
      <c r="BK107" s="16" t="s">
        <v>51</v>
      </c>
      <c r="BL107" s="16" t="s">
        <v>54</v>
      </c>
      <c r="BM107" s="20" t="s">
        <v>411</v>
      </c>
      <c r="BN107" s="16" t="s">
        <v>51</v>
      </c>
      <c r="BO107" s="20" t="str">
        <f t="shared" si="140"/>
        <v>S05S3621</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1087</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DS_Pass-3621</v>
      </c>
      <c r="DO107" s="40"/>
      <c r="DP107" s="40"/>
      <c r="DQ107" s="40"/>
      <c r="DR107" s="41"/>
      <c r="DS107" s="41"/>
      <c r="DT107" s="40"/>
      <c r="DU107" s="40"/>
      <c r="DV107" s="40"/>
      <c r="DW107" s="41"/>
      <c r="DX107" s="40"/>
      <c r="DY107" s="40"/>
      <c r="DZ107" s="37" t="s">
        <v>402</v>
      </c>
      <c r="EA107" s="39"/>
      <c r="EB107" s="37"/>
      <c r="EC107" s="37"/>
      <c r="ED107" s="16"/>
      <c r="EE107" s="1"/>
      <c r="EF107" s="54"/>
    </row>
    <row r="108" spans="1:136" x14ac:dyDescent="0.2">
      <c r="A108" s="209" t="s">
        <v>1138</v>
      </c>
      <c r="B108" s="209" t="s">
        <v>892</v>
      </c>
      <c r="C108" s="209" t="s">
        <v>865</v>
      </c>
      <c r="D108" s="13">
        <f>'Run Parameters'!$B$1 + ROW()-1</f>
        <v>3622</v>
      </c>
      <c r="E108" s="15" t="s">
        <v>47</v>
      </c>
      <c r="F108" s="13" t="s">
        <v>1141</v>
      </c>
      <c r="G108" s="13" t="str">
        <f t="shared" si="124"/>
        <v>Access Dtls-3622</v>
      </c>
      <c r="H108" s="15" t="s">
        <v>275</v>
      </c>
      <c r="I108" s="13" t="str">
        <f>("MR. Test_219_INST8_"&amp;D108&amp;"")</f>
        <v>MR. Test_219_INST8_3622</v>
      </c>
      <c r="J108" s="13"/>
      <c r="K108" s="19" t="s">
        <v>425</v>
      </c>
      <c r="L108" s="13" t="str">
        <f t="shared" si="125"/>
        <v>Cust. Ref-3622</v>
      </c>
      <c r="M108" s="15" t="s">
        <v>48</v>
      </c>
      <c r="N108" s="15" t="s">
        <v>425</v>
      </c>
      <c r="O108" s="13"/>
      <c r="P108" s="13" t="str">
        <f t="shared" si="126"/>
        <v>SN-3622</v>
      </c>
      <c r="Q108" s="13" t="str">
        <f t="shared" si="127"/>
        <v>SI-3622</v>
      </c>
      <c r="R108" s="13" t="str">
        <f t="shared" si="128"/>
        <v>SE-3622</v>
      </c>
      <c r="S108" s="19" t="str">
        <f t="shared" si="129"/>
        <v>Prev_RA-3622</v>
      </c>
      <c r="T108" s="19" t="str">
        <f t="shared" si="130"/>
        <v>Prev_Comms-3622</v>
      </c>
      <c r="U108" s="17" t="s">
        <v>75</v>
      </c>
      <c r="V108" s="15" t="s">
        <v>401</v>
      </c>
      <c r="W108" s="17" t="s">
        <v>75</v>
      </c>
      <c r="X108" s="15" t="s">
        <v>1101</v>
      </c>
      <c r="Y108" s="13" t="str">
        <f t="shared" si="131"/>
        <v>Forward Add-3622</v>
      </c>
      <c r="Z108" s="15" t="s">
        <v>401</v>
      </c>
      <c r="AA108" s="133" t="str">
        <f>'Run Parameters'!$B$2</f>
        <v>2019-04-26 08:00</v>
      </c>
      <c r="AB108" s="213" t="str">
        <f>'Run Parameters'!B$3</f>
        <v>2019-04-26 18:00</v>
      </c>
      <c r="AC108" s="26">
        <f>('Run Parameters'!$B$2) - 7</f>
        <v>43574.333333333336</v>
      </c>
      <c r="AD108" s="17" t="s">
        <v>75</v>
      </c>
      <c r="AE108" s="13" t="str">
        <f t="shared" si="132"/>
        <v>LAST_METER-3622</v>
      </c>
      <c r="AF108" s="133" t="str">
        <f>'Run Parameters'!$B$2</f>
        <v>2019-04-26 08:00</v>
      </c>
      <c r="AG108" s="13" t="str">
        <f>'Run Parameters'!B$4</f>
        <v>AUTOTEST2</v>
      </c>
      <c r="AH108" s="19" t="str">
        <f t="shared" si="133"/>
        <v>Site_Contact_3622</v>
      </c>
      <c r="AI108" s="133" t="str">
        <f>'Run Parameters'!B$2</f>
        <v>2019-04-26 08:00</v>
      </c>
      <c r="AJ108" s="213" t="str">
        <f>'Run Parameters'!B$3</f>
        <v>2019-04-26 18:00</v>
      </c>
      <c r="AK108" s="13" t="s">
        <v>1101</v>
      </c>
      <c r="AL108" s="19" t="str">
        <f t="shared" si="134"/>
        <v>011593622</v>
      </c>
      <c r="AM108" s="13" t="str">
        <f t="shared" si="135"/>
        <v>01153622</v>
      </c>
      <c r="AN108" s="15"/>
      <c r="AO108" s="15"/>
      <c r="AP108" s="13">
        <v>1</v>
      </c>
      <c r="AQ108" s="15" t="s">
        <v>49</v>
      </c>
      <c r="AR108" s="15"/>
      <c r="AS108" s="13"/>
      <c r="AT108" s="12" t="s">
        <v>1122</v>
      </c>
      <c r="AU108" s="12"/>
      <c r="AV108" s="13">
        <f t="shared" si="136"/>
        <v>3622</v>
      </c>
      <c r="AW108" s="13" t="s">
        <v>1139</v>
      </c>
      <c r="AX108" s="13" t="s">
        <v>420</v>
      </c>
      <c r="AY108" s="13" t="s">
        <v>421</v>
      </c>
      <c r="AZ108" s="15" t="s">
        <v>334</v>
      </c>
      <c r="BA108" s="15" t="s">
        <v>154</v>
      </c>
      <c r="BB108" s="21">
        <v>1</v>
      </c>
      <c r="BC108" s="21">
        <f t="shared" si="137"/>
        <v>3622</v>
      </c>
      <c r="BD108" s="17" t="s">
        <v>1140</v>
      </c>
      <c r="BE108" s="15" t="s">
        <v>390</v>
      </c>
      <c r="BF108" s="16" t="s">
        <v>391</v>
      </c>
      <c r="BG108" s="21" t="s">
        <v>1141</v>
      </c>
      <c r="BH108" s="21" t="str">
        <f t="shared" si="138"/>
        <v>3622_1</v>
      </c>
      <c r="BI108" s="21"/>
      <c r="BJ108" s="21" t="str">
        <f t="shared" si="139"/>
        <v>100000003622</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1101</v>
      </c>
      <c r="CF108" s="17" t="s">
        <v>398</v>
      </c>
      <c r="CG108" s="17" t="s">
        <v>1142</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DS_Pass-3622</v>
      </c>
      <c r="DO108" s="40"/>
      <c r="DP108" s="40"/>
      <c r="DQ108" s="40"/>
      <c r="DR108" s="41"/>
      <c r="DS108" s="41"/>
      <c r="DT108" s="40"/>
      <c r="DU108" s="40"/>
      <c r="DV108" s="40"/>
      <c r="DW108" s="41"/>
      <c r="DX108" s="40"/>
      <c r="DY108" s="40"/>
      <c r="DZ108" s="37" t="s">
        <v>402</v>
      </c>
      <c r="EA108" s="39"/>
      <c r="EB108" s="37"/>
      <c r="EC108" s="37"/>
      <c r="ED108" s="16"/>
      <c r="EE108" s="242"/>
    </row>
    <row r="109" spans="1:136" s="219" customFormat="1" x14ac:dyDescent="0.2">
      <c r="A109" s="209" t="s">
        <v>1143</v>
      </c>
      <c r="B109" s="209" t="s">
        <v>892</v>
      </c>
      <c r="C109" s="209" t="s">
        <v>865</v>
      </c>
      <c r="D109" s="13">
        <f>'Run Parameters'!$B$1 + ROW()-1</f>
        <v>3623</v>
      </c>
      <c r="E109" s="15" t="s">
        <v>47</v>
      </c>
      <c r="F109" s="13" t="s">
        <v>1141</v>
      </c>
      <c r="G109" s="13" t="str">
        <f t="shared" si="124"/>
        <v>Access Dtls-3623</v>
      </c>
      <c r="H109" s="15" t="s">
        <v>275</v>
      </c>
      <c r="I109" s="13" t="str">
        <f>("MR. Test_220_INST8_"&amp;D109&amp;"")</f>
        <v>MR. Test_220_INST8_3623</v>
      </c>
      <c r="J109" s="13"/>
      <c r="K109" s="19" t="s">
        <v>425</v>
      </c>
      <c r="L109" s="13" t="str">
        <f t="shared" si="125"/>
        <v>Cust. Ref-3623</v>
      </c>
      <c r="M109" s="15" t="s">
        <v>48</v>
      </c>
      <c r="N109" s="15" t="s">
        <v>425</v>
      </c>
      <c r="O109" s="13"/>
      <c r="P109" s="13" t="str">
        <f t="shared" si="126"/>
        <v>SN-3623</v>
      </c>
      <c r="Q109" s="13" t="str">
        <f t="shared" si="127"/>
        <v>SI-3623</v>
      </c>
      <c r="R109" s="13" t="str">
        <f t="shared" si="128"/>
        <v>SE-3623</v>
      </c>
      <c r="S109" s="19" t="str">
        <f t="shared" si="129"/>
        <v>Prev_RA-3623</v>
      </c>
      <c r="T109" s="19" t="str">
        <f t="shared" si="130"/>
        <v>Prev_Comms-3623</v>
      </c>
      <c r="U109" s="15" t="s">
        <v>75</v>
      </c>
      <c r="V109" s="15" t="s">
        <v>401</v>
      </c>
      <c r="W109" s="15" t="s">
        <v>75</v>
      </c>
      <c r="X109" s="15" t="s">
        <v>1101</v>
      </c>
      <c r="Y109" s="13" t="str">
        <f t="shared" si="131"/>
        <v>Forward Add-3623</v>
      </c>
      <c r="Z109" s="15" t="s">
        <v>401</v>
      </c>
      <c r="AA109" s="133" t="str">
        <f>'Run Parameters'!$B$2</f>
        <v>2019-04-26 08:00</v>
      </c>
      <c r="AB109" s="213" t="str">
        <f>'Run Parameters'!B$3</f>
        <v>2019-04-26 18:00</v>
      </c>
      <c r="AC109" s="26">
        <f>('Run Parameters'!$B$2) - 7</f>
        <v>43574.333333333336</v>
      </c>
      <c r="AD109" s="15" t="s">
        <v>75</v>
      </c>
      <c r="AE109" s="13" t="str">
        <f t="shared" si="132"/>
        <v>LAST_METER-3623</v>
      </c>
      <c r="AF109" s="133" t="str">
        <f>'Run Parameters'!$B$2</f>
        <v>2019-04-26 08:00</v>
      </c>
      <c r="AG109" s="13" t="str">
        <f>'Run Parameters'!B$4</f>
        <v>AUTOTEST2</v>
      </c>
      <c r="AH109" s="19" t="str">
        <f t="shared" si="133"/>
        <v>Site_Contact_3623</v>
      </c>
      <c r="AI109" s="133" t="str">
        <f>'Run Parameters'!B$2</f>
        <v>2019-04-26 08:00</v>
      </c>
      <c r="AJ109" s="213" t="str">
        <f>'Run Parameters'!B$3</f>
        <v>2019-04-26 18:00</v>
      </c>
      <c r="AK109" s="13" t="s">
        <v>1101</v>
      </c>
      <c r="AL109" s="19" t="str">
        <f t="shared" si="134"/>
        <v>011593623</v>
      </c>
      <c r="AM109" s="13" t="str">
        <f t="shared" si="135"/>
        <v>01153623</v>
      </c>
      <c r="AN109" s="15"/>
      <c r="AO109" s="15"/>
      <c r="AP109" s="13">
        <v>1</v>
      </c>
      <c r="AQ109" s="15" t="s">
        <v>49</v>
      </c>
      <c r="AR109" s="15"/>
      <c r="AS109" s="13"/>
      <c r="AT109" s="15" t="s">
        <v>845</v>
      </c>
      <c r="AU109" s="15"/>
      <c r="AV109" s="13">
        <f t="shared" si="136"/>
        <v>3623</v>
      </c>
      <c r="AW109" s="13" t="s">
        <v>1139</v>
      </c>
      <c r="AX109" s="13" t="s">
        <v>420</v>
      </c>
      <c r="AY109" s="13" t="s">
        <v>421</v>
      </c>
      <c r="AZ109" s="15" t="s">
        <v>334</v>
      </c>
      <c r="BA109" s="15" t="s">
        <v>154</v>
      </c>
      <c r="BB109" s="13">
        <v>1</v>
      </c>
      <c r="BC109" s="13">
        <f t="shared" si="137"/>
        <v>3623</v>
      </c>
      <c r="BD109" s="17" t="s">
        <v>1140</v>
      </c>
      <c r="BE109" s="15" t="s">
        <v>390</v>
      </c>
      <c r="BF109" s="16" t="s">
        <v>391</v>
      </c>
      <c r="BG109" s="13" t="s">
        <v>1141</v>
      </c>
      <c r="BH109" s="13" t="str">
        <f t="shared" si="138"/>
        <v>3623_1</v>
      </c>
      <c r="BI109" s="13"/>
      <c r="BJ109" s="13" t="str">
        <f t="shared" si="139"/>
        <v>100000003623</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1101</v>
      </c>
      <c r="CF109" s="15" t="s">
        <v>398</v>
      </c>
      <c r="CG109" s="17" t="s">
        <v>1142</v>
      </c>
      <c r="CH109" s="15" t="s">
        <v>159</v>
      </c>
      <c r="CI109" s="13"/>
      <c r="CJ109" s="13"/>
      <c r="CK109" s="15"/>
      <c r="CL109" s="15"/>
      <c r="CM109" s="15"/>
      <c r="CN109" s="13"/>
      <c r="CO109" s="13"/>
      <c r="CP109" s="15"/>
      <c r="CQ109" s="13"/>
      <c r="CR109" s="13"/>
      <c r="CS109" s="15"/>
      <c r="CT109" s="217"/>
      <c r="CU109" s="13"/>
      <c r="CV109" s="15"/>
      <c r="CW109" s="15"/>
      <c r="CX109" s="15"/>
      <c r="CY109" s="15"/>
      <c r="CZ109" s="15"/>
      <c r="DA109" s="15"/>
      <c r="DB109" s="13"/>
      <c r="DC109" s="15"/>
      <c r="DD109" s="15"/>
      <c r="DE109" s="15"/>
      <c r="DF109" s="15"/>
      <c r="DG109" s="15"/>
      <c r="DH109" s="15"/>
      <c r="DI109" s="15"/>
      <c r="DJ109" s="15"/>
      <c r="DK109" s="15"/>
      <c r="DL109" s="218"/>
      <c r="DM109" s="218"/>
      <c r="DN109" s="13" t="str">
        <f t="shared" ref="DN109:DN115" si="141">("DS_Pass-" &amp; $D109)</f>
        <v>DS_Pass-3623</v>
      </c>
      <c r="DO109" s="15"/>
      <c r="DP109" s="15"/>
      <c r="DQ109" s="15"/>
      <c r="DR109" s="13"/>
      <c r="DS109" s="13"/>
      <c r="DT109" s="15"/>
      <c r="DU109" s="15"/>
      <c r="DV109" s="15"/>
      <c r="DW109" s="13"/>
      <c r="DX109" s="15"/>
      <c r="DY109" s="15"/>
      <c r="DZ109" s="15" t="s">
        <v>402</v>
      </c>
      <c r="EA109" s="19"/>
      <c r="EB109" s="15"/>
      <c r="EC109" s="218"/>
      <c r="ED109" s="218"/>
      <c r="EE109" s="218"/>
    </row>
    <row r="110" spans="1:136" s="219" customFormat="1" x14ac:dyDescent="0.2">
      <c r="A110" s="209" t="s">
        <v>1148</v>
      </c>
      <c r="B110" s="209" t="s">
        <v>892</v>
      </c>
      <c r="C110" s="209" t="s">
        <v>865</v>
      </c>
      <c r="D110" s="13">
        <f>'Run Parameters'!$B$1 + ROW()-1</f>
        <v>3624</v>
      </c>
      <c r="E110" s="15" t="s">
        <v>47</v>
      </c>
      <c r="F110" s="13" t="s">
        <v>1141</v>
      </c>
      <c r="G110" s="13" t="str">
        <f t="shared" si="124"/>
        <v>Access Dtls-3624</v>
      </c>
      <c r="H110" s="15" t="s">
        <v>275</v>
      </c>
      <c r="I110" s="13" t="str">
        <f>("MR. Test_221_INST8_"&amp;D110&amp;"")</f>
        <v>MR. Test_221_INST8_3624</v>
      </c>
      <c r="J110" s="13"/>
      <c r="K110" s="19" t="s">
        <v>425</v>
      </c>
      <c r="L110" s="13" t="str">
        <f t="shared" si="125"/>
        <v>Cust. Ref-3624</v>
      </c>
      <c r="M110" s="15" t="s">
        <v>48</v>
      </c>
      <c r="N110" s="15" t="s">
        <v>425</v>
      </c>
      <c r="O110" s="13"/>
      <c r="P110" s="13" t="str">
        <f t="shared" si="126"/>
        <v>SN-3624</v>
      </c>
      <c r="Q110" s="13" t="str">
        <f t="shared" si="127"/>
        <v>SI-3624</v>
      </c>
      <c r="R110" s="13" t="str">
        <f t="shared" si="128"/>
        <v>SE-3624</v>
      </c>
      <c r="S110" s="19" t="str">
        <f t="shared" si="129"/>
        <v>Prev_RA-3624</v>
      </c>
      <c r="T110" s="19" t="str">
        <f t="shared" si="130"/>
        <v>Prev_Comms-3624</v>
      </c>
      <c r="U110" s="15" t="s">
        <v>75</v>
      </c>
      <c r="V110" s="15" t="s">
        <v>401</v>
      </c>
      <c r="W110" s="15" t="s">
        <v>75</v>
      </c>
      <c r="X110" s="15" t="s">
        <v>1101</v>
      </c>
      <c r="Y110" s="13" t="str">
        <f t="shared" si="131"/>
        <v>Forward Add-3624</v>
      </c>
      <c r="Z110" s="15" t="s">
        <v>401</v>
      </c>
      <c r="AA110" s="133" t="str">
        <f>'Run Parameters'!$B$2</f>
        <v>2019-04-26 08:00</v>
      </c>
      <c r="AB110" s="213" t="str">
        <f>'Run Parameters'!B$3</f>
        <v>2019-04-26 18:00</v>
      </c>
      <c r="AC110" s="26">
        <f>('Run Parameters'!$B$2) - 7</f>
        <v>43574.333333333336</v>
      </c>
      <c r="AD110" s="15" t="s">
        <v>75</v>
      </c>
      <c r="AE110" s="13" t="str">
        <f t="shared" si="132"/>
        <v>LAST_METER-3624</v>
      </c>
      <c r="AF110" s="133" t="str">
        <f>'Run Parameters'!$B$2</f>
        <v>2019-04-26 08:00</v>
      </c>
      <c r="AG110" s="13" t="str">
        <f>'Run Parameters'!B$4</f>
        <v>AUTOTEST2</v>
      </c>
      <c r="AH110" s="19" t="str">
        <f t="shared" si="133"/>
        <v>Site_Contact_3624</v>
      </c>
      <c r="AI110" s="133" t="str">
        <f>'Run Parameters'!B$2</f>
        <v>2019-04-26 08:00</v>
      </c>
      <c r="AJ110" s="213" t="str">
        <f>'Run Parameters'!B$3</f>
        <v>2019-04-26 18:00</v>
      </c>
      <c r="AK110" s="13" t="s">
        <v>1101</v>
      </c>
      <c r="AL110" s="19" t="str">
        <f t="shared" si="134"/>
        <v>011593624</v>
      </c>
      <c r="AM110" s="13" t="str">
        <f t="shared" si="135"/>
        <v>01153624</v>
      </c>
      <c r="AN110" s="15"/>
      <c r="AO110" s="15"/>
      <c r="AP110" s="13">
        <v>1</v>
      </c>
      <c r="AQ110" s="15" t="s">
        <v>49</v>
      </c>
      <c r="AR110" s="15"/>
      <c r="AS110" s="13"/>
      <c r="AT110" s="15" t="s">
        <v>1117</v>
      </c>
      <c r="AU110" s="15"/>
      <c r="AV110" s="13">
        <f t="shared" si="136"/>
        <v>3624</v>
      </c>
      <c r="AW110" s="13" t="s">
        <v>1139</v>
      </c>
      <c r="AX110" s="13" t="s">
        <v>420</v>
      </c>
      <c r="AY110" s="13" t="s">
        <v>421</v>
      </c>
      <c r="AZ110" s="15" t="s">
        <v>334</v>
      </c>
      <c r="BA110" s="15" t="s">
        <v>154</v>
      </c>
      <c r="BB110" s="13">
        <v>1</v>
      </c>
      <c r="BC110" s="13">
        <f t="shared" si="137"/>
        <v>3624</v>
      </c>
      <c r="BD110" s="17" t="s">
        <v>1140</v>
      </c>
      <c r="BE110" s="15" t="s">
        <v>390</v>
      </c>
      <c r="BF110" s="16" t="s">
        <v>391</v>
      </c>
      <c r="BG110" s="13" t="s">
        <v>1141</v>
      </c>
      <c r="BH110" s="13" t="str">
        <f t="shared" si="138"/>
        <v>3624_1</v>
      </c>
      <c r="BI110" s="13"/>
      <c r="BJ110" s="13" t="str">
        <f t="shared" si="139"/>
        <v>100000003624</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1101</v>
      </c>
      <c r="CF110" s="15" t="s">
        <v>398</v>
      </c>
      <c r="CG110" s="17" t="s">
        <v>1142</v>
      </c>
      <c r="CH110" s="15" t="s">
        <v>159</v>
      </c>
      <c r="CI110" s="13"/>
      <c r="CJ110" s="13"/>
      <c r="CK110" s="15"/>
      <c r="CL110" s="15"/>
      <c r="CM110" s="15"/>
      <c r="CN110" s="13"/>
      <c r="CO110" s="13"/>
      <c r="CP110" s="15"/>
      <c r="CQ110" s="13"/>
      <c r="CR110" s="13"/>
      <c r="CS110" s="15"/>
      <c r="CT110" s="217"/>
      <c r="CU110" s="13"/>
      <c r="CV110" s="15"/>
      <c r="CW110" s="15"/>
      <c r="CX110" s="15"/>
      <c r="CY110" s="15"/>
      <c r="CZ110" s="15"/>
      <c r="DA110" s="15"/>
      <c r="DB110" s="13"/>
      <c r="DC110" s="15"/>
      <c r="DD110" s="15"/>
      <c r="DE110" s="15"/>
      <c r="DF110" s="15"/>
      <c r="DG110" s="15"/>
      <c r="DH110" s="15"/>
      <c r="DI110" s="15"/>
      <c r="DJ110" s="15"/>
      <c r="DK110" s="15"/>
      <c r="DL110" s="218"/>
      <c r="DM110" s="218"/>
      <c r="DN110" s="13" t="str">
        <f t="shared" si="141"/>
        <v>DS_Pass-3624</v>
      </c>
      <c r="DO110" s="15"/>
      <c r="DP110" s="15"/>
      <c r="DQ110" s="15"/>
      <c r="DR110" s="13"/>
      <c r="DS110" s="13"/>
      <c r="DT110" s="15"/>
      <c r="DU110" s="15"/>
      <c r="DV110" s="15"/>
      <c r="DW110" s="13"/>
      <c r="DX110" s="15"/>
      <c r="DY110" s="15"/>
      <c r="DZ110" s="15" t="s">
        <v>402</v>
      </c>
      <c r="EA110" s="19"/>
      <c r="EB110" s="15"/>
      <c r="EC110" s="218"/>
      <c r="ED110" s="218"/>
      <c r="EE110" s="218"/>
    </row>
    <row r="111" spans="1:136" s="219" customFormat="1" x14ac:dyDescent="0.2">
      <c r="A111" s="209" t="s">
        <v>1144</v>
      </c>
      <c r="B111" s="209" t="s">
        <v>892</v>
      </c>
      <c r="C111" s="209" t="s">
        <v>865</v>
      </c>
      <c r="D111" s="13">
        <f>'Run Parameters'!$B$1 + ROW()-1</f>
        <v>3625</v>
      </c>
      <c r="E111" s="15" t="s">
        <v>47</v>
      </c>
      <c r="F111" s="13" t="s">
        <v>1141</v>
      </c>
      <c r="G111" s="13" t="str">
        <f t="shared" si="124"/>
        <v>Access Dtls-3625</v>
      </c>
      <c r="H111" s="15" t="s">
        <v>275</v>
      </c>
      <c r="I111" s="13" t="str">
        <f>("MR. Test_222_INST8_"&amp;D111&amp;"")</f>
        <v>MR. Test_222_INST8_3625</v>
      </c>
      <c r="J111" s="13"/>
      <c r="K111" s="19" t="s">
        <v>425</v>
      </c>
      <c r="L111" s="13" t="str">
        <f t="shared" si="125"/>
        <v>Cust. Ref-3625</v>
      </c>
      <c r="M111" s="15" t="s">
        <v>48</v>
      </c>
      <c r="N111" s="15" t="s">
        <v>425</v>
      </c>
      <c r="O111" s="13"/>
      <c r="P111" s="13" t="str">
        <f t="shared" si="126"/>
        <v>SN-3625</v>
      </c>
      <c r="Q111" s="13" t="str">
        <f t="shared" si="127"/>
        <v>SI-3625</v>
      </c>
      <c r="R111" s="13" t="str">
        <f t="shared" si="128"/>
        <v>SE-3625</v>
      </c>
      <c r="S111" s="19" t="str">
        <f t="shared" si="129"/>
        <v>Prev_RA-3625</v>
      </c>
      <c r="T111" s="19" t="str">
        <f t="shared" si="130"/>
        <v>Prev_Comms-3625</v>
      </c>
      <c r="U111" s="15" t="s">
        <v>75</v>
      </c>
      <c r="V111" s="15" t="s">
        <v>401</v>
      </c>
      <c r="W111" s="15" t="s">
        <v>75</v>
      </c>
      <c r="X111" s="15" t="s">
        <v>1101</v>
      </c>
      <c r="Y111" s="13" t="str">
        <f t="shared" si="131"/>
        <v>Forward Add-3625</v>
      </c>
      <c r="Z111" s="15" t="s">
        <v>401</v>
      </c>
      <c r="AA111" s="133" t="str">
        <f>'Run Parameters'!$B$2</f>
        <v>2019-04-26 08:00</v>
      </c>
      <c r="AB111" s="213" t="str">
        <f>'Run Parameters'!B$3</f>
        <v>2019-04-26 18:00</v>
      </c>
      <c r="AC111" s="26">
        <f>('Run Parameters'!$B$2) - 7</f>
        <v>43574.333333333336</v>
      </c>
      <c r="AD111" s="15" t="s">
        <v>75</v>
      </c>
      <c r="AE111" s="13" t="str">
        <f t="shared" si="132"/>
        <v>LAST_METER-3625</v>
      </c>
      <c r="AF111" s="133" t="str">
        <f>'Run Parameters'!$B$2</f>
        <v>2019-04-26 08:00</v>
      </c>
      <c r="AG111" s="13" t="str">
        <f>'Run Parameters'!B$4</f>
        <v>AUTOTEST2</v>
      </c>
      <c r="AH111" s="19" t="str">
        <f t="shared" si="133"/>
        <v>Site_Contact_3625</v>
      </c>
      <c r="AI111" s="133" t="str">
        <f>'Run Parameters'!B$2</f>
        <v>2019-04-26 08:00</v>
      </c>
      <c r="AJ111" s="213" t="str">
        <f>'Run Parameters'!B$3</f>
        <v>2019-04-26 18:00</v>
      </c>
      <c r="AK111" s="13" t="s">
        <v>1101</v>
      </c>
      <c r="AL111" s="19" t="str">
        <f t="shared" si="134"/>
        <v>011593625</v>
      </c>
      <c r="AM111" s="13" t="str">
        <f t="shared" si="135"/>
        <v>01153625</v>
      </c>
      <c r="AN111" s="15"/>
      <c r="AO111" s="15"/>
      <c r="AP111" s="13">
        <v>1</v>
      </c>
      <c r="AQ111" s="15" t="s">
        <v>49</v>
      </c>
      <c r="AR111" s="15"/>
      <c r="AS111" s="13"/>
      <c r="AT111" s="15" t="s">
        <v>1118</v>
      </c>
      <c r="AU111" s="15"/>
      <c r="AV111" s="13">
        <f t="shared" si="136"/>
        <v>3625</v>
      </c>
      <c r="AW111" s="13" t="s">
        <v>1139</v>
      </c>
      <c r="AX111" s="13" t="s">
        <v>420</v>
      </c>
      <c r="AY111" s="13" t="s">
        <v>421</v>
      </c>
      <c r="AZ111" s="15" t="s">
        <v>334</v>
      </c>
      <c r="BA111" s="15" t="s">
        <v>154</v>
      </c>
      <c r="BB111" s="13">
        <v>1</v>
      </c>
      <c r="BC111" s="13">
        <f t="shared" si="137"/>
        <v>3625</v>
      </c>
      <c r="BD111" s="17" t="s">
        <v>1140</v>
      </c>
      <c r="BE111" s="15" t="s">
        <v>390</v>
      </c>
      <c r="BF111" s="16" t="s">
        <v>391</v>
      </c>
      <c r="BG111" s="13" t="s">
        <v>1141</v>
      </c>
      <c r="BH111" s="13" t="str">
        <f t="shared" si="138"/>
        <v>3625_1</v>
      </c>
      <c r="BI111" s="13"/>
      <c r="BJ111" s="13" t="str">
        <f t="shared" si="139"/>
        <v>100000003625</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1101</v>
      </c>
      <c r="CF111" s="15" t="s">
        <v>398</v>
      </c>
      <c r="CG111" s="17" t="s">
        <v>1142</v>
      </c>
      <c r="CH111" s="15" t="s">
        <v>159</v>
      </c>
      <c r="CI111" s="13"/>
      <c r="CJ111" s="13"/>
      <c r="CK111" s="15"/>
      <c r="CL111" s="15"/>
      <c r="CM111" s="15"/>
      <c r="CN111" s="13"/>
      <c r="CO111" s="13"/>
      <c r="CP111" s="15"/>
      <c r="CQ111" s="13"/>
      <c r="CR111" s="13"/>
      <c r="CS111" s="15"/>
      <c r="CT111" s="217"/>
      <c r="CU111" s="13"/>
      <c r="CV111" s="15"/>
      <c r="CW111" s="15"/>
      <c r="CX111" s="15"/>
      <c r="CY111" s="15"/>
      <c r="CZ111" s="15"/>
      <c r="DA111" s="15"/>
      <c r="DB111" s="13"/>
      <c r="DC111" s="15"/>
      <c r="DD111" s="15"/>
      <c r="DE111" s="15"/>
      <c r="DF111" s="15"/>
      <c r="DG111" s="15"/>
      <c r="DH111" s="15"/>
      <c r="DI111" s="15"/>
      <c r="DJ111" s="15"/>
      <c r="DK111" s="15"/>
      <c r="DL111" s="218"/>
      <c r="DM111" s="218"/>
      <c r="DN111" s="13" t="str">
        <f t="shared" si="141"/>
        <v>DS_Pass-3625</v>
      </c>
      <c r="DO111" s="15"/>
      <c r="DP111" s="15"/>
      <c r="DQ111" s="15"/>
      <c r="DR111" s="13"/>
      <c r="DS111" s="13"/>
      <c r="DT111" s="15"/>
      <c r="DU111" s="15"/>
      <c r="DV111" s="15"/>
      <c r="DW111" s="13"/>
      <c r="DX111" s="15"/>
      <c r="DY111" s="15"/>
      <c r="DZ111" s="15" t="s">
        <v>402</v>
      </c>
      <c r="EA111" s="19"/>
      <c r="EB111" s="15"/>
      <c r="EC111" s="218"/>
      <c r="ED111" s="218"/>
      <c r="EE111" s="218"/>
    </row>
    <row r="112" spans="1:136" s="219" customFormat="1" x14ac:dyDescent="0.2">
      <c r="A112" s="209" t="s">
        <v>1145</v>
      </c>
      <c r="B112" s="209" t="s">
        <v>892</v>
      </c>
      <c r="C112" s="209" t="s">
        <v>865</v>
      </c>
      <c r="D112" s="13">
        <f>'Run Parameters'!$B$1 + ROW()-1</f>
        <v>3626</v>
      </c>
      <c r="E112" s="15" t="s">
        <v>47</v>
      </c>
      <c r="F112" s="13" t="s">
        <v>1141</v>
      </c>
      <c r="G112" s="13" t="str">
        <f t="shared" si="124"/>
        <v>Access Dtls-3626</v>
      </c>
      <c r="H112" s="15" t="s">
        <v>275</v>
      </c>
      <c r="I112" s="13" t="str">
        <f>("MR. Test_223_INST8_"&amp;D112&amp;"")</f>
        <v>MR. Test_223_INST8_3626</v>
      </c>
      <c r="J112" s="13"/>
      <c r="K112" s="19" t="s">
        <v>425</v>
      </c>
      <c r="L112" s="13" t="str">
        <f t="shared" si="125"/>
        <v>Cust. Ref-3626</v>
      </c>
      <c r="M112" s="15" t="s">
        <v>48</v>
      </c>
      <c r="N112" s="15" t="s">
        <v>425</v>
      </c>
      <c r="O112" s="13"/>
      <c r="P112" s="13" t="str">
        <f t="shared" si="126"/>
        <v>SN-3626</v>
      </c>
      <c r="Q112" s="13" t="str">
        <f t="shared" si="127"/>
        <v>SI-3626</v>
      </c>
      <c r="R112" s="13" t="str">
        <f t="shared" si="128"/>
        <v>SE-3626</v>
      </c>
      <c r="S112" s="19" t="str">
        <f t="shared" si="129"/>
        <v>Prev_RA-3626</v>
      </c>
      <c r="T112" s="19" t="str">
        <f t="shared" si="130"/>
        <v>Prev_Comms-3626</v>
      </c>
      <c r="U112" s="15" t="s">
        <v>75</v>
      </c>
      <c r="V112" s="15" t="s">
        <v>401</v>
      </c>
      <c r="W112" s="15" t="s">
        <v>75</v>
      </c>
      <c r="X112" s="15" t="s">
        <v>1101</v>
      </c>
      <c r="Y112" s="13" t="str">
        <f t="shared" si="131"/>
        <v>Forward Add-3626</v>
      </c>
      <c r="Z112" s="15" t="s">
        <v>401</v>
      </c>
      <c r="AA112" s="133" t="str">
        <f>'Run Parameters'!$B$2</f>
        <v>2019-04-26 08:00</v>
      </c>
      <c r="AB112" s="213" t="str">
        <f>'Run Parameters'!B$3</f>
        <v>2019-04-26 18:00</v>
      </c>
      <c r="AC112" s="26">
        <f>('Run Parameters'!$B$2) - 7</f>
        <v>43574.333333333336</v>
      </c>
      <c r="AD112" s="15" t="s">
        <v>75</v>
      </c>
      <c r="AE112" s="13" t="str">
        <f t="shared" si="132"/>
        <v>LAST_METER-3626</v>
      </c>
      <c r="AF112" s="133" t="str">
        <f>'Run Parameters'!$B$2</f>
        <v>2019-04-26 08:00</v>
      </c>
      <c r="AG112" s="13" t="str">
        <f>'Run Parameters'!B$4</f>
        <v>AUTOTEST2</v>
      </c>
      <c r="AH112" s="19" t="str">
        <f t="shared" si="133"/>
        <v>Site_Contact_3626</v>
      </c>
      <c r="AI112" s="133" t="str">
        <f>'Run Parameters'!B$2</f>
        <v>2019-04-26 08:00</v>
      </c>
      <c r="AJ112" s="213" t="str">
        <f>'Run Parameters'!B$3</f>
        <v>2019-04-26 18:00</v>
      </c>
      <c r="AK112" s="13" t="s">
        <v>1101</v>
      </c>
      <c r="AL112" s="19" t="str">
        <f t="shared" si="134"/>
        <v>011593626</v>
      </c>
      <c r="AM112" s="13" t="str">
        <f t="shared" si="135"/>
        <v>01153626</v>
      </c>
      <c r="AN112" s="15"/>
      <c r="AO112" s="15"/>
      <c r="AP112" s="13">
        <v>1</v>
      </c>
      <c r="AQ112" s="15" t="s">
        <v>49</v>
      </c>
      <c r="AR112" s="15"/>
      <c r="AS112" s="13"/>
      <c r="AT112" s="15" t="s">
        <v>1119</v>
      </c>
      <c r="AU112" s="15"/>
      <c r="AV112" s="13">
        <f t="shared" si="136"/>
        <v>3626</v>
      </c>
      <c r="AW112" s="13" t="s">
        <v>1139</v>
      </c>
      <c r="AX112" s="13" t="s">
        <v>420</v>
      </c>
      <c r="AY112" s="13" t="s">
        <v>421</v>
      </c>
      <c r="AZ112" s="15" t="s">
        <v>334</v>
      </c>
      <c r="BA112" s="15" t="s">
        <v>154</v>
      </c>
      <c r="BB112" s="13">
        <v>1</v>
      </c>
      <c r="BC112" s="13">
        <f t="shared" si="137"/>
        <v>3626</v>
      </c>
      <c r="BD112" s="17" t="s">
        <v>1140</v>
      </c>
      <c r="BE112" s="15" t="s">
        <v>390</v>
      </c>
      <c r="BF112" s="16" t="s">
        <v>391</v>
      </c>
      <c r="BG112" s="13" t="s">
        <v>1141</v>
      </c>
      <c r="BH112" s="13" t="str">
        <f t="shared" si="138"/>
        <v>3626_1</v>
      </c>
      <c r="BI112" s="13"/>
      <c r="BJ112" s="13" t="str">
        <f t="shared" si="139"/>
        <v>100000003626</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1101</v>
      </c>
      <c r="CF112" s="15" t="s">
        <v>398</v>
      </c>
      <c r="CG112" s="17" t="s">
        <v>1142</v>
      </c>
      <c r="CH112" s="15" t="s">
        <v>159</v>
      </c>
      <c r="CI112" s="13"/>
      <c r="CJ112" s="13"/>
      <c r="CK112" s="15"/>
      <c r="CL112" s="15"/>
      <c r="CM112" s="15"/>
      <c r="CN112" s="13"/>
      <c r="CO112" s="13"/>
      <c r="CP112" s="15"/>
      <c r="CQ112" s="13"/>
      <c r="CR112" s="13"/>
      <c r="CS112" s="15"/>
      <c r="CT112" s="217"/>
      <c r="CU112" s="13"/>
      <c r="CV112" s="15"/>
      <c r="CW112" s="15"/>
      <c r="CX112" s="15"/>
      <c r="CY112" s="15"/>
      <c r="CZ112" s="15"/>
      <c r="DA112" s="15"/>
      <c r="DB112" s="13"/>
      <c r="DC112" s="15"/>
      <c r="DD112" s="15"/>
      <c r="DE112" s="15"/>
      <c r="DF112" s="15"/>
      <c r="DG112" s="15"/>
      <c r="DH112" s="15"/>
      <c r="DI112" s="15"/>
      <c r="DJ112" s="15"/>
      <c r="DK112" s="15"/>
      <c r="DL112" s="218"/>
      <c r="DM112" s="218"/>
      <c r="DN112" s="13" t="str">
        <f t="shared" si="141"/>
        <v>DS_Pass-3626</v>
      </c>
      <c r="DO112" s="15"/>
      <c r="DP112" s="15"/>
      <c r="DQ112" s="15"/>
      <c r="DR112" s="13"/>
      <c r="DS112" s="13"/>
      <c r="DT112" s="15"/>
      <c r="DU112" s="15"/>
      <c r="DV112" s="15"/>
      <c r="DW112" s="13"/>
      <c r="DX112" s="15"/>
      <c r="DY112" s="15"/>
      <c r="DZ112" s="15" t="s">
        <v>402</v>
      </c>
      <c r="EA112" s="19"/>
      <c r="EB112" s="15"/>
      <c r="EC112" s="218"/>
      <c r="ED112" s="218"/>
      <c r="EE112" s="218"/>
    </row>
    <row r="113" spans="1:136" s="219" customFormat="1" x14ac:dyDescent="0.2">
      <c r="A113" s="209" t="s">
        <v>1146</v>
      </c>
      <c r="B113" s="209" t="s">
        <v>892</v>
      </c>
      <c r="C113" s="209" t="s">
        <v>865</v>
      </c>
      <c r="D113" s="13">
        <f>'Run Parameters'!$B$1 + ROW()-1</f>
        <v>3627</v>
      </c>
      <c r="E113" s="15" t="s">
        <v>47</v>
      </c>
      <c r="F113" s="13" t="s">
        <v>1141</v>
      </c>
      <c r="G113" s="13" t="str">
        <f t="shared" si="124"/>
        <v>Access Dtls-3627</v>
      </c>
      <c r="H113" s="15" t="s">
        <v>275</v>
      </c>
      <c r="I113" s="13" t="str">
        <f>("MR. Test_224_INST8_"&amp;D113&amp;"")</f>
        <v>MR. Test_224_INST8_3627</v>
      </c>
      <c r="J113" s="13"/>
      <c r="K113" s="19" t="s">
        <v>425</v>
      </c>
      <c r="L113" s="13" t="str">
        <f t="shared" si="125"/>
        <v>Cust. Ref-3627</v>
      </c>
      <c r="M113" s="15" t="s">
        <v>48</v>
      </c>
      <c r="N113" s="15" t="s">
        <v>425</v>
      </c>
      <c r="O113" s="13"/>
      <c r="P113" s="13" t="str">
        <f t="shared" si="126"/>
        <v>SN-3627</v>
      </c>
      <c r="Q113" s="13" t="str">
        <f t="shared" si="127"/>
        <v>SI-3627</v>
      </c>
      <c r="R113" s="13" t="str">
        <f t="shared" si="128"/>
        <v>SE-3627</v>
      </c>
      <c r="S113" s="19" t="str">
        <f t="shared" si="129"/>
        <v>Prev_RA-3627</v>
      </c>
      <c r="T113" s="19" t="str">
        <f t="shared" si="130"/>
        <v>Prev_Comms-3627</v>
      </c>
      <c r="U113" s="15" t="s">
        <v>75</v>
      </c>
      <c r="V113" s="15" t="s">
        <v>401</v>
      </c>
      <c r="W113" s="15" t="s">
        <v>75</v>
      </c>
      <c r="X113" s="15" t="s">
        <v>1101</v>
      </c>
      <c r="Y113" s="13" t="str">
        <f t="shared" si="131"/>
        <v>Forward Add-3627</v>
      </c>
      <c r="Z113" s="15" t="s">
        <v>401</v>
      </c>
      <c r="AA113" s="133" t="str">
        <f>'Run Parameters'!$B$2</f>
        <v>2019-04-26 08:00</v>
      </c>
      <c r="AB113" s="213" t="str">
        <f>'Run Parameters'!B$3</f>
        <v>2019-04-26 18:00</v>
      </c>
      <c r="AC113" s="26">
        <f>('Run Parameters'!$B$2) - 7</f>
        <v>43574.333333333336</v>
      </c>
      <c r="AD113" s="15" t="s">
        <v>75</v>
      </c>
      <c r="AE113" s="13" t="str">
        <f t="shared" si="132"/>
        <v>LAST_METER-3627</v>
      </c>
      <c r="AF113" s="133" t="str">
        <f>'Run Parameters'!$B$2</f>
        <v>2019-04-26 08:00</v>
      </c>
      <c r="AG113" s="13" t="str">
        <f>'Run Parameters'!B$4</f>
        <v>AUTOTEST2</v>
      </c>
      <c r="AH113" s="19" t="str">
        <f t="shared" si="133"/>
        <v>Site_Contact_3627</v>
      </c>
      <c r="AI113" s="133" t="str">
        <f>'Run Parameters'!B$2</f>
        <v>2019-04-26 08:00</v>
      </c>
      <c r="AJ113" s="213" t="str">
        <f>'Run Parameters'!B$3</f>
        <v>2019-04-26 18:00</v>
      </c>
      <c r="AK113" s="13" t="s">
        <v>1101</v>
      </c>
      <c r="AL113" s="19" t="str">
        <f t="shared" si="134"/>
        <v>011593627</v>
      </c>
      <c r="AM113" s="13" t="str">
        <f t="shared" si="135"/>
        <v>01153627</v>
      </c>
      <c r="AN113" s="15"/>
      <c r="AO113" s="15"/>
      <c r="AP113" s="13">
        <v>1</v>
      </c>
      <c r="AQ113" s="15" t="s">
        <v>49</v>
      </c>
      <c r="AR113" s="15"/>
      <c r="AS113" s="13"/>
      <c r="AT113" s="15" t="s">
        <v>1120</v>
      </c>
      <c r="AU113" s="15"/>
      <c r="AV113" s="13">
        <f t="shared" si="136"/>
        <v>3627</v>
      </c>
      <c r="AW113" s="13" t="s">
        <v>1139</v>
      </c>
      <c r="AX113" s="13" t="s">
        <v>420</v>
      </c>
      <c r="AY113" s="13" t="s">
        <v>421</v>
      </c>
      <c r="AZ113" s="15" t="s">
        <v>334</v>
      </c>
      <c r="BA113" s="15" t="s">
        <v>154</v>
      </c>
      <c r="BB113" s="13">
        <v>1</v>
      </c>
      <c r="BC113" s="13">
        <f t="shared" si="137"/>
        <v>3627</v>
      </c>
      <c r="BD113" s="17" t="s">
        <v>1140</v>
      </c>
      <c r="BE113" s="15" t="s">
        <v>390</v>
      </c>
      <c r="BF113" s="16" t="s">
        <v>391</v>
      </c>
      <c r="BG113" s="13" t="s">
        <v>1141</v>
      </c>
      <c r="BH113" s="13" t="str">
        <f t="shared" si="138"/>
        <v>3627_1</v>
      </c>
      <c r="BI113" s="13"/>
      <c r="BJ113" s="13" t="str">
        <f t="shared" si="139"/>
        <v>100000003627</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1101</v>
      </c>
      <c r="CF113" s="15" t="s">
        <v>398</v>
      </c>
      <c r="CG113" s="17" t="s">
        <v>1142</v>
      </c>
      <c r="CH113" s="15" t="s">
        <v>159</v>
      </c>
      <c r="CI113" s="13"/>
      <c r="CJ113" s="13"/>
      <c r="CK113" s="15"/>
      <c r="CL113" s="15"/>
      <c r="CM113" s="15"/>
      <c r="CN113" s="13"/>
      <c r="CO113" s="13"/>
      <c r="CP113" s="15"/>
      <c r="CQ113" s="13"/>
      <c r="CR113" s="13"/>
      <c r="CS113" s="15"/>
      <c r="CT113" s="217"/>
      <c r="CU113" s="13"/>
      <c r="CV113" s="15"/>
      <c r="CW113" s="15"/>
      <c r="CX113" s="15"/>
      <c r="CY113" s="15"/>
      <c r="CZ113" s="15"/>
      <c r="DA113" s="15"/>
      <c r="DB113" s="13"/>
      <c r="DC113" s="15"/>
      <c r="DD113" s="15"/>
      <c r="DE113" s="15"/>
      <c r="DF113" s="15"/>
      <c r="DG113" s="15"/>
      <c r="DH113" s="15"/>
      <c r="DI113" s="15"/>
      <c r="DJ113" s="15"/>
      <c r="DK113" s="15"/>
      <c r="DL113" s="218"/>
      <c r="DM113" s="218"/>
      <c r="DN113" s="13" t="str">
        <f t="shared" si="141"/>
        <v>DS_Pass-3627</v>
      </c>
      <c r="DO113" s="15"/>
      <c r="DP113" s="15"/>
      <c r="DQ113" s="15"/>
      <c r="DR113" s="13"/>
      <c r="DS113" s="13"/>
      <c r="DT113" s="15"/>
      <c r="DU113" s="15"/>
      <c r="DV113" s="15"/>
      <c r="DW113" s="13"/>
      <c r="DX113" s="15"/>
      <c r="DY113" s="15"/>
      <c r="DZ113" s="15" t="s">
        <v>402</v>
      </c>
      <c r="EA113" s="19"/>
      <c r="EB113" s="15"/>
      <c r="EC113" s="218"/>
      <c r="ED113" s="218"/>
      <c r="EE113" s="218"/>
    </row>
    <row r="114" spans="1:136" s="219" customFormat="1" x14ac:dyDescent="0.2">
      <c r="A114" s="209" t="s">
        <v>1156</v>
      </c>
      <c r="B114" s="209" t="s">
        <v>892</v>
      </c>
      <c r="C114" s="209" t="s">
        <v>865</v>
      </c>
      <c r="D114" s="13">
        <f>'Run Parameters'!$B$1 + ROW()-1</f>
        <v>3628</v>
      </c>
      <c r="E114" s="15" t="s">
        <v>47</v>
      </c>
      <c r="F114" s="13" t="s">
        <v>1141</v>
      </c>
      <c r="G114" s="13" t="str">
        <f t="shared" si="124"/>
        <v>Access Dtls-3628</v>
      </c>
      <c r="H114" s="15" t="s">
        <v>275</v>
      </c>
      <c r="I114" s="13" t="str">
        <f>("MR. Test_225_INST8_"&amp;D114&amp;"")</f>
        <v>MR. Test_225_INST8_3628</v>
      </c>
      <c r="J114" s="13"/>
      <c r="K114" s="19" t="s">
        <v>425</v>
      </c>
      <c r="L114" s="13" t="str">
        <f t="shared" si="125"/>
        <v>Cust. Ref-3628</v>
      </c>
      <c r="M114" s="15" t="s">
        <v>48</v>
      </c>
      <c r="N114" s="15" t="s">
        <v>425</v>
      </c>
      <c r="O114" s="13"/>
      <c r="P114" s="13" t="str">
        <f t="shared" si="126"/>
        <v>SN-3628</v>
      </c>
      <c r="Q114" s="13" t="str">
        <f t="shared" si="127"/>
        <v>SI-3628</v>
      </c>
      <c r="R114" s="13" t="str">
        <f t="shared" si="128"/>
        <v>SE-3628</v>
      </c>
      <c r="S114" s="19" t="str">
        <f t="shared" si="129"/>
        <v>Prev_RA-3628</v>
      </c>
      <c r="T114" s="19" t="str">
        <f t="shared" si="130"/>
        <v>Prev_Comms-3628</v>
      </c>
      <c r="U114" s="15" t="s">
        <v>75</v>
      </c>
      <c r="V114" s="15" t="s">
        <v>401</v>
      </c>
      <c r="W114" s="15" t="s">
        <v>75</v>
      </c>
      <c r="X114" s="15" t="s">
        <v>1101</v>
      </c>
      <c r="Y114" s="13" t="str">
        <f t="shared" si="131"/>
        <v>Forward Add-3628</v>
      </c>
      <c r="Z114" s="15" t="s">
        <v>401</v>
      </c>
      <c r="AA114" s="133" t="str">
        <f>'Run Parameters'!$B$2</f>
        <v>2019-04-26 08:00</v>
      </c>
      <c r="AB114" s="213" t="str">
        <f>'Run Parameters'!B$3</f>
        <v>2019-04-26 18:00</v>
      </c>
      <c r="AC114" s="26">
        <f>('Run Parameters'!$B$2) - 7</f>
        <v>43574.333333333336</v>
      </c>
      <c r="AD114" s="15" t="s">
        <v>75</v>
      </c>
      <c r="AE114" s="13" t="str">
        <f t="shared" si="132"/>
        <v>LAST_METER-3628</v>
      </c>
      <c r="AF114" s="133" t="str">
        <f>'Run Parameters'!$B$2</f>
        <v>2019-04-26 08:00</v>
      </c>
      <c r="AG114" s="13" t="str">
        <f>'Run Parameters'!B$4</f>
        <v>AUTOTEST2</v>
      </c>
      <c r="AH114" s="19" t="str">
        <f t="shared" si="133"/>
        <v>Site_Contact_3628</v>
      </c>
      <c r="AI114" s="133" t="str">
        <f>'Run Parameters'!B$2</f>
        <v>2019-04-26 08:00</v>
      </c>
      <c r="AJ114" s="213" t="str">
        <f>'Run Parameters'!B$3</f>
        <v>2019-04-26 18:00</v>
      </c>
      <c r="AK114" s="13" t="s">
        <v>1101</v>
      </c>
      <c r="AL114" s="19" t="str">
        <f t="shared" si="134"/>
        <v>011593628</v>
      </c>
      <c r="AM114" s="13" t="str">
        <f t="shared" si="135"/>
        <v>01153628</v>
      </c>
      <c r="AN114" s="15"/>
      <c r="AO114" s="15"/>
      <c r="AP114" s="13">
        <v>1</v>
      </c>
      <c r="AQ114" s="15" t="s">
        <v>49</v>
      </c>
      <c r="AR114" s="15"/>
      <c r="AS114" s="13"/>
      <c r="AT114" s="15" t="s">
        <v>1121</v>
      </c>
      <c r="AU114" s="15"/>
      <c r="AV114" s="13">
        <f t="shared" si="136"/>
        <v>3628</v>
      </c>
      <c r="AW114" s="13" t="s">
        <v>1139</v>
      </c>
      <c r="AX114" s="13" t="s">
        <v>420</v>
      </c>
      <c r="AY114" s="13" t="s">
        <v>421</v>
      </c>
      <c r="AZ114" s="15" t="s">
        <v>334</v>
      </c>
      <c r="BA114" s="15" t="s">
        <v>154</v>
      </c>
      <c r="BB114" s="13">
        <v>1</v>
      </c>
      <c r="BC114" s="13">
        <f t="shared" si="137"/>
        <v>3628</v>
      </c>
      <c r="BD114" s="17" t="s">
        <v>1140</v>
      </c>
      <c r="BE114" s="15" t="s">
        <v>390</v>
      </c>
      <c r="BF114" s="16" t="s">
        <v>391</v>
      </c>
      <c r="BG114" s="13" t="s">
        <v>1141</v>
      </c>
      <c r="BH114" s="13" t="str">
        <f t="shared" si="138"/>
        <v>3628_1</v>
      </c>
      <c r="BI114" s="13"/>
      <c r="BJ114" s="13" t="str">
        <f t="shared" si="139"/>
        <v>100000003628</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1101</v>
      </c>
      <c r="CF114" s="15" t="s">
        <v>398</v>
      </c>
      <c r="CG114" s="17" t="s">
        <v>1142</v>
      </c>
      <c r="CH114" s="15" t="s">
        <v>159</v>
      </c>
      <c r="CI114" s="13"/>
      <c r="CJ114" s="13"/>
      <c r="CK114" s="15"/>
      <c r="CL114" s="15"/>
      <c r="CM114" s="15"/>
      <c r="CN114" s="13"/>
      <c r="CO114" s="13"/>
      <c r="CP114" s="15"/>
      <c r="CQ114" s="13"/>
      <c r="CR114" s="13"/>
      <c r="CS114" s="15"/>
      <c r="CT114" s="217"/>
      <c r="CU114" s="13"/>
      <c r="CV114" s="15"/>
      <c r="CW114" s="15"/>
      <c r="CX114" s="15"/>
      <c r="CY114" s="15"/>
      <c r="CZ114" s="15"/>
      <c r="DA114" s="15"/>
      <c r="DB114" s="13"/>
      <c r="DC114" s="15"/>
      <c r="DD114" s="15"/>
      <c r="DE114" s="15"/>
      <c r="DF114" s="15"/>
      <c r="DG114" s="15"/>
      <c r="DH114" s="15"/>
      <c r="DI114" s="15"/>
      <c r="DJ114" s="15"/>
      <c r="DK114" s="15"/>
      <c r="DL114" s="218"/>
      <c r="DM114" s="218"/>
      <c r="DN114" s="13" t="str">
        <f t="shared" si="141"/>
        <v>DS_Pass-3628</v>
      </c>
      <c r="DO114" s="15"/>
      <c r="DP114" s="15"/>
      <c r="DQ114" s="15"/>
      <c r="DR114" s="13"/>
      <c r="DS114" s="13"/>
      <c r="DT114" s="15"/>
      <c r="DU114" s="15"/>
      <c r="DV114" s="15"/>
      <c r="DW114" s="13"/>
      <c r="DX114" s="15"/>
      <c r="DY114" s="15"/>
      <c r="DZ114" s="15" t="s">
        <v>402</v>
      </c>
      <c r="EA114" s="19"/>
      <c r="EB114" s="15"/>
      <c r="EC114" s="218"/>
      <c r="ED114" s="218"/>
      <c r="EE114" s="218"/>
    </row>
    <row r="115" spans="1:136" s="219" customFormat="1" x14ac:dyDescent="0.2">
      <c r="A115" s="209" t="s">
        <v>1147</v>
      </c>
      <c r="B115" s="209" t="s">
        <v>892</v>
      </c>
      <c r="C115" s="209" t="s">
        <v>865</v>
      </c>
      <c r="D115" s="13">
        <f>'Run Parameters'!$B$1 + ROW()-1</f>
        <v>3629</v>
      </c>
      <c r="E115" s="15" t="s">
        <v>47</v>
      </c>
      <c r="F115" s="13" t="s">
        <v>1141</v>
      </c>
      <c r="G115" s="13" t="str">
        <f t="shared" si="124"/>
        <v>Access Dtls-3629</v>
      </c>
      <c r="H115" s="15" t="s">
        <v>275</v>
      </c>
      <c r="I115" s="13" t="str">
        <f>("MR. Test_226_INST8_"&amp;D115&amp;"")</f>
        <v>MR. Test_226_INST8_3629</v>
      </c>
      <c r="J115" s="13"/>
      <c r="K115" s="19" t="s">
        <v>425</v>
      </c>
      <c r="L115" s="13" t="str">
        <f t="shared" si="125"/>
        <v>Cust. Ref-3629</v>
      </c>
      <c r="M115" s="15" t="s">
        <v>48</v>
      </c>
      <c r="N115" s="15" t="s">
        <v>425</v>
      </c>
      <c r="O115" s="13"/>
      <c r="P115" s="13" t="str">
        <f t="shared" si="126"/>
        <v>SN-3629</v>
      </c>
      <c r="Q115" s="13" t="str">
        <f t="shared" si="127"/>
        <v>SI-3629</v>
      </c>
      <c r="R115" s="13" t="str">
        <f t="shared" si="128"/>
        <v>SE-3629</v>
      </c>
      <c r="S115" s="19" t="str">
        <f t="shared" si="129"/>
        <v>Prev_RA-3629</v>
      </c>
      <c r="T115" s="19" t="str">
        <f t="shared" si="130"/>
        <v>Prev_Comms-3629</v>
      </c>
      <c r="U115" s="15" t="s">
        <v>75</v>
      </c>
      <c r="V115" s="15" t="s">
        <v>401</v>
      </c>
      <c r="W115" s="15" t="s">
        <v>75</v>
      </c>
      <c r="X115" s="15" t="s">
        <v>1101</v>
      </c>
      <c r="Y115" s="13" t="str">
        <f t="shared" si="131"/>
        <v>Forward Add-3629</v>
      </c>
      <c r="Z115" s="15" t="s">
        <v>401</v>
      </c>
      <c r="AA115" s="133" t="str">
        <f>'Run Parameters'!$B$2</f>
        <v>2019-04-26 08:00</v>
      </c>
      <c r="AB115" s="213" t="str">
        <f>'Run Parameters'!B$3</f>
        <v>2019-04-26 18:00</v>
      </c>
      <c r="AC115" s="26">
        <f>('Run Parameters'!$B$2) - 7</f>
        <v>43574.333333333336</v>
      </c>
      <c r="AD115" s="15" t="s">
        <v>75</v>
      </c>
      <c r="AE115" s="13" t="str">
        <f t="shared" si="132"/>
        <v>LAST_METER-3629</v>
      </c>
      <c r="AF115" s="133" t="str">
        <f>'Run Parameters'!$B$2</f>
        <v>2019-04-26 08:00</v>
      </c>
      <c r="AG115" s="13" t="str">
        <f>'Run Parameters'!B$4</f>
        <v>AUTOTEST2</v>
      </c>
      <c r="AH115" s="19" t="str">
        <f t="shared" si="133"/>
        <v>Site_Contact_3629</v>
      </c>
      <c r="AI115" s="133" t="str">
        <f>'Run Parameters'!B$2</f>
        <v>2019-04-26 08:00</v>
      </c>
      <c r="AJ115" s="213" t="str">
        <f>'Run Parameters'!B$3</f>
        <v>2019-04-26 18:00</v>
      </c>
      <c r="AK115" s="13" t="s">
        <v>1101</v>
      </c>
      <c r="AL115" s="19" t="str">
        <f t="shared" si="134"/>
        <v>011593629</v>
      </c>
      <c r="AM115" s="13" t="str">
        <f t="shared" si="135"/>
        <v>01153629</v>
      </c>
      <c r="AN115" s="15"/>
      <c r="AO115" s="15"/>
      <c r="AP115" s="13">
        <v>1</v>
      </c>
      <c r="AQ115" s="15" t="s">
        <v>49</v>
      </c>
      <c r="AR115" s="15"/>
      <c r="AS115" s="13"/>
      <c r="AT115" s="15" t="s">
        <v>1122</v>
      </c>
      <c r="AU115" s="15"/>
      <c r="AV115" s="13">
        <f t="shared" si="136"/>
        <v>3629</v>
      </c>
      <c r="AW115" s="13" t="s">
        <v>1139</v>
      </c>
      <c r="AX115" s="13" t="s">
        <v>420</v>
      </c>
      <c r="AY115" s="13" t="s">
        <v>421</v>
      </c>
      <c r="AZ115" s="15" t="s">
        <v>334</v>
      </c>
      <c r="BA115" s="15" t="s">
        <v>154</v>
      </c>
      <c r="BB115" s="13">
        <v>1</v>
      </c>
      <c r="BC115" s="13">
        <f t="shared" si="137"/>
        <v>3629</v>
      </c>
      <c r="BD115" s="17" t="s">
        <v>1140</v>
      </c>
      <c r="BE115" s="15" t="s">
        <v>390</v>
      </c>
      <c r="BF115" s="16" t="s">
        <v>391</v>
      </c>
      <c r="BG115" s="13" t="s">
        <v>1141</v>
      </c>
      <c r="BH115" s="13" t="str">
        <f t="shared" si="138"/>
        <v>3629_1</v>
      </c>
      <c r="BI115" s="13"/>
      <c r="BJ115" s="13" t="str">
        <f t="shared" si="139"/>
        <v>100000003629</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1101</v>
      </c>
      <c r="CF115" s="15" t="s">
        <v>398</v>
      </c>
      <c r="CG115" s="17" t="s">
        <v>1142</v>
      </c>
      <c r="CH115" s="15" t="s">
        <v>159</v>
      </c>
      <c r="CI115" s="13"/>
      <c r="CJ115" s="13"/>
      <c r="CK115" s="15"/>
      <c r="CL115" s="15"/>
      <c r="CM115" s="15"/>
      <c r="CN115" s="13"/>
      <c r="CO115" s="13"/>
      <c r="CP115" s="15"/>
      <c r="CQ115" s="13"/>
      <c r="CR115" s="13"/>
      <c r="CS115" s="15"/>
      <c r="CT115" s="217"/>
      <c r="CU115" s="13"/>
      <c r="CV115" s="15"/>
      <c r="CW115" s="15"/>
      <c r="CX115" s="15"/>
      <c r="CY115" s="15"/>
      <c r="CZ115" s="15"/>
      <c r="DA115" s="15"/>
      <c r="DB115" s="13"/>
      <c r="DC115" s="15"/>
      <c r="DD115" s="15"/>
      <c r="DE115" s="15"/>
      <c r="DF115" s="15"/>
      <c r="DG115" s="15"/>
      <c r="DH115" s="15"/>
      <c r="DI115" s="15"/>
      <c r="DJ115" s="15"/>
      <c r="DK115" s="15"/>
      <c r="DL115" s="218"/>
      <c r="DM115" s="218"/>
      <c r="DN115" s="13" t="str">
        <f t="shared" si="141"/>
        <v>DS_Pass-3629</v>
      </c>
      <c r="DO115" s="15"/>
      <c r="DP115" s="15"/>
      <c r="DQ115" s="15"/>
      <c r="DR115" s="13"/>
      <c r="DS115" s="13"/>
      <c r="DT115" s="15"/>
      <c r="DU115" s="15"/>
      <c r="DV115" s="15"/>
      <c r="DW115" s="13"/>
      <c r="DX115" s="15"/>
      <c r="DY115" s="15"/>
      <c r="DZ115" s="15" t="s">
        <v>402</v>
      </c>
      <c r="EA115" s="19"/>
      <c r="EB115" s="15"/>
      <c r="EC115" s="218"/>
      <c r="ED115" s="218"/>
      <c r="EE115" s="218"/>
    </row>
    <row r="116" spans="1:136" x14ac:dyDescent="0.2">
      <c r="A116" s="209" t="s">
        <v>869</v>
      </c>
      <c r="B116" s="209" t="s">
        <v>892</v>
      </c>
      <c r="C116" s="209" t="s">
        <v>865</v>
      </c>
      <c r="D116" s="13">
        <f>'Run Parameters'!$B$1 + ROW()-1</f>
        <v>3630</v>
      </c>
      <c r="E116" s="15" t="s">
        <v>47</v>
      </c>
      <c r="F116" s="18" t="s">
        <v>766</v>
      </c>
      <c r="G116" s="13" t="str">
        <f t="shared" ref="G116:G150" si="142">("Access Dtls-" &amp; D116)</f>
        <v>Access Dtls-3630</v>
      </c>
      <c r="H116" s="15" t="s">
        <v>275</v>
      </c>
      <c r="I116" s="13" t="str">
        <f>("MR. Test_107_EXCH3_"&amp;D116&amp;"")</f>
        <v>MR. Test_107_EXCH3_3630</v>
      </c>
      <c r="J116" s="18"/>
      <c r="K116" s="19" t="s">
        <v>425</v>
      </c>
      <c r="L116" s="13" t="str">
        <f t="shared" ref="L116:L150" si="143">("Cust. Ref-" &amp; D116)</f>
        <v>Cust. Ref-3630</v>
      </c>
      <c r="M116" s="15" t="s">
        <v>48</v>
      </c>
      <c r="N116" s="15" t="s">
        <v>425</v>
      </c>
      <c r="O116" s="13"/>
      <c r="P116" s="13" t="str">
        <f t="shared" ref="P116:P150" si="144">("SN-" &amp; D116)</f>
        <v>SN-3630</v>
      </c>
      <c r="Q116" s="13" t="str">
        <f t="shared" ref="Q116:Q150" si="145">("SI-" &amp; D116)</f>
        <v>SI-3630</v>
      </c>
      <c r="R116" s="13" t="str">
        <f t="shared" ref="R116:R150" si="146">("SE-" &amp; D116)</f>
        <v>SE-3630</v>
      </c>
      <c r="S116" s="53" t="str">
        <f t="shared" ref="S116:S150" si="147">("Prev_RA-" &amp; D116)</f>
        <v>Prev_RA-3630</v>
      </c>
      <c r="T116" s="53" t="str">
        <f t="shared" ref="T116:T150" si="148">("Prev_Comms-" &amp; D116)</f>
        <v>Prev_Comms-3630</v>
      </c>
      <c r="U116" s="17" t="s">
        <v>75</v>
      </c>
      <c r="V116" s="15" t="s">
        <v>401</v>
      </c>
      <c r="W116" s="17" t="s">
        <v>75</v>
      </c>
      <c r="X116" s="15" t="s">
        <v>396</v>
      </c>
      <c r="Y116" s="13" t="str">
        <f t="shared" ref="Y116:Y150" si="149">("Forward Add-" &amp; D116)</f>
        <v>Forward Add-3630</v>
      </c>
      <c r="Z116" s="15" t="s">
        <v>401</v>
      </c>
      <c r="AA116" s="133" t="str">
        <f>'Run Parameters'!$B$2</f>
        <v>2019-04-26 08:00</v>
      </c>
      <c r="AB116" s="213" t="str">
        <f>'Run Parameters'!B$3</f>
        <v>2019-04-26 18:00</v>
      </c>
      <c r="AC116" s="26">
        <f>('Run Parameters'!$B$2) - 7</f>
        <v>43574.333333333336</v>
      </c>
      <c r="AD116" s="17" t="s">
        <v>75</v>
      </c>
      <c r="AE116" s="18" t="str">
        <f t="shared" ref="AE116:AE150" si="150">("LAST_METER-" &amp; D116)</f>
        <v>LAST_METER-3630</v>
      </c>
      <c r="AF116" s="133" t="str">
        <f>'Run Parameters'!$B$2</f>
        <v>2019-04-26 08:00</v>
      </c>
      <c r="AG116" s="13" t="str">
        <f>'Run Parameters'!B$4</f>
        <v>AUTOTEST2</v>
      </c>
      <c r="AH116" s="53" t="str">
        <f t="shared" ref="AH116:AH150" si="151">("Site_Contact_" &amp; D116)</f>
        <v>Site_Contact_3630</v>
      </c>
      <c r="AI116" s="133" t="str">
        <f>'Run Parameters'!B$2</f>
        <v>2019-04-26 08:00</v>
      </c>
      <c r="AJ116" s="213" t="str">
        <f>'Run Parameters'!B$3</f>
        <v>2019-04-26 18:00</v>
      </c>
      <c r="AK116" s="13" t="s">
        <v>396</v>
      </c>
      <c r="AL116" s="53" t="str">
        <f t="shared" ref="AL116:AL150" si="152">"01159" &amp; D116</f>
        <v>011593630</v>
      </c>
      <c r="AM116" s="13" t="str">
        <f t="shared" ref="AM116:AM150" si="153">("0115" &amp; D116)</f>
        <v>01153630</v>
      </c>
      <c r="AN116" s="15"/>
      <c r="AO116" s="51"/>
      <c r="AP116" s="13">
        <v>1</v>
      </c>
      <c r="AQ116" s="52" t="s">
        <v>49</v>
      </c>
      <c r="AR116" s="15"/>
      <c r="AS116" s="13"/>
      <c r="AT116" s="7" t="s">
        <v>400</v>
      </c>
      <c r="AU116" s="7"/>
      <c r="AV116" s="13">
        <f t="shared" ref="AV116:AV150" si="154">D116</f>
        <v>3630</v>
      </c>
      <c r="AW116" s="13" t="s">
        <v>767</v>
      </c>
      <c r="AX116" s="13" t="s">
        <v>420</v>
      </c>
      <c r="AY116" s="13" t="s">
        <v>421</v>
      </c>
      <c r="AZ116" s="15" t="s">
        <v>334</v>
      </c>
      <c r="BA116" s="14" t="s">
        <v>154</v>
      </c>
      <c r="BB116" s="21">
        <v>1</v>
      </c>
      <c r="BC116" s="20">
        <f t="shared" ref="BC116:BC150" si="155">D116</f>
        <v>3630</v>
      </c>
      <c r="BD116" s="16" t="s">
        <v>768</v>
      </c>
      <c r="BE116" s="16" t="s">
        <v>391</v>
      </c>
      <c r="BF116" s="16" t="s">
        <v>390</v>
      </c>
      <c r="BG116" s="20" t="s">
        <v>766</v>
      </c>
      <c r="BH116" s="20" t="str">
        <f t="shared" ref="BH116:BH150" si="156">BC116&amp;"_"&amp;BB116</f>
        <v>3630_1</v>
      </c>
      <c r="BI116" s="21"/>
      <c r="BJ116" s="21" t="str">
        <f t="shared" ref="BJ116:BJ150" si="157">"10000000" &amp; D116</f>
        <v>100000003630</v>
      </c>
      <c r="BK116" s="16" t="s">
        <v>51</v>
      </c>
      <c r="BL116" s="16" t="s">
        <v>54</v>
      </c>
      <c r="BM116" s="20" t="s">
        <v>769</v>
      </c>
      <c r="BN116" s="16" t="s">
        <v>51</v>
      </c>
      <c r="BO116" s="20" t="str">
        <f t="shared" ref="BO116:BO150" si="158">"S05S" &amp; D116</f>
        <v>S05S3630</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GAS_ENQ_NO-3630</v>
      </c>
      <c r="CK116" s="7" t="s">
        <v>165</v>
      </c>
      <c r="CL116" s="7" t="s">
        <v>391</v>
      </c>
      <c r="CM116" s="7" t="s">
        <v>390</v>
      </c>
      <c r="CN116" s="6" t="s">
        <v>278</v>
      </c>
      <c r="CO116" s="6" t="str">
        <f t="shared" ref="CO116:CO127" si="160">("GAS_JOB_ID-" &amp; D116)</f>
        <v>GAS_JOB_ID-3630</v>
      </c>
      <c r="CP116" s="7"/>
      <c r="CQ116" s="6" t="str">
        <f t="shared" ref="CQ116:CQ127" si="161">"10000" &amp; D116</f>
        <v>100003630</v>
      </c>
      <c r="CR116" s="6" t="s">
        <v>154</v>
      </c>
      <c r="CS116" s="7" t="s">
        <v>51</v>
      </c>
      <c r="CT116" s="27" t="str">
        <f t="shared" ref="CT116:CT127" si="162">"GMETER" &amp; D116</f>
        <v>GMETER3630</v>
      </c>
      <c r="CU116" s="6" t="s">
        <v>161</v>
      </c>
      <c r="CV116" s="7" t="s">
        <v>165</v>
      </c>
      <c r="CW116" s="7" t="s">
        <v>772</v>
      </c>
      <c r="CX116" s="7"/>
      <c r="CY116" s="7"/>
      <c r="CZ116" s="7" t="s">
        <v>394</v>
      </c>
      <c r="DA116" s="7" t="s">
        <v>395</v>
      </c>
      <c r="DB116" s="6" t="str">
        <f t="shared" ref="DB116:DB228" si="163">("GAS_INST_ID-" &amp; $D116)</f>
        <v>GAS_INST_ID-3630</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DS_Pass-3630</v>
      </c>
      <c r="DO116" s="40"/>
      <c r="DP116" s="40"/>
      <c r="DQ116" s="40"/>
      <c r="DR116" s="41"/>
      <c r="DS116" s="41"/>
      <c r="DT116" s="40"/>
      <c r="DU116" s="40"/>
      <c r="DV116" s="40"/>
      <c r="DW116" s="41"/>
      <c r="DX116" s="40"/>
      <c r="DY116" s="40"/>
      <c r="DZ116" s="37" t="s">
        <v>770</v>
      </c>
      <c r="EA116" s="39"/>
      <c r="EB116" s="37"/>
      <c r="EC116" s="37"/>
      <c r="ED116" s="16"/>
      <c r="EE116" s="1"/>
      <c r="EF116" s="54"/>
    </row>
    <row r="117" spans="1:136" x14ac:dyDescent="0.2">
      <c r="A117" s="209" t="s">
        <v>870</v>
      </c>
      <c r="B117" s="209" t="s">
        <v>868</v>
      </c>
      <c r="C117" s="209" t="s">
        <v>865</v>
      </c>
      <c r="D117" s="13">
        <f>'Run Parameters'!$B$1 + ROW()-1</f>
        <v>3631</v>
      </c>
      <c r="E117" s="15" t="s">
        <v>47</v>
      </c>
      <c r="F117" s="18" t="s">
        <v>766</v>
      </c>
      <c r="G117" s="13" t="str">
        <f t="shared" si="142"/>
        <v>Access Dtls-3631</v>
      </c>
      <c r="H117" s="15" t="s">
        <v>275</v>
      </c>
      <c r="I117" s="13" t="str">
        <f>("MR. Test_108_EXCH3_"&amp;D117&amp;"")</f>
        <v>MR. Test_108_EXCH3_3631</v>
      </c>
      <c r="J117" s="18"/>
      <c r="K117" s="19" t="s">
        <v>425</v>
      </c>
      <c r="L117" s="13" t="str">
        <f t="shared" si="143"/>
        <v>Cust. Ref-3631</v>
      </c>
      <c r="M117" s="15" t="s">
        <v>48</v>
      </c>
      <c r="N117" s="15" t="s">
        <v>425</v>
      </c>
      <c r="O117" s="13"/>
      <c r="P117" s="13" t="str">
        <f t="shared" si="144"/>
        <v>SN-3631</v>
      </c>
      <c r="Q117" s="13" t="str">
        <f t="shared" si="145"/>
        <v>SI-3631</v>
      </c>
      <c r="R117" s="13" t="str">
        <f t="shared" si="146"/>
        <v>SE-3631</v>
      </c>
      <c r="S117" s="53" t="str">
        <f t="shared" si="147"/>
        <v>Prev_RA-3631</v>
      </c>
      <c r="T117" s="53" t="str">
        <f t="shared" si="148"/>
        <v>Prev_Comms-3631</v>
      </c>
      <c r="U117" s="17" t="s">
        <v>75</v>
      </c>
      <c r="V117" s="15" t="s">
        <v>401</v>
      </c>
      <c r="W117" s="17" t="s">
        <v>75</v>
      </c>
      <c r="X117" s="15" t="s">
        <v>396</v>
      </c>
      <c r="Y117" s="13" t="str">
        <f t="shared" si="149"/>
        <v>Forward Add-3631</v>
      </c>
      <c r="Z117" s="15" t="s">
        <v>401</v>
      </c>
      <c r="AA117" s="133" t="str">
        <f>'Run Parameters'!$B$2</f>
        <v>2019-04-26 08:00</v>
      </c>
      <c r="AB117" s="213" t="str">
        <f>'Run Parameters'!B$3</f>
        <v>2019-04-26 18:00</v>
      </c>
      <c r="AC117" s="26">
        <f>('Run Parameters'!$B$2) - 7</f>
        <v>43574.333333333336</v>
      </c>
      <c r="AD117" s="17" t="s">
        <v>75</v>
      </c>
      <c r="AE117" s="18" t="str">
        <f t="shared" si="150"/>
        <v>LAST_METER-3631</v>
      </c>
      <c r="AF117" s="133" t="str">
        <f>'Run Parameters'!$B$2</f>
        <v>2019-04-26 08:00</v>
      </c>
      <c r="AG117" s="13" t="str">
        <f>'Run Parameters'!B$4</f>
        <v>AUTOTEST2</v>
      </c>
      <c r="AH117" s="53" t="str">
        <f t="shared" si="151"/>
        <v>Site_Contact_3631</v>
      </c>
      <c r="AI117" s="133" t="str">
        <f>'Run Parameters'!B$2</f>
        <v>2019-04-26 08:00</v>
      </c>
      <c r="AJ117" s="213" t="str">
        <f>'Run Parameters'!B$3</f>
        <v>2019-04-26 18:00</v>
      </c>
      <c r="AK117" s="13" t="s">
        <v>396</v>
      </c>
      <c r="AL117" s="53" t="str">
        <f t="shared" si="152"/>
        <v>011593631</v>
      </c>
      <c r="AM117" s="13" t="str">
        <f t="shared" si="153"/>
        <v>01153631</v>
      </c>
      <c r="AN117" s="15"/>
      <c r="AO117" s="51"/>
      <c r="AP117" s="13">
        <v>1</v>
      </c>
      <c r="AQ117" s="52" t="s">
        <v>49</v>
      </c>
      <c r="AR117" s="15"/>
      <c r="AS117" s="13"/>
      <c r="AT117" s="7" t="s">
        <v>400</v>
      </c>
      <c r="AU117" s="7"/>
      <c r="AV117" s="13">
        <f t="shared" si="154"/>
        <v>3631</v>
      </c>
      <c r="AW117" s="13" t="s">
        <v>767</v>
      </c>
      <c r="AX117" s="13" t="s">
        <v>420</v>
      </c>
      <c r="AY117" s="13" t="s">
        <v>421</v>
      </c>
      <c r="AZ117" s="15" t="s">
        <v>334</v>
      </c>
      <c r="BA117" s="14" t="s">
        <v>154</v>
      </c>
      <c r="BB117" s="21">
        <v>1</v>
      </c>
      <c r="BC117" s="20">
        <f t="shared" si="155"/>
        <v>3631</v>
      </c>
      <c r="BD117" s="16" t="s">
        <v>768</v>
      </c>
      <c r="BE117" s="16" t="s">
        <v>391</v>
      </c>
      <c r="BF117" s="16" t="s">
        <v>390</v>
      </c>
      <c r="BG117" s="20" t="s">
        <v>766</v>
      </c>
      <c r="BH117" s="20" t="str">
        <f t="shared" si="156"/>
        <v>3631_1</v>
      </c>
      <c r="BI117" s="21"/>
      <c r="BJ117" s="21" t="str">
        <f t="shared" si="157"/>
        <v>100000003631</v>
      </c>
      <c r="BK117" s="16" t="s">
        <v>51</v>
      </c>
      <c r="BL117" s="16" t="s">
        <v>54</v>
      </c>
      <c r="BM117" s="20" t="s">
        <v>769</v>
      </c>
      <c r="BN117" s="16" t="s">
        <v>51</v>
      </c>
      <c r="BO117" s="20" t="str">
        <f t="shared" si="158"/>
        <v>S05S3631</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GAS_ENQ_NO-3631</v>
      </c>
      <c r="CK117" s="7" t="s">
        <v>165</v>
      </c>
      <c r="CL117" s="7" t="s">
        <v>391</v>
      </c>
      <c r="CM117" s="7" t="s">
        <v>390</v>
      </c>
      <c r="CN117" s="6" t="s">
        <v>278</v>
      </c>
      <c r="CO117" s="6" t="str">
        <f t="shared" si="160"/>
        <v>GAS_JOB_ID-3631</v>
      </c>
      <c r="CP117" s="7"/>
      <c r="CQ117" s="6" t="str">
        <f t="shared" si="161"/>
        <v>100003631</v>
      </c>
      <c r="CR117" s="6" t="s">
        <v>154</v>
      </c>
      <c r="CS117" s="7" t="s">
        <v>51</v>
      </c>
      <c r="CT117" s="27" t="str">
        <f t="shared" si="162"/>
        <v>GMETER3631</v>
      </c>
      <c r="CU117" s="6" t="s">
        <v>161</v>
      </c>
      <c r="CV117" s="7" t="s">
        <v>165</v>
      </c>
      <c r="CW117" s="7" t="s">
        <v>772</v>
      </c>
      <c r="CX117" s="7"/>
      <c r="CY117" s="7"/>
      <c r="CZ117" s="7" t="s">
        <v>394</v>
      </c>
      <c r="DA117" s="7" t="s">
        <v>395</v>
      </c>
      <c r="DB117" s="6" t="str">
        <f t="shared" si="163"/>
        <v>GAS_INST_ID-3631</v>
      </c>
      <c r="DC117" s="7" t="s">
        <v>161</v>
      </c>
      <c r="DD117" s="7"/>
      <c r="DE117" s="7" t="s">
        <v>51</v>
      </c>
      <c r="DF117" s="7" t="s">
        <v>264</v>
      </c>
      <c r="DG117" s="7"/>
      <c r="DH117" s="7" t="s">
        <v>397</v>
      </c>
      <c r="DI117" s="7" t="s">
        <v>399</v>
      </c>
      <c r="DJ117" s="10" t="s">
        <v>267</v>
      </c>
      <c r="DK117" s="7" t="s">
        <v>140</v>
      </c>
      <c r="DL117" s="40"/>
      <c r="DM117" s="40"/>
      <c r="DN117" s="38" t="str">
        <f t="shared" si="164"/>
        <v>DS_Pass-3631</v>
      </c>
      <c r="DO117" s="40"/>
      <c r="DP117" s="40"/>
      <c r="DQ117" s="40"/>
      <c r="DR117" s="41"/>
      <c r="DS117" s="41"/>
      <c r="DT117" s="40"/>
      <c r="DU117" s="40"/>
      <c r="DV117" s="40"/>
      <c r="DW117" s="41"/>
      <c r="DX117" s="40"/>
      <c r="DY117" s="40"/>
      <c r="DZ117" s="37" t="s">
        <v>770</v>
      </c>
      <c r="EA117" s="39"/>
      <c r="EB117" s="37"/>
      <c r="EC117" s="37"/>
      <c r="ED117" s="16"/>
      <c r="EE117" s="1"/>
      <c r="EF117" s="54"/>
    </row>
    <row r="118" spans="1:136" x14ac:dyDescent="0.2">
      <c r="A118" s="209" t="s">
        <v>871</v>
      </c>
      <c r="B118" s="209" t="s">
        <v>892</v>
      </c>
      <c r="C118" s="209" t="s">
        <v>865</v>
      </c>
      <c r="D118" s="13">
        <f>'Run Parameters'!$B$1 + ROW()-1</f>
        <v>3632</v>
      </c>
      <c r="E118" s="15" t="s">
        <v>47</v>
      </c>
      <c r="F118" s="18" t="s">
        <v>766</v>
      </c>
      <c r="G118" s="13" t="str">
        <f t="shared" si="142"/>
        <v>Access Dtls-3632</v>
      </c>
      <c r="H118" s="15" t="s">
        <v>275</v>
      </c>
      <c r="I118" s="13" t="str">
        <f>("MR. Test_109_EXCH3_"&amp;D118&amp;"")</f>
        <v>MR. Test_109_EXCH3_3632</v>
      </c>
      <c r="J118" s="18"/>
      <c r="K118" s="19" t="s">
        <v>425</v>
      </c>
      <c r="L118" s="13" t="str">
        <f t="shared" si="143"/>
        <v>Cust. Ref-3632</v>
      </c>
      <c r="M118" s="15" t="s">
        <v>48</v>
      </c>
      <c r="N118" s="15" t="s">
        <v>425</v>
      </c>
      <c r="O118" s="13"/>
      <c r="P118" s="13" t="str">
        <f t="shared" si="144"/>
        <v>SN-3632</v>
      </c>
      <c r="Q118" s="13" t="str">
        <f t="shared" ref="Q118:Q127" si="165">("SI-" &amp; D118)</f>
        <v>SI-3632</v>
      </c>
      <c r="R118" s="13" t="str">
        <f t="shared" ref="R118:R127" si="166">("SE-" &amp; D118)</f>
        <v>SE-3632</v>
      </c>
      <c r="S118" s="53" t="str">
        <f t="shared" ref="S118:S127" si="167">("Prev_RA-" &amp; D118)</f>
        <v>Prev_RA-3632</v>
      </c>
      <c r="T118" s="53" t="str">
        <f t="shared" ref="T118:T127" si="168">("Prev_Comms-" &amp; D118)</f>
        <v>Prev_Comms-3632</v>
      </c>
      <c r="U118" s="17" t="s">
        <v>75</v>
      </c>
      <c r="V118" s="15" t="s">
        <v>401</v>
      </c>
      <c r="W118" s="17" t="s">
        <v>75</v>
      </c>
      <c r="X118" s="15" t="s">
        <v>396</v>
      </c>
      <c r="Y118" s="13" t="str">
        <f t="shared" ref="Y118:Y127" si="169">("Forward Add-" &amp; D118)</f>
        <v>Forward Add-3632</v>
      </c>
      <c r="Z118" s="15" t="s">
        <v>401</v>
      </c>
      <c r="AA118" s="133" t="str">
        <f>'Run Parameters'!$B$2</f>
        <v>2019-04-26 08:00</v>
      </c>
      <c r="AB118" s="213" t="str">
        <f>'Run Parameters'!B$3</f>
        <v>2019-04-26 18:00</v>
      </c>
      <c r="AC118" s="26">
        <f>('Run Parameters'!$B$2) - 7</f>
        <v>43574.333333333336</v>
      </c>
      <c r="AD118" s="17" t="s">
        <v>75</v>
      </c>
      <c r="AE118" s="18" t="str">
        <f t="shared" ref="AE118:AE127" si="170">("LAST_METER-" &amp; D118)</f>
        <v>LAST_METER-3632</v>
      </c>
      <c r="AF118" s="133" t="str">
        <f>'Run Parameters'!$B$2</f>
        <v>2019-04-26 08:00</v>
      </c>
      <c r="AG118" s="13" t="str">
        <f>'Run Parameters'!B$4</f>
        <v>AUTOTEST2</v>
      </c>
      <c r="AH118" s="53" t="str">
        <f t="shared" ref="AH118:AH127" si="171">("Site_Contact_" &amp; D118)</f>
        <v>Site_Contact_3632</v>
      </c>
      <c r="AI118" s="133" t="str">
        <f>'Run Parameters'!B$2</f>
        <v>2019-04-26 08:00</v>
      </c>
      <c r="AJ118" s="213" t="str">
        <f>'Run Parameters'!B$3</f>
        <v>2019-04-26 18:00</v>
      </c>
      <c r="AK118" s="13" t="s">
        <v>396</v>
      </c>
      <c r="AL118" s="53" t="str">
        <f t="shared" ref="AL118:AL127" si="172">"01159" &amp; D118</f>
        <v>011593632</v>
      </c>
      <c r="AM118" s="13" t="str">
        <f t="shared" ref="AM118:AM127" si="173">("0115" &amp; D118)</f>
        <v>01153632</v>
      </c>
      <c r="AN118" s="15"/>
      <c r="AO118" s="51"/>
      <c r="AP118" s="13">
        <v>1</v>
      </c>
      <c r="AQ118" s="52" t="s">
        <v>49</v>
      </c>
      <c r="AR118" s="15"/>
      <c r="AS118" s="13"/>
      <c r="AT118" s="7" t="s">
        <v>400</v>
      </c>
      <c r="AU118" s="7"/>
      <c r="AV118" s="13">
        <f t="shared" ref="AV118:AV127" si="174">D118</f>
        <v>3632</v>
      </c>
      <c r="AW118" s="13" t="s">
        <v>767</v>
      </c>
      <c r="AX118" s="13" t="s">
        <v>420</v>
      </c>
      <c r="AY118" s="13" t="s">
        <v>421</v>
      </c>
      <c r="AZ118" s="15" t="s">
        <v>334</v>
      </c>
      <c r="BA118" s="14" t="s">
        <v>154</v>
      </c>
      <c r="BB118" s="21">
        <v>1</v>
      </c>
      <c r="BC118" s="20">
        <f t="shared" si="155"/>
        <v>3632</v>
      </c>
      <c r="BD118" s="16" t="s">
        <v>768</v>
      </c>
      <c r="BE118" s="16" t="s">
        <v>391</v>
      </c>
      <c r="BF118" s="16" t="s">
        <v>390</v>
      </c>
      <c r="BG118" s="20" t="s">
        <v>766</v>
      </c>
      <c r="BH118" s="20" t="str">
        <f t="shared" ref="BH118:BH127" si="175">BC118&amp;"_"&amp;BB118</f>
        <v>3632_1</v>
      </c>
      <c r="BI118" s="21"/>
      <c r="BJ118" s="21" t="str">
        <f t="shared" ref="BJ118:BJ127" si="176">"10000000" &amp; D118</f>
        <v>100000003632</v>
      </c>
      <c r="BK118" s="16" t="s">
        <v>51</v>
      </c>
      <c r="BL118" s="16" t="s">
        <v>54</v>
      </c>
      <c r="BM118" s="20" t="s">
        <v>769</v>
      </c>
      <c r="BN118" s="16" t="s">
        <v>51</v>
      </c>
      <c r="BO118" s="20" t="str">
        <f t="shared" ref="BO118:BO127" si="177">"S05S" &amp; D118</f>
        <v>S05S3632</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GAS_ENQ_NO-3632</v>
      </c>
      <c r="CK118" s="7" t="s">
        <v>165</v>
      </c>
      <c r="CL118" s="7" t="s">
        <v>391</v>
      </c>
      <c r="CM118" s="7" t="s">
        <v>390</v>
      </c>
      <c r="CN118" s="6" t="s">
        <v>278</v>
      </c>
      <c r="CO118" s="6" t="str">
        <f t="shared" si="160"/>
        <v>GAS_JOB_ID-3632</v>
      </c>
      <c r="CP118" s="7"/>
      <c r="CQ118" s="6" t="str">
        <f t="shared" si="161"/>
        <v>100003632</v>
      </c>
      <c r="CR118" s="6" t="s">
        <v>154</v>
      </c>
      <c r="CS118" s="7" t="s">
        <v>51</v>
      </c>
      <c r="CT118" s="27" t="str">
        <f t="shared" si="162"/>
        <v>GMETER3632</v>
      </c>
      <c r="CU118" s="6" t="s">
        <v>161</v>
      </c>
      <c r="CV118" s="7" t="s">
        <v>165</v>
      </c>
      <c r="CW118" s="7" t="s">
        <v>772</v>
      </c>
      <c r="CX118" s="7"/>
      <c r="CY118" s="7"/>
      <c r="CZ118" s="7" t="s">
        <v>394</v>
      </c>
      <c r="DA118" s="7" t="s">
        <v>395</v>
      </c>
      <c r="DB118" s="6" t="str">
        <f t="shared" si="163"/>
        <v>GAS_INST_ID-3632</v>
      </c>
      <c r="DC118" s="7" t="s">
        <v>161</v>
      </c>
      <c r="DD118" s="7"/>
      <c r="DE118" s="7" t="s">
        <v>51</v>
      </c>
      <c r="DF118" s="7" t="s">
        <v>264</v>
      </c>
      <c r="DG118" s="7"/>
      <c r="DH118" s="7" t="s">
        <v>397</v>
      </c>
      <c r="DI118" s="7" t="s">
        <v>399</v>
      </c>
      <c r="DJ118" s="10" t="s">
        <v>267</v>
      </c>
      <c r="DK118" s="7" t="s">
        <v>140</v>
      </c>
      <c r="DL118" s="40"/>
      <c r="DM118" s="40"/>
      <c r="DN118" s="38" t="str">
        <f t="shared" si="164"/>
        <v>DS_Pass-3632</v>
      </c>
      <c r="DO118" s="40"/>
      <c r="DP118" s="40"/>
      <c r="DQ118" s="40"/>
      <c r="DR118" s="41"/>
      <c r="DS118" s="41"/>
      <c r="DT118" s="40"/>
      <c r="DU118" s="40"/>
      <c r="DV118" s="40"/>
      <c r="DW118" s="41"/>
      <c r="DX118" s="40"/>
      <c r="DY118" s="40"/>
      <c r="DZ118" s="37" t="s">
        <v>770</v>
      </c>
      <c r="EA118" s="39"/>
      <c r="EB118" s="37"/>
      <c r="EC118" s="37"/>
      <c r="ED118" s="16"/>
      <c r="EE118" s="1"/>
      <c r="EF118" s="54"/>
    </row>
    <row r="119" spans="1:136" x14ac:dyDescent="0.2">
      <c r="A119" s="209" t="s">
        <v>1085</v>
      </c>
      <c r="B119" s="209" t="s">
        <v>892</v>
      </c>
      <c r="C119" s="209" t="s">
        <v>865</v>
      </c>
      <c r="D119" s="13">
        <f>'Run Parameters'!$B$1 + ROW()-1</f>
        <v>3633</v>
      </c>
      <c r="E119" s="15" t="s">
        <v>47</v>
      </c>
      <c r="F119" s="18" t="s">
        <v>766</v>
      </c>
      <c r="G119" s="13" t="str">
        <f t="shared" si="142"/>
        <v>Access Dtls-3633</v>
      </c>
      <c r="H119" s="15" t="s">
        <v>275</v>
      </c>
      <c r="I119" s="13" t="str">
        <f>("MR. Test_110_EXCH3_"&amp;D119&amp;"")</f>
        <v>MR. Test_110_EXCH3_3633</v>
      </c>
      <c r="J119" s="18"/>
      <c r="K119" s="19" t="s">
        <v>425</v>
      </c>
      <c r="L119" s="13" t="str">
        <f t="shared" si="143"/>
        <v>Cust. Ref-3633</v>
      </c>
      <c r="M119" s="15" t="s">
        <v>48</v>
      </c>
      <c r="N119" s="15" t="s">
        <v>425</v>
      </c>
      <c r="O119" s="13"/>
      <c r="P119" s="13" t="str">
        <f t="shared" si="144"/>
        <v>SN-3633</v>
      </c>
      <c r="Q119" s="13" t="str">
        <f t="shared" si="165"/>
        <v>SI-3633</v>
      </c>
      <c r="R119" s="13" t="str">
        <f t="shared" si="166"/>
        <v>SE-3633</v>
      </c>
      <c r="S119" s="53" t="str">
        <f t="shared" si="167"/>
        <v>Prev_RA-3633</v>
      </c>
      <c r="T119" s="53" t="str">
        <f t="shared" si="168"/>
        <v>Prev_Comms-3633</v>
      </c>
      <c r="U119" s="17" t="s">
        <v>75</v>
      </c>
      <c r="V119" s="15" t="s">
        <v>401</v>
      </c>
      <c r="W119" s="17" t="s">
        <v>75</v>
      </c>
      <c r="X119" s="15" t="s">
        <v>396</v>
      </c>
      <c r="Y119" s="13" t="str">
        <f t="shared" si="169"/>
        <v>Forward Add-3633</v>
      </c>
      <c r="Z119" s="15" t="s">
        <v>401</v>
      </c>
      <c r="AA119" s="133" t="str">
        <f>'Run Parameters'!$B$2</f>
        <v>2019-04-26 08:00</v>
      </c>
      <c r="AB119" s="213" t="str">
        <f>'Run Parameters'!B$3</f>
        <v>2019-04-26 18:00</v>
      </c>
      <c r="AC119" s="26">
        <f>('Run Parameters'!$B$2) - 7</f>
        <v>43574.333333333336</v>
      </c>
      <c r="AD119" s="17" t="s">
        <v>75</v>
      </c>
      <c r="AE119" s="18" t="str">
        <f t="shared" si="170"/>
        <v>LAST_METER-3633</v>
      </c>
      <c r="AF119" s="133" t="str">
        <f>'Run Parameters'!$B$2</f>
        <v>2019-04-26 08:00</v>
      </c>
      <c r="AG119" s="13" t="str">
        <f>'Run Parameters'!B$4</f>
        <v>AUTOTEST2</v>
      </c>
      <c r="AH119" s="53" t="str">
        <f t="shared" si="171"/>
        <v>Site_Contact_3633</v>
      </c>
      <c r="AI119" s="133" t="str">
        <f>'Run Parameters'!B$2</f>
        <v>2019-04-26 08:00</v>
      </c>
      <c r="AJ119" s="213" t="str">
        <f>'Run Parameters'!B$3</f>
        <v>2019-04-26 18:00</v>
      </c>
      <c r="AK119" s="13" t="s">
        <v>396</v>
      </c>
      <c r="AL119" s="53" t="str">
        <f t="shared" si="172"/>
        <v>011593633</v>
      </c>
      <c r="AM119" s="13" t="str">
        <f t="shared" si="173"/>
        <v>01153633</v>
      </c>
      <c r="AN119" s="15"/>
      <c r="AO119" s="51"/>
      <c r="AP119" s="13">
        <v>1</v>
      </c>
      <c r="AQ119" s="52" t="s">
        <v>49</v>
      </c>
      <c r="AR119" s="15"/>
      <c r="AS119" s="13"/>
      <c r="AT119" s="7" t="s">
        <v>400</v>
      </c>
      <c r="AU119" s="7"/>
      <c r="AV119" s="13">
        <f t="shared" si="174"/>
        <v>3633</v>
      </c>
      <c r="AW119" s="13" t="s">
        <v>767</v>
      </c>
      <c r="AX119" s="13" t="s">
        <v>420</v>
      </c>
      <c r="AY119" s="13" t="s">
        <v>421</v>
      </c>
      <c r="AZ119" s="15" t="s">
        <v>334</v>
      </c>
      <c r="BA119" s="14" t="s">
        <v>154</v>
      </c>
      <c r="BB119" s="21">
        <v>1</v>
      </c>
      <c r="BC119" s="20">
        <f t="shared" si="155"/>
        <v>3633</v>
      </c>
      <c r="BD119" s="16" t="s">
        <v>768</v>
      </c>
      <c r="BE119" s="16" t="s">
        <v>391</v>
      </c>
      <c r="BF119" s="16" t="s">
        <v>390</v>
      </c>
      <c r="BG119" s="20" t="s">
        <v>766</v>
      </c>
      <c r="BH119" s="20" t="str">
        <f t="shared" si="175"/>
        <v>3633_1</v>
      </c>
      <c r="BI119" s="21"/>
      <c r="BJ119" s="21" t="str">
        <f t="shared" si="176"/>
        <v>100000003633</v>
      </c>
      <c r="BK119" s="16" t="s">
        <v>51</v>
      </c>
      <c r="BL119" s="16" t="s">
        <v>54</v>
      </c>
      <c r="BM119" s="20" t="s">
        <v>769</v>
      </c>
      <c r="BN119" s="16" t="s">
        <v>51</v>
      </c>
      <c r="BO119" s="20" t="str">
        <f t="shared" si="177"/>
        <v>S05S3633</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GAS_ENQ_NO-3633</v>
      </c>
      <c r="CK119" s="7" t="s">
        <v>165</v>
      </c>
      <c r="CL119" s="7" t="s">
        <v>391</v>
      </c>
      <c r="CM119" s="7" t="s">
        <v>390</v>
      </c>
      <c r="CN119" s="6" t="s">
        <v>278</v>
      </c>
      <c r="CO119" s="6" t="str">
        <f t="shared" si="160"/>
        <v>GAS_JOB_ID-3633</v>
      </c>
      <c r="CP119" s="7"/>
      <c r="CQ119" s="6" t="str">
        <f t="shared" si="161"/>
        <v>100003633</v>
      </c>
      <c r="CR119" s="6" t="s">
        <v>154</v>
      </c>
      <c r="CS119" s="7" t="s">
        <v>51</v>
      </c>
      <c r="CT119" s="27" t="str">
        <f t="shared" si="162"/>
        <v>GMETER3633</v>
      </c>
      <c r="CU119" s="6" t="s">
        <v>161</v>
      </c>
      <c r="CV119" s="7" t="s">
        <v>165</v>
      </c>
      <c r="CW119" s="7" t="s">
        <v>772</v>
      </c>
      <c r="CX119" s="7"/>
      <c r="CY119" s="7"/>
      <c r="CZ119" s="7" t="s">
        <v>394</v>
      </c>
      <c r="DA119" s="7" t="s">
        <v>395</v>
      </c>
      <c r="DB119" s="6" t="str">
        <f t="shared" si="163"/>
        <v>GAS_INST_ID-3633</v>
      </c>
      <c r="DC119" s="7" t="s">
        <v>161</v>
      </c>
      <c r="DD119" s="7"/>
      <c r="DE119" s="7" t="s">
        <v>51</v>
      </c>
      <c r="DF119" s="7" t="s">
        <v>264</v>
      </c>
      <c r="DG119" s="7"/>
      <c r="DH119" s="7" t="s">
        <v>397</v>
      </c>
      <c r="DI119" s="7" t="s">
        <v>399</v>
      </c>
      <c r="DJ119" s="10" t="s">
        <v>267</v>
      </c>
      <c r="DK119" s="7" t="s">
        <v>140</v>
      </c>
      <c r="DL119" s="40"/>
      <c r="DM119" s="40"/>
      <c r="DN119" s="38" t="str">
        <f t="shared" si="164"/>
        <v>DS_Pass-3633</v>
      </c>
      <c r="DO119" s="40"/>
      <c r="DP119" s="40"/>
      <c r="DQ119" s="40"/>
      <c r="DR119" s="41"/>
      <c r="DS119" s="41"/>
      <c r="DT119" s="40"/>
      <c r="DU119" s="40"/>
      <c r="DV119" s="40"/>
      <c r="DW119" s="41"/>
      <c r="DX119" s="40"/>
      <c r="DY119" s="40"/>
      <c r="DZ119" s="37" t="s">
        <v>770</v>
      </c>
      <c r="EA119" s="39"/>
      <c r="EB119" s="37"/>
      <c r="EC119" s="37"/>
      <c r="ED119" s="16"/>
      <c r="EE119" s="1"/>
      <c r="EF119" s="54"/>
    </row>
    <row r="120" spans="1:136" x14ac:dyDescent="0.2">
      <c r="A120" s="209" t="s">
        <v>872</v>
      </c>
      <c r="B120" s="209" t="s">
        <v>892</v>
      </c>
      <c r="C120" s="209" t="s">
        <v>865</v>
      </c>
      <c r="D120" s="13">
        <f>'Run Parameters'!$B$1 + ROW()-1</f>
        <v>3634</v>
      </c>
      <c r="E120" s="15" t="s">
        <v>47</v>
      </c>
      <c r="F120" s="18" t="s">
        <v>766</v>
      </c>
      <c r="G120" s="13" t="str">
        <f t="shared" si="142"/>
        <v>Access Dtls-3634</v>
      </c>
      <c r="H120" s="15" t="s">
        <v>275</v>
      </c>
      <c r="I120" s="13" t="str">
        <f>("MR. Test_111_EXCH3_"&amp;D120&amp;"")</f>
        <v>MR. Test_111_EXCH3_3634</v>
      </c>
      <c r="J120" s="18"/>
      <c r="K120" s="19" t="s">
        <v>425</v>
      </c>
      <c r="L120" s="13" t="str">
        <f t="shared" si="143"/>
        <v>Cust. Ref-3634</v>
      </c>
      <c r="M120" s="15" t="s">
        <v>48</v>
      </c>
      <c r="N120" s="15" t="s">
        <v>425</v>
      </c>
      <c r="O120" s="13"/>
      <c r="P120" s="13" t="str">
        <f t="shared" si="144"/>
        <v>SN-3634</v>
      </c>
      <c r="Q120" s="13" t="str">
        <f t="shared" si="165"/>
        <v>SI-3634</v>
      </c>
      <c r="R120" s="13" t="str">
        <f t="shared" si="166"/>
        <v>SE-3634</v>
      </c>
      <c r="S120" s="53" t="str">
        <f t="shared" si="167"/>
        <v>Prev_RA-3634</v>
      </c>
      <c r="T120" s="53" t="str">
        <f t="shared" si="168"/>
        <v>Prev_Comms-3634</v>
      </c>
      <c r="U120" s="17" t="s">
        <v>75</v>
      </c>
      <c r="V120" s="15" t="s">
        <v>401</v>
      </c>
      <c r="W120" s="17" t="s">
        <v>75</v>
      </c>
      <c r="X120" s="15" t="s">
        <v>396</v>
      </c>
      <c r="Y120" s="13" t="str">
        <f t="shared" si="169"/>
        <v>Forward Add-3634</v>
      </c>
      <c r="Z120" s="15" t="s">
        <v>401</v>
      </c>
      <c r="AA120" s="133" t="str">
        <f>'Run Parameters'!$B$2</f>
        <v>2019-04-26 08:00</v>
      </c>
      <c r="AB120" s="213" t="str">
        <f>'Run Parameters'!B$3</f>
        <v>2019-04-26 18:00</v>
      </c>
      <c r="AC120" s="26">
        <f>('Run Parameters'!$B$2) - 7</f>
        <v>43574.333333333336</v>
      </c>
      <c r="AD120" s="17" t="s">
        <v>75</v>
      </c>
      <c r="AE120" s="18" t="str">
        <f t="shared" si="170"/>
        <v>LAST_METER-3634</v>
      </c>
      <c r="AF120" s="133" t="str">
        <f>'Run Parameters'!$B$2</f>
        <v>2019-04-26 08:00</v>
      </c>
      <c r="AG120" s="13" t="str">
        <f>'Run Parameters'!B$4</f>
        <v>AUTOTEST2</v>
      </c>
      <c r="AH120" s="53" t="str">
        <f t="shared" si="171"/>
        <v>Site_Contact_3634</v>
      </c>
      <c r="AI120" s="133" t="str">
        <f>'Run Parameters'!B$2</f>
        <v>2019-04-26 08:00</v>
      </c>
      <c r="AJ120" s="213" t="str">
        <f>'Run Parameters'!B$3</f>
        <v>2019-04-26 18:00</v>
      </c>
      <c r="AK120" s="13" t="s">
        <v>396</v>
      </c>
      <c r="AL120" s="53" t="str">
        <f t="shared" si="172"/>
        <v>011593634</v>
      </c>
      <c r="AM120" s="13" t="str">
        <f t="shared" si="173"/>
        <v>01153634</v>
      </c>
      <c r="AN120" s="15"/>
      <c r="AO120" s="51"/>
      <c r="AP120" s="13">
        <v>1</v>
      </c>
      <c r="AQ120" s="52" t="s">
        <v>49</v>
      </c>
      <c r="AR120" s="15"/>
      <c r="AS120" s="13"/>
      <c r="AT120" s="7" t="s">
        <v>400</v>
      </c>
      <c r="AU120" s="7"/>
      <c r="AV120" s="13">
        <f t="shared" si="174"/>
        <v>3634</v>
      </c>
      <c r="AW120" s="13" t="s">
        <v>767</v>
      </c>
      <c r="AX120" s="13" t="s">
        <v>420</v>
      </c>
      <c r="AY120" s="13" t="s">
        <v>421</v>
      </c>
      <c r="AZ120" s="15" t="s">
        <v>334</v>
      </c>
      <c r="BA120" s="14" t="s">
        <v>154</v>
      </c>
      <c r="BB120" s="21">
        <v>1</v>
      </c>
      <c r="BC120" s="20">
        <f t="shared" si="155"/>
        <v>3634</v>
      </c>
      <c r="BD120" s="16" t="s">
        <v>768</v>
      </c>
      <c r="BE120" s="16" t="s">
        <v>391</v>
      </c>
      <c r="BF120" s="16" t="s">
        <v>390</v>
      </c>
      <c r="BG120" s="20" t="s">
        <v>766</v>
      </c>
      <c r="BH120" s="20" t="str">
        <f t="shared" si="175"/>
        <v>3634_1</v>
      </c>
      <c r="BI120" s="21"/>
      <c r="BJ120" s="21" t="str">
        <f t="shared" si="176"/>
        <v>100000003634</v>
      </c>
      <c r="BK120" s="16" t="s">
        <v>51</v>
      </c>
      <c r="BL120" s="16" t="s">
        <v>54</v>
      </c>
      <c r="BM120" s="20" t="s">
        <v>769</v>
      </c>
      <c r="BN120" s="16" t="s">
        <v>51</v>
      </c>
      <c r="BO120" s="20" t="str">
        <f t="shared" si="177"/>
        <v>S05S3634</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GAS_ENQ_NO-3634</v>
      </c>
      <c r="CK120" s="7" t="s">
        <v>165</v>
      </c>
      <c r="CL120" s="7" t="s">
        <v>391</v>
      </c>
      <c r="CM120" s="7" t="s">
        <v>390</v>
      </c>
      <c r="CN120" s="6" t="s">
        <v>278</v>
      </c>
      <c r="CO120" s="6" t="str">
        <f t="shared" si="160"/>
        <v>GAS_JOB_ID-3634</v>
      </c>
      <c r="CP120" s="7"/>
      <c r="CQ120" s="6" t="str">
        <f t="shared" si="161"/>
        <v>100003634</v>
      </c>
      <c r="CR120" s="6" t="s">
        <v>154</v>
      </c>
      <c r="CS120" s="7" t="s">
        <v>51</v>
      </c>
      <c r="CT120" s="27" t="str">
        <f t="shared" si="162"/>
        <v>GMETER3634</v>
      </c>
      <c r="CU120" s="6" t="s">
        <v>161</v>
      </c>
      <c r="CV120" s="7" t="s">
        <v>165</v>
      </c>
      <c r="CW120" s="7" t="s">
        <v>772</v>
      </c>
      <c r="CX120" s="7"/>
      <c r="CY120" s="7"/>
      <c r="CZ120" s="7" t="s">
        <v>394</v>
      </c>
      <c r="DA120" s="7" t="s">
        <v>395</v>
      </c>
      <c r="DB120" s="6" t="str">
        <f t="shared" si="163"/>
        <v>GAS_INST_ID-3634</v>
      </c>
      <c r="DC120" s="7" t="s">
        <v>161</v>
      </c>
      <c r="DD120" s="7"/>
      <c r="DE120" s="7" t="s">
        <v>51</v>
      </c>
      <c r="DF120" s="7" t="s">
        <v>264</v>
      </c>
      <c r="DG120" s="7"/>
      <c r="DH120" s="7" t="s">
        <v>397</v>
      </c>
      <c r="DI120" s="7" t="s">
        <v>399</v>
      </c>
      <c r="DJ120" s="10" t="s">
        <v>267</v>
      </c>
      <c r="DK120" s="7" t="s">
        <v>140</v>
      </c>
      <c r="DL120" s="40"/>
      <c r="DM120" s="40"/>
      <c r="DN120" s="38" t="str">
        <f t="shared" si="164"/>
        <v>DS_Pass-3634</v>
      </c>
      <c r="DO120" s="40"/>
      <c r="DP120" s="40"/>
      <c r="DQ120" s="40"/>
      <c r="DR120" s="41"/>
      <c r="DS120" s="41"/>
      <c r="DT120" s="40"/>
      <c r="DU120" s="40"/>
      <c r="DV120" s="40"/>
      <c r="DW120" s="41"/>
      <c r="DX120" s="40"/>
      <c r="DY120" s="40"/>
      <c r="DZ120" s="37" t="s">
        <v>770</v>
      </c>
      <c r="EA120" s="39"/>
      <c r="EB120" s="37"/>
      <c r="EC120" s="37"/>
      <c r="ED120" s="16"/>
      <c r="EE120" s="1"/>
      <c r="EF120" s="54"/>
    </row>
    <row r="121" spans="1:136" x14ac:dyDescent="0.2">
      <c r="A121" s="209" t="s">
        <v>873</v>
      </c>
      <c r="B121" s="209" t="s">
        <v>868</v>
      </c>
      <c r="C121" s="209" t="s">
        <v>865</v>
      </c>
      <c r="D121" s="13">
        <f>'Run Parameters'!$B$1 + ROW()-1</f>
        <v>3635</v>
      </c>
      <c r="E121" s="15" t="s">
        <v>47</v>
      </c>
      <c r="F121" s="18" t="s">
        <v>766</v>
      </c>
      <c r="G121" s="13" t="str">
        <f t="shared" si="142"/>
        <v>Access Dtls-3635</v>
      </c>
      <c r="H121" s="15" t="s">
        <v>275</v>
      </c>
      <c r="I121" s="13" t="str">
        <f>("MR. Test_112_EXCH3_"&amp;D121&amp;"")</f>
        <v>MR. Test_112_EXCH3_3635</v>
      </c>
      <c r="J121" s="18"/>
      <c r="K121" s="19" t="s">
        <v>425</v>
      </c>
      <c r="L121" s="13" t="str">
        <f t="shared" si="143"/>
        <v>Cust. Ref-3635</v>
      </c>
      <c r="M121" s="15" t="s">
        <v>48</v>
      </c>
      <c r="N121" s="15" t="s">
        <v>425</v>
      </c>
      <c r="O121" s="13"/>
      <c r="P121" s="13" t="str">
        <f t="shared" si="144"/>
        <v>SN-3635</v>
      </c>
      <c r="Q121" s="13" t="str">
        <f t="shared" si="165"/>
        <v>SI-3635</v>
      </c>
      <c r="R121" s="13" t="str">
        <f t="shared" si="166"/>
        <v>SE-3635</v>
      </c>
      <c r="S121" s="53" t="str">
        <f t="shared" si="167"/>
        <v>Prev_RA-3635</v>
      </c>
      <c r="T121" s="53" t="str">
        <f t="shared" si="168"/>
        <v>Prev_Comms-3635</v>
      </c>
      <c r="U121" s="17" t="s">
        <v>75</v>
      </c>
      <c r="V121" s="15" t="s">
        <v>401</v>
      </c>
      <c r="W121" s="17" t="s">
        <v>75</v>
      </c>
      <c r="X121" s="15" t="s">
        <v>396</v>
      </c>
      <c r="Y121" s="13" t="str">
        <f t="shared" si="169"/>
        <v>Forward Add-3635</v>
      </c>
      <c r="Z121" s="15" t="s">
        <v>401</v>
      </c>
      <c r="AA121" s="133" t="str">
        <f>'Run Parameters'!$B$2</f>
        <v>2019-04-26 08:00</v>
      </c>
      <c r="AB121" s="213" t="str">
        <f>'Run Parameters'!B$3</f>
        <v>2019-04-26 18:00</v>
      </c>
      <c r="AC121" s="26">
        <f>('Run Parameters'!$B$2) - 7</f>
        <v>43574.333333333336</v>
      </c>
      <c r="AD121" s="17" t="s">
        <v>75</v>
      </c>
      <c r="AE121" s="18" t="str">
        <f t="shared" si="170"/>
        <v>LAST_METER-3635</v>
      </c>
      <c r="AF121" s="133" t="str">
        <f>'Run Parameters'!$B$2</f>
        <v>2019-04-26 08:00</v>
      </c>
      <c r="AG121" s="13" t="str">
        <f>'Run Parameters'!B$4</f>
        <v>AUTOTEST2</v>
      </c>
      <c r="AH121" s="53" t="str">
        <f t="shared" si="171"/>
        <v>Site_Contact_3635</v>
      </c>
      <c r="AI121" s="133" t="str">
        <f>'Run Parameters'!B$2</f>
        <v>2019-04-26 08:00</v>
      </c>
      <c r="AJ121" s="213" t="str">
        <f>'Run Parameters'!B$3</f>
        <v>2019-04-26 18:00</v>
      </c>
      <c r="AK121" s="13" t="s">
        <v>396</v>
      </c>
      <c r="AL121" s="53" t="str">
        <f t="shared" si="172"/>
        <v>011593635</v>
      </c>
      <c r="AM121" s="13" t="str">
        <f t="shared" si="173"/>
        <v>01153635</v>
      </c>
      <c r="AN121" s="15"/>
      <c r="AO121" s="51"/>
      <c r="AP121" s="13">
        <v>1</v>
      </c>
      <c r="AQ121" s="52" t="s">
        <v>49</v>
      </c>
      <c r="AR121" s="15"/>
      <c r="AS121" s="13"/>
      <c r="AT121" s="7" t="s">
        <v>400</v>
      </c>
      <c r="AU121" s="7"/>
      <c r="AV121" s="13">
        <f t="shared" si="174"/>
        <v>3635</v>
      </c>
      <c r="AW121" s="13" t="s">
        <v>767</v>
      </c>
      <c r="AX121" s="13" t="s">
        <v>420</v>
      </c>
      <c r="AY121" s="13" t="s">
        <v>421</v>
      </c>
      <c r="AZ121" s="15" t="s">
        <v>334</v>
      </c>
      <c r="BA121" s="14" t="s">
        <v>154</v>
      </c>
      <c r="BB121" s="21">
        <v>1</v>
      </c>
      <c r="BC121" s="20">
        <f t="shared" si="155"/>
        <v>3635</v>
      </c>
      <c r="BD121" s="16" t="s">
        <v>768</v>
      </c>
      <c r="BE121" s="16" t="s">
        <v>391</v>
      </c>
      <c r="BF121" s="16" t="s">
        <v>390</v>
      </c>
      <c r="BG121" s="20" t="s">
        <v>766</v>
      </c>
      <c r="BH121" s="20" t="str">
        <f t="shared" si="175"/>
        <v>3635_1</v>
      </c>
      <c r="BI121" s="21"/>
      <c r="BJ121" s="21" t="str">
        <f t="shared" si="176"/>
        <v>100000003635</v>
      </c>
      <c r="BK121" s="16" t="s">
        <v>51</v>
      </c>
      <c r="BL121" s="16" t="s">
        <v>54</v>
      </c>
      <c r="BM121" s="20" t="s">
        <v>769</v>
      </c>
      <c r="BN121" s="16" t="s">
        <v>51</v>
      </c>
      <c r="BO121" s="20" t="str">
        <f t="shared" si="177"/>
        <v>S05S3635</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GAS_ENQ_NO-3635</v>
      </c>
      <c r="CK121" s="7" t="s">
        <v>165</v>
      </c>
      <c r="CL121" s="7" t="s">
        <v>391</v>
      </c>
      <c r="CM121" s="7" t="s">
        <v>390</v>
      </c>
      <c r="CN121" s="6" t="s">
        <v>278</v>
      </c>
      <c r="CO121" s="6" t="str">
        <f t="shared" si="160"/>
        <v>GAS_JOB_ID-3635</v>
      </c>
      <c r="CP121" s="7"/>
      <c r="CQ121" s="6" t="str">
        <f t="shared" si="161"/>
        <v>100003635</v>
      </c>
      <c r="CR121" s="6" t="s">
        <v>154</v>
      </c>
      <c r="CS121" s="7" t="s">
        <v>51</v>
      </c>
      <c r="CT121" s="27" t="str">
        <f t="shared" si="162"/>
        <v>GMETER3635</v>
      </c>
      <c r="CU121" s="6" t="s">
        <v>161</v>
      </c>
      <c r="CV121" s="7" t="s">
        <v>165</v>
      </c>
      <c r="CW121" s="7" t="s">
        <v>772</v>
      </c>
      <c r="CX121" s="7"/>
      <c r="CY121" s="7"/>
      <c r="CZ121" s="7" t="s">
        <v>394</v>
      </c>
      <c r="DA121" s="7" t="s">
        <v>395</v>
      </c>
      <c r="DB121" s="6" t="str">
        <f t="shared" si="163"/>
        <v>GAS_INST_ID-3635</v>
      </c>
      <c r="DC121" s="7" t="s">
        <v>161</v>
      </c>
      <c r="DD121" s="7"/>
      <c r="DE121" s="7" t="s">
        <v>51</v>
      </c>
      <c r="DF121" s="7" t="s">
        <v>264</v>
      </c>
      <c r="DG121" s="7"/>
      <c r="DH121" s="7" t="s">
        <v>397</v>
      </c>
      <c r="DI121" s="7" t="s">
        <v>399</v>
      </c>
      <c r="DJ121" s="10" t="s">
        <v>267</v>
      </c>
      <c r="DK121" s="7" t="s">
        <v>140</v>
      </c>
      <c r="DL121" s="40"/>
      <c r="DM121" s="40"/>
      <c r="DN121" s="38" t="str">
        <f t="shared" si="164"/>
        <v>DS_Pass-3635</v>
      </c>
      <c r="DO121" s="40"/>
      <c r="DP121" s="40"/>
      <c r="DQ121" s="40"/>
      <c r="DR121" s="41"/>
      <c r="DS121" s="41"/>
      <c r="DT121" s="40"/>
      <c r="DU121" s="40"/>
      <c r="DV121" s="40"/>
      <c r="DW121" s="41"/>
      <c r="DX121" s="40"/>
      <c r="DY121" s="40"/>
      <c r="DZ121" s="37" t="s">
        <v>770</v>
      </c>
      <c r="EA121" s="39"/>
      <c r="EB121" s="37"/>
      <c r="EC121" s="37"/>
      <c r="ED121" s="16"/>
      <c r="EE121" s="1"/>
      <c r="EF121" s="54"/>
    </row>
    <row r="122" spans="1:136" x14ac:dyDescent="0.2">
      <c r="A122" s="209" t="s">
        <v>874</v>
      </c>
      <c r="B122" s="209" t="s">
        <v>892</v>
      </c>
      <c r="C122" s="209" t="s">
        <v>865</v>
      </c>
      <c r="D122" s="13">
        <f>'Run Parameters'!$B$1 + ROW()-1</f>
        <v>3636</v>
      </c>
      <c r="E122" s="15" t="s">
        <v>47</v>
      </c>
      <c r="F122" s="18" t="s">
        <v>766</v>
      </c>
      <c r="G122" s="13" t="str">
        <f t="shared" si="142"/>
        <v>Access Dtls-3636</v>
      </c>
      <c r="H122" s="15" t="s">
        <v>275</v>
      </c>
      <c r="I122" s="13" t="str">
        <f>("MR. Test_113_EXCH3_"&amp;D122&amp;"")</f>
        <v>MR. Test_113_EXCH3_3636</v>
      </c>
      <c r="J122" s="18"/>
      <c r="K122" s="19" t="s">
        <v>425</v>
      </c>
      <c r="L122" s="13" t="str">
        <f t="shared" si="143"/>
        <v>Cust. Ref-3636</v>
      </c>
      <c r="M122" s="15" t="s">
        <v>48</v>
      </c>
      <c r="N122" s="15" t="s">
        <v>425</v>
      </c>
      <c r="O122" s="13"/>
      <c r="P122" s="13" t="str">
        <f t="shared" si="144"/>
        <v>SN-3636</v>
      </c>
      <c r="Q122" s="13" t="str">
        <f t="shared" si="165"/>
        <v>SI-3636</v>
      </c>
      <c r="R122" s="13" t="str">
        <f t="shared" si="166"/>
        <v>SE-3636</v>
      </c>
      <c r="S122" s="53" t="str">
        <f t="shared" si="167"/>
        <v>Prev_RA-3636</v>
      </c>
      <c r="T122" s="53" t="str">
        <f t="shared" si="168"/>
        <v>Prev_Comms-3636</v>
      </c>
      <c r="U122" s="17" t="s">
        <v>75</v>
      </c>
      <c r="V122" s="15" t="s">
        <v>401</v>
      </c>
      <c r="W122" s="17" t="s">
        <v>75</v>
      </c>
      <c r="X122" s="15" t="s">
        <v>396</v>
      </c>
      <c r="Y122" s="13" t="str">
        <f t="shared" si="169"/>
        <v>Forward Add-3636</v>
      </c>
      <c r="Z122" s="15" t="s">
        <v>401</v>
      </c>
      <c r="AA122" s="133" t="str">
        <f>'Run Parameters'!$B$2</f>
        <v>2019-04-26 08:00</v>
      </c>
      <c r="AB122" s="213" t="str">
        <f>'Run Parameters'!B$3</f>
        <v>2019-04-26 18:00</v>
      </c>
      <c r="AC122" s="26">
        <f>('Run Parameters'!$B$2) - 7</f>
        <v>43574.333333333336</v>
      </c>
      <c r="AD122" s="17" t="s">
        <v>75</v>
      </c>
      <c r="AE122" s="18" t="str">
        <f t="shared" si="170"/>
        <v>LAST_METER-3636</v>
      </c>
      <c r="AF122" s="133" t="str">
        <f>'Run Parameters'!$B$2</f>
        <v>2019-04-26 08:00</v>
      </c>
      <c r="AG122" s="13" t="str">
        <f>'Run Parameters'!B$4</f>
        <v>AUTOTEST2</v>
      </c>
      <c r="AH122" s="53" t="str">
        <f t="shared" si="171"/>
        <v>Site_Contact_3636</v>
      </c>
      <c r="AI122" s="133" t="str">
        <f>'Run Parameters'!B$2</f>
        <v>2019-04-26 08:00</v>
      </c>
      <c r="AJ122" s="213" t="str">
        <f>'Run Parameters'!B$3</f>
        <v>2019-04-26 18:00</v>
      </c>
      <c r="AK122" s="13" t="s">
        <v>396</v>
      </c>
      <c r="AL122" s="53" t="str">
        <f t="shared" si="172"/>
        <v>011593636</v>
      </c>
      <c r="AM122" s="13" t="str">
        <f t="shared" si="173"/>
        <v>01153636</v>
      </c>
      <c r="AN122" s="15"/>
      <c r="AO122" s="51"/>
      <c r="AP122" s="13">
        <v>1</v>
      </c>
      <c r="AQ122" s="52" t="s">
        <v>49</v>
      </c>
      <c r="AR122" s="15"/>
      <c r="AS122" s="13"/>
      <c r="AT122" s="7" t="s">
        <v>400</v>
      </c>
      <c r="AU122" s="7"/>
      <c r="AV122" s="13">
        <f t="shared" si="174"/>
        <v>3636</v>
      </c>
      <c r="AW122" s="13" t="s">
        <v>767</v>
      </c>
      <c r="AX122" s="13" t="s">
        <v>420</v>
      </c>
      <c r="AY122" s="13" t="s">
        <v>421</v>
      </c>
      <c r="AZ122" s="15" t="s">
        <v>334</v>
      </c>
      <c r="BA122" s="14" t="s">
        <v>154</v>
      </c>
      <c r="BB122" s="21">
        <v>1</v>
      </c>
      <c r="BC122" s="20">
        <f t="shared" si="155"/>
        <v>3636</v>
      </c>
      <c r="BD122" s="16" t="s">
        <v>768</v>
      </c>
      <c r="BE122" s="16" t="s">
        <v>391</v>
      </c>
      <c r="BF122" s="16" t="s">
        <v>390</v>
      </c>
      <c r="BG122" s="20" t="s">
        <v>766</v>
      </c>
      <c r="BH122" s="20" t="str">
        <f t="shared" si="175"/>
        <v>3636_1</v>
      </c>
      <c r="BI122" s="21"/>
      <c r="BJ122" s="21" t="str">
        <f t="shared" si="176"/>
        <v>100000003636</v>
      </c>
      <c r="BK122" s="16" t="s">
        <v>51</v>
      </c>
      <c r="BL122" s="16" t="s">
        <v>54</v>
      </c>
      <c r="BM122" s="20" t="s">
        <v>769</v>
      </c>
      <c r="BN122" s="16" t="s">
        <v>51</v>
      </c>
      <c r="BO122" s="20" t="str">
        <f t="shared" si="177"/>
        <v>S05S3636</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GAS_ENQ_NO-3636</v>
      </c>
      <c r="CK122" s="7" t="s">
        <v>165</v>
      </c>
      <c r="CL122" s="7" t="s">
        <v>391</v>
      </c>
      <c r="CM122" s="7" t="s">
        <v>390</v>
      </c>
      <c r="CN122" s="6" t="s">
        <v>278</v>
      </c>
      <c r="CO122" s="6" t="str">
        <f t="shared" si="160"/>
        <v>GAS_JOB_ID-3636</v>
      </c>
      <c r="CP122" s="7"/>
      <c r="CQ122" s="6" t="str">
        <f t="shared" si="161"/>
        <v>100003636</v>
      </c>
      <c r="CR122" s="6" t="s">
        <v>154</v>
      </c>
      <c r="CS122" s="7" t="s">
        <v>51</v>
      </c>
      <c r="CT122" s="27" t="str">
        <f t="shared" si="162"/>
        <v>GMETER3636</v>
      </c>
      <c r="CU122" s="6" t="s">
        <v>161</v>
      </c>
      <c r="CV122" s="7" t="s">
        <v>165</v>
      </c>
      <c r="CW122" s="7" t="s">
        <v>772</v>
      </c>
      <c r="CX122" s="7"/>
      <c r="CY122" s="7"/>
      <c r="CZ122" s="7" t="s">
        <v>394</v>
      </c>
      <c r="DA122" s="7" t="s">
        <v>395</v>
      </c>
      <c r="DB122" s="6" t="str">
        <f t="shared" si="163"/>
        <v>GAS_INST_ID-3636</v>
      </c>
      <c r="DC122" s="7" t="s">
        <v>161</v>
      </c>
      <c r="DD122" s="7"/>
      <c r="DE122" s="7" t="s">
        <v>51</v>
      </c>
      <c r="DF122" s="7" t="s">
        <v>264</v>
      </c>
      <c r="DG122" s="7"/>
      <c r="DH122" s="7" t="s">
        <v>397</v>
      </c>
      <c r="DI122" s="7" t="s">
        <v>399</v>
      </c>
      <c r="DJ122" s="10" t="s">
        <v>267</v>
      </c>
      <c r="DK122" s="7" t="s">
        <v>140</v>
      </c>
      <c r="DL122" s="40"/>
      <c r="DM122" s="40"/>
      <c r="DN122" s="38" t="str">
        <f t="shared" si="164"/>
        <v>DS_Pass-3636</v>
      </c>
      <c r="DO122" s="40"/>
      <c r="DP122" s="40"/>
      <c r="DQ122" s="40"/>
      <c r="DR122" s="41"/>
      <c r="DS122" s="41"/>
      <c r="DT122" s="40"/>
      <c r="DU122" s="40"/>
      <c r="DV122" s="40"/>
      <c r="DW122" s="41"/>
      <c r="DX122" s="40"/>
      <c r="DY122" s="40"/>
      <c r="DZ122" s="37" t="s">
        <v>770</v>
      </c>
      <c r="EA122" s="39"/>
      <c r="EB122" s="37"/>
      <c r="EC122" s="37"/>
      <c r="ED122" s="16"/>
      <c r="EE122" s="1"/>
      <c r="EF122" s="54"/>
    </row>
    <row r="123" spans="1:136" x14ac:dyDescent="0.2">
      <c r="A123" s="209" t="s">
        <v>875</v>
      </c>
      <c r="B123" s="209" t="s">
        <v>868</v>
      </c>
      <c r="C123" s="209" t="s">
        <v>865</v>
      </c>
      <c r="D123" s="13">
        <f>'Run Parameters'!$B$1 + ROW()-1</f>
        <v>3637</v>
      </c>
      <c r="E123" s="15" t="s">
        <v>47</v>
      </c>
      <c r="F123" s="18" t="s">
        <v>766</v>
      </c>
      <c r="G123" s="13" t="str">
        <f t="shared" si="142"/>
        <v>Access Dtls-3637</v>
      </c>
      <c r="H123" s="15" t="s">
        <v>275</v>
      </c>
      <c r="I123" s="13" t="str">
        <f>("MR. Test_114_EXCH3_"&amp;D123&amp;"")</f>
        <v>MR. Test_114_EXCH3_3637</v>
      </c>
      <c r="J123" s="18"/>
      <c r="K123" s="19" t="s">
        <v>425</v>
      </c>
      <c r="L123" s="13" t="str">
        <f t="shared" si="143"/>
        <v>Cust. Ref-3637</v>
      </c>
      <c r="M123" s="15" t="s">
        <v>48</v>
      </c>
      <c r="N123" s="15" t="s">
        <v>425</v>
      </c>
      <c r="O123" s="13"/>
      <c r="P123" s="13" t="str">
        <f t="shared" si="144"/>
        <v>SN-3637</v>
      </c>
      <c r="Q123" s="13" t="str">
        <f t="shared" si="165"/>
        <v>SI-3637</v>
      </c>
      <c r="R123" s="13" t="str">
        <f t="shared" si="166"/>
        <v>SE-3637</v>
      </c>
      <c r="S123" s="53" t="str">
        <f t="shared" si="167"/>
        <v>Prev_RA-3637</v>
      </c>
      <c r="T123" s="53" t="str">
        <f t="shared" si="168"/>
        <v>Prev_Comms-3637</v>
      </c>
      <c r="U123" s="17" t="s">
        <v>75</v>
      </c>
      <c r="V123" s="15" t="s">
        <v>401</v>
      </c>
      <c r="W123" s="17" t="s">
        <v>75</v>
      </c>
      <c r="X123" s="15" t="s">
        <v>396</v>
      </c>
      <c r="Y123" s="13" t="str">
        <f t="shared" si="169"/>
        <v>Forward Add-3637</v>
      </c>
      <c r="Z123" s="15" t="s">
        <v>401</v>
      </c>
      <c r="AA123" s="133" t="str">
        <f>'Run Parameters'!$B$2</f>
        <v>2019-04-26 08:00</v>
      </c>
      <c r="AB123" s="213" t="str">
        <f>'Run Parameters'!B$3</f>
        <v>2019-04-26 18:00</v>
      </c>
      <c r="AC123" s="26">
        <f>('Run Parameters'!$B$2) - 7</f>
        <v>43574.333333333336</v>
      </c>
      <c r="AD123" s="17" t="s">
        <v>75</v>
      </c>
      <c r="AE123" s="18" t="str">
        <f t="shared" si="170"/>
        <v>LAST_METER-3637</v>
      </c>
      <c r="AF123" s="133" t="str">
        <f>'Run Parameters'!$B$2</f>
        <v>2019-04-26 08:00</v>
      </c>
      <c r="AG123" s="13" t="str">
        <f>'Run Parameters'!B$4</f>
        <v>AUTOTEST2</v>
      </c>
      <c r="AH123" s="53" t="str">
        <f t="shared" si="171"/>
        <v>Site_Contact_3637</v>
      </c>
      <c r="AI123" s="133" t="str">
        <f>'Run Parameters'!B$2</f>
        <v>2019-04-26 08:00</v>
      </c>
      <c r="AJ123" s="213" t="str">
        <f>'Run Parameters'!B$3</f>
        <v>2019-04-26 18:00</v>
      </c>
      <c r="AK123" s="13" t="s">
        <v>396</v>
      </c>
      <c r="AL123" s="53" t="str">
        <f t="shared" si="172"/>
        <v>011593637</v>
      </c>
      <c r="AM123" s="13" t="str">
        <f t="shared" si="173"/>
        <v>01153637</v>
      </c>
      <c r="AN123" s="15"/>
      <c r="AO123" s="51"/>
      <c r="AP123" s="13">
        <v>1</v>
      </c>
      <c r="AQ123" s="52" t="s">
        <v>49</v>
      </c>
      <c r="AR123" s="15"/>
      <c r="AS123" s="13"/>
      <c r="AT123" s="7" t="s">
        <v>400</v>
      </c>
      <c r="AU123" s="7"/>
      <c r="AV123" s="13">
        <f t="shared" si="174"/>
        <v>3637</v>
      </c>
      <c r="AW123" s="13" t="s">
        <v>767</v>
      </c>
      <c r="AX123" s="13" t="s">
        <v>420</v>
      </c>
      <c r="AY123" s="13" t="s">
        <v>421</v>
      </c>
      <c r="AZ123" s="15" t="s">
        <v>334</v>
      </c>
      <c r="BA123" s="14" t="s">
        <v>154</v>
      </c>
      <c r="BB123" s="21">
        <v>1</v>
      </c>
      <c r="BC123" s="20">
        <f t="shared" si="155"/>
        <v>3637</v>
      </c>
      <c r="BD123" s="16" t="s">
        <v>768</v>
      </c>
      <c r="BE123" s="16" t="s">
        <v>391</v>
      </c>
      <c r="BF123" s="16" t="s">
        <v>390</v>
      </c>
      <c r="BG123" s="20" t="s">
        <v>766</v>
      </c>
      <c r="BH123" s="20" t="str">
        <f t="shared" si="175"/>
        <v>3637_1</v>
      </c>
      <c r="BI123" s="21"/>
      <c r="BJ123" s="21" t="str">
        <f t="shared" si="176"/>
        <v>100000003637</v>
      </c>
      <c r="BK123" s="16" t="s">
        <v>51</v>
      </c>
      <c r="BL123" s="16" t="s">
        <v>54</v>
      </c>
      <c r="BM123" s="20" t="s">
        <v>769</v>
      </c>
      <c r="BN123" s="16" t="s">
        <v>51</v>
      </c>
      <c r="BO123" s="20" t="str">
        <f t="shared" si="177"/>
        <v>S05S3637</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GAS_ENQ_NO-3637</v>
      </c>
      <c r="CK123" s="7" t="s">
        <v>165</v>
      </c>
      <c r="CL123" s="7" t="s">
        <v>391</v>
      </c>
      <c r="CM123" s="7" t="s">
        <v>390</v>
      </c>
      <c r="CN123" s="6" t="s">
        <v>278</v>
      </c>
      <c r="CO123" s="6" t="str">
        <f t="shared" si="160"/>
        <v>GAS_JOB_ID-3637</v>
      </c>
      <c r="CP123" s="7"/>
      <c r="CQ123" s="6" t="str">
        <f t="shared" si="161"/>
        <v>100003637</v>
      </c>
      <c r="CR123" s="6" t="s">
        <v>154</v>
      </c>
      <c r="CS123" s="7" t="s">
        <v>51</v>
      </c>
      <c r="CT123" s="27" t="str">
        <f t="shared" si="162"/>
        <v>GMETER3637</v>
      </c>
      <c r="CU123" s="6" t="s">
        <v>161</v>
      </c>
      <c r="CV123" s="7" t="s">
        <v>165</v>
      </c>
      <c r="CW123" s="7" t="s">
        <v>772</v>
      </c>
      <c r="CX123" s="7"/>
      <c r="CY123" s="7"/>
      <c r="CZ123" s="7" t="s">
        <v>394</v>
      </c>
      <c r="DA123" s="7" t="s">
        <v>395</v>
      </c>
      <c r="DB123" s="6" t="str">
        <f t="shared" si="163"/>
        <v>GAS_INST_ID-3637</v>
      </c>
      <c r="DC123" s="7" t="s">
        <v>161</v>
      </c>
      <c r="DD123" s="7"/>
      <c r="DE123" s="7" t="s">
        <v>51</v>
      </c>
      <c r="DF123" s="7" t="s">
        <v>264</v>
      </c>
      <c r="DG123" s="7"/>
      <c r="DH123" s="7" t="s">
        <v>397</v>
      </c>
      <c r="DI123" s="7" t="s">
        <v>399</v>
      </c>
      <c r="DJ123" s="10" t="s">
        <v>267</v>
      </c>
      <c r="DK123" s="7" t="s">
        <v>140</v>
      </c>
      <c r="DL123" s="40"/>
      <c r="DM123" s="40"/>
      <c r="DN123" s="38" t="str">
        <f t="shared" si="164"/>
        <v>DS_Pass-3637</v>
      </c>
      <c r="DO123" s="40"/>
      <c r="DP123" s="40"/>
      <c r="DQ123" s="40"/>
      <c r="DR123" s="41"/>
      <c r="DS123" s="41"/>
      <c r="DT123" s="40"/>
      <c r="DU123" s="40"/>
      <c r="DV123" s="40"/>
      <c r="DW123" s="41"/>
      <c r="DX123" s="40"/>
      <c r="DY123" s="40"/>
      <c r="DZ123" s="37" t="s">
        <v>770</v>
      </c>
      <c r="EA123" s="39"/>
      <c r="EB123" s="37"/>
      <c r="EC123" s="37"/>
      <c r="ED123" s="16"/>
      <c r="EE123" s="1"/>
      <c r="EF123" s="54"/>
    </row>
    <row r="124" spans="1:136" x14ac:dyDescent="0.2">
      <c r="A124" s="209" t="s">
        <v>876</v>
      </c>
      <c r="B124" s="209" t="s">
        <v>892</v>
      </c>
      <c r="C124" s="209" t="s">
        <v>865</v>
      </c>
      <c r="D124" s="13">
        <f>'Run Parameters'!$B$1 + ROW()-1</f>
        <v>3638</v>
      </c>
      <c r="E124" s="15" t="s">
        <v>47</v>
      </c>
      <c r="F124" s="18" t="s">
        <v>766</v>
      </c>
      <c r="G124" s="13" t="str">
        <f t="shared" si="142"/>
        <v>Access Dtls-3638</v>
      </c>
      <c r="H124" s="15" t="s">
        <v>275</v>
      </c>
      <c r="I124" s="13" t="str">
        <f>("MR. Test_115_EXCH3_"&amp;D124&amp;"")</f>
        <v>MR. Test_115_EXCH3_3638</v>
      </c>
      <c r="J124" s="18"/>
      <c r="K124" s="19" t="s">
        <v>425</v>
      </c>
      <c r="L124" s="13" t="str">
        <f t="shared" si="143"/>
        <v>Cust. Ref-3638</v>
      </c>
      <c r="M124" s="15" t="s">
        <v>48</v>
      </c>
      <c r="N124" s="15" t="s">
        <v>425</v>
      </c>
      <c r="O124" s="13"/>
      <c r="P124" s="13" t="str">
        <f t="shared" si="144"/>
        <v>SN-3638</v>
      </c>
      <c r="Q124" s="13" t="str">
        <f t="shared" si="165"/>
        <v>SI-3638</v>
      </c>
      <c r="R124" s="13" t="str">
        <f t="shared" si="166"/>
        <v>SE-3638</v>
      </c>
      <c r="S124" s="53" t="str">
        <f t="shared" si="167"/>
        <v>Prev_RA-3638</v>
      </c>
      <c r="T124" s="53" t="str">
        <f t="shared" si="168"/>
        <v>Prev_Comms-3638</v>
      </c>
      <c r="U124" s="17" t="s">
        <v>75</v>
      </c>
      <c r="V124" s="15" t="s">
        <v>401</v>
      </c>
      <c r="W124" s="17" t="s">
        <v>75</v>
      </c>
      <c r="X124" s="15" t="s">
        <v>396</v>
      </c>
      <c r="Y124" s="13" t="str">
        <f t="shared" si="169"/>
        <v>Forward Add-3638</v>
      </c>
      <c r="Z124" s="15" t="s">
        <v>401</v>
      </c>
      <c r="AA124" s="133" t="str">
        <f>'Run Parameters'!$B$2</f>
        <v>2019-04-26 08:00</v>
      </c>
      <c r="AB124" s="213" t="str">
        <f>'Run Parameters'!B$3</f>
        <v>2019-04-26 18:00</v>
      </c>
      <c r="AC124" s="26">
        <f>('Run Parameters'!$B$2) - 7</f>
        <v>43574.333333333336</v>
      </c>
      <c r="AD124" s="17" t="s">
        <v>75</v>
      </c>
      <c r="AE124" s="18" t="str">
        <f t="shared" si="170"/>
        <v>LAST_METER-3638</v>
      </c>
      <c r="AF124" s="133" t="str">
        <f>'Run Parameters'!$B$2</f>
        <v>2019-04-26 08:00</v>
      </c>
      <c r="AG124" s="13" t="str">
        <f>'Run Parameters'!B$4</f>
        <v>AUTOTEST2</v>
      </c>
      <c r="AH124" s="53" t="str">
        <f t="shared" si="171"/>
        <v>Site_Contact_3638</v>
      </c>
      <c r="AI124" s="133" t="str">
        <f>'Run Parameters'!B$2</f>
        <v>2019-04-26 08:00</v>
      </c>
      <c r="AJ124" s="213" t="str">
        <f>'Run Parameters'!B$3</f>
        <v>2019-04-26 18:00</v>
      </c>
      <c r="AK124" s="13" t="s">
        <v>396</v>
      </c>
      <c r="AL124" s="53" t="str">
        <f t="shared" si="172"/>
        <v>011593638</v>
      </c>
      <c r="AM124" s="13" t="str">
        <f t="shared" si="173"/>
        <v>01153638</v>
      </c>
      <c r="AN124" s="15"/>
      <c r="AO124" s="51"/>
      <c r="AP124" s="13">
        <v>1</v>
      </c>
      <c r="AQ124" s="52" t="s">
        <v>49</v>
      </c>
      <c r="AR124" s="15"/>
      <c r="AS124" s="13"/>
      <c r="AT124" s="7" t="s">
        <v>400</v>
      </c>
      <c r="AU124" s="7"/>
      <c r="AV124" s="13">
        <f t="shared" si="174"/>
        <v>3638</v>
      </c>
      <c r="AW124" s="13" t="s">
        <v>767</v>
      </c>
      <c r="AX124" s="13" t="s">
        <v>420</v>
      </c>
      <c r="AY124" s="13" t="s">
        <v>421</v>
      </c>
      <c r="AZ124" s="15" t="s">
        <v>334</v>
      </c>
      <c r="BA124" s="14" t="s">
        <v>154</v>
      </c>
      <c r="BB124" s="21">
        <v>1</v>
      </c>
      <c r="BC124" s="20">
        <f t="shared" si="155"/>
        <v>3638</v>
      </c>
      <c r="BD124" s="16" t="s">
        <v>768</v>
      </c>
      <c r="BE124" s="16" t="s">
        <v>391</v>
      </c>
      <c r="BF124" s="16" t="s">
        <v>390</v>
      </c>
      <c r="BG124" s="20" t="s">
        <v>766</v>
      </c>
      <c r="BH124" s="20" t="str">
        <f t="shared" si="175"/>
        <v>3638_1</v>
      </c>
      <c r="BI124" s="21"/>
      <c r="BJ124" s="21" t="str">
        <f t="shared" si="176"/>
        <v>100000003638</v>
      </c>
      <c r="BK124" s="16" t="s">
        <v>51</v>
      </c>
      <c r="BL124" s="16" t="s">
        <v>54</v>
      </c>
      <c r="BM124" s="20" t="s">
        <v>769</v>
      </c>
      <c r="BN124" s="16" t="s">
        <v>51</v>
      </c>
      <c r="BO124" s="20" t="str">
        <f t="shared" si="177"/>
        <v>S05S3638</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GAS_ENQ_NO-3638</v>
      </c>
      <c r="CK124" s="7" t="s">
        <v>165</v>
      </c>
      <c r="CL124" s="7" t="s">
        <v>391</v>
      </c>
      <c r="CM124" s="7" t="s">
        <v>390</v>
      </c>
      <c r="CN124" s="6" t="s">
        <v>278</v>
      </c>
      <c r="CO124" s="6" t="str">
        <f t="shared" si="160"/>
        <v>GAS_JOB_ID-3638</v>
      </c>
      <c r="CP124" s="7"/>
      <c r="CQ124" s="6" t="str">
        <f t="shared" si="161"/>
        <v>100003638</v>
      </c>
      <c r="CR124" s="6" t="s">
        <v>154</v>
      </c>
      <c r="CS124" s="7" t="s">
        <v>51</v>
      </c>
      <c r="CT124" s="27" t="str">
        <f t="shared" si="162"/>
        <v>GMETER3638</v>
      </c>
      <c r="CU124" s="6" t="s">
        <v>161</v>
      </c>
      <c r="CV124" s="7" t="s">
        <v>165</v>
      </c>
      <c r="CW124" s="7" t="s">
        <v>772</v>
      </c>
      <c r="CX124" s="7"/>
      <c r="CY124" s="7"/>
      <c r="CZ124" s="7" t="s">
        <v>394</v>
      </c>
      <c r="DA124" s="7" t="s">
        <v>395</v>
      </c>
      <c r="DB124" s="6" t="str">
        <f t="shared" si="163"/>
        <v>GAS_INST_ID-3638</v>
      </c>
      <c r="DC124" s="7" t="s">
        <v>161</v>
      </c>
      <c r="DD124" s="7"/>
      <c r="DE124" s="7" t="s">
        <v>51</v>
      </c>
      <c r="DF124" s="7" t="s">
        <v>264</v>
      </c>
      <c r="DG124" s="7"/>
      <c r="DH124" s="7" t="s">
        <v>397</v>
      </c>
      <c r="DI124" s="7" t="s">
        <v>399</v>
      </c>
      <c r="DJ124" s="10" t="s">
        <v>267</v>
      </c>
      <c r="DK124" s="7" t="s">
        <v>140</v>
      </c>
      <c r="DL124" s="40"/>
      <c r="DM124" s="40"/>
      <c r="DN124" s="38" t="str">
        <f t="shared" si="164"/>
        <v>DS_Pass-3638</v>
      </c>
      <c r="DO124" s="40"/>
      <c r="DP124" s="40"/>
      <c r="DQ124" s="40"/>
      <c r="DR124" s="41"/>
      <c r="DS124" s="41"/>
      <c r="DT124" s="40"/>
      <c r="DU124" s="40"/>
      <c r="DV124" s="40"/>
      <c r="DW124" s="41"/>
      <c r="DX124" s="40"/>
      <c r="DY124" s="40"/>
      <c r="DZ124" s="37" t="s">
        <v>770</v>
      </c>
      <c r="EA124" s="39"/>
      <c r="EB124" s="37"/>
      <c r="EC124" s="37"/>
      <c r="ED124" s="16"/>
      <c r="EE124" s="1"/>
      <c r="EF124" s="54"/>
    </row>
    <row r="125" spans="1:136" x14ac:dyDescent="0.2">
      <c r="A125" s="209" t="s">
        <v>877</v>
      </c>
      <c r="B125" s="209" t="s">
        <v>868</v>
      </c>
      <c r="C125" s="209" t="s">
        <v>865</v>
      </c>
      <c r="D125" s="13">
        <f>'Run Parameters'!$B$1 + ROW()-1</f>
        <v>3639</v>
      </c>
      <c r="E125" s="15" t="s">
        <v>47</v>
      </c>
      <c r="F125" s="18" t="s">
        <v>766</v>
      </c>
      <c r="G125" s="13" t="str">
        <f t="shared" si="142"/>
        <v>Access Dtls-3639</v>
      </c>
      <c r="H125" s="15" t="s">
        <v>275</v>
      </c>
      <c r="I125" s="13" t="str">
        <f>("MR. Test_116_EXCH3_"&amp;D125&amp;"")</f>
        <v>MR. Test_116_EXCH3_3639</v>
      </c>
      <c r="J125" s="18"/>
      <c r="K125" s="19" t="s">
        <v>425</v>
      </c>
      <c r="L125" s="13" t="str">
        <f t="shared" si="143"/>
        <v>Cust. Ref-3639</v>
      </c>
      <c r="M125" s="15" t="s">
        <v>48</v>
      </c>
      <c r="N125" s="15" t="s">
        <v>425</v>
      </c>
      <c r="O125" s="13"/>
      <c r="P125" s="13" t="str">
        <f t="shared" si="144"/>
        <v>SN-3639</v>
      </c>
      <c r="Q125" s="13" t="str">
        <f t="shared" si="165"/>
        <v>SI-3639</v>
      </c>
      <c r="R125" s="13" t="str">
        <f t="shared" si="166"/>
        <v>SE-3639</v>
      </c>
      <c r="S125" s="53" t="str">
        <f t="shared" si="167"/>
        <v>Prev_RA-3639</v>
      </c>
      <c r="T125" s="53" t="str">
        <f t="shared" si="168"/>
        <v>Prev_Comms-3639</v>
      </c>
      <c r="U125" s="17" t="s">
        <v>75</v>
      </c>
      <c r="V125" s="15" t="s">
        <v>401</v>
      </c>
      <c r="W125" s="17" t="s">
        <v>75</v>
      </c>
      <c r="X125" s="15" t="s">
        <v>396</v>
      </c>
      <c r="Y125" s="13" t="str">
        <f t="shared" si="169"/>
        <v>Forward Add-3639</v>
      </c>
      <c r="Z125" s="15" t="s">
        <v>401</v>
      </c>
      <c r="AA125" s="133" t="str">
        <f>'Run Parameters'!$B$2</f>
        <v>2019-04-26 08:00</v>
      </c>
      <c r="AB125" s="213" t="str">
        <f>'Run Parameters'!B$3</f>
        <v>2019-04-26 18:00</v>
      </c>
      <c r="AC125" s="26">
        <f>('Run Parameters'!$B$2) - 7</f>
        <v>43574.333333333336</v>
      </c>
      <c r="AD125" s="17" t="s">
        <v>75</v>
      </c>
      <c r="AE125" s="18" t="str">
        <f t="shared" si="170"/>
        <v>LAST_METER-3639</v>
      </c>
      <c r="AF125" s="133" t="str">
        <f>'Run Parameters'!$B$2</f>
        <v>2019-04-26 08:00</v>
      </c>
      <c r="AG125" s="13" t="str">
        <f>'Run Parameters'!B$4</f>
        <v>AUTOTEST2</v>
      </c>
      <c r="AH125" s="53" t="str">
        <f t="shared" si="171"/>
        <v>Site_Contact_3639</v>
      </c>
      <c r="AI125" s="133" t="str">
        <f>'Run Parameters'!B$2</f>
        <v>2019-04-26 08:00</v>
      </c>
      <c r="AJ125" s="213" t="str">
        <f>'Run Parameters'!B$3</f>
        <v>2019-04-26 18:00</v>
      </c>
      <c r="AK125" s="13" t="s">
        <v>396</v>
      </c>
      <c r="AL125" s="53" t="str">
        <f t="shared" si="172"/>
        <v>011593639</v>
      </c>
      <c r="AM125" s="13" t="str">
        <f t="shared" si="173"/>
        <v>01153639</v>
      </c>
      <c r="AN125" s="15"/>
      <c r="AO125" s="51"/>
      <c r="AP125" s="13">
        <v>1</v>
      </c>
      <c r="AQ125" s="52" t="s">
        <v>49</v>
      </c>
      <c r="AR125" s="15"/>
      <c r="AS125" s="13"/>
      <c r="AT125" s="7" t="s">
        <v>400</v>
      </c>
      <c r="AU125" s="7"/>
      <c r="AV125" s="13">
        <f t="shared" si="174"/>
        <v>3639</v>
      </c>
      <c r="AW125" s="13" t="s">
        <v>767</v>
      </c>
      <c r="AX125" s="13" t="s">
        <v>420</v>
      </c>
      <c r="AY125" s="13" t="s">
        <v>421</v>
      </c>
      <c r="AZ125" s="15" t="s">
        <v>334</v>
      </c>
      <c r="BA125" s="14" t="s">
        <v>154</v>
      </c>
      <c r="BB125" s="21">
        <v>1</v>
      </c>
      <c r="BC125" s="20">
        <f t="shared" si="155"/>
        <v>3639</v>
      </c>
      <c r="BD125" s="16" t="s">
        <v>768</v>
      </c>
      <c r="BE125" s="16" t="s">
        <v>391</v>
      </c>
      <c r="BF125" s="16" t="s">
        <v>390</v>
      </c>
      <c r="BG125" s="20" t="s">
        <v>766</v>
      </c>
      <c r="BH125" s="20" t="str">
        <f t="shared" si="175"/>
        <v>3639_1</v>
      </c>
      <c r="BI125" s="21"/>
      <c r="BJ125" s="21" t="str">
        <f t="shared" si="176"/>
        <v>100000003639</v>
      </c>
      <c r="BK125" s="16" t="s">
        <v>51</v>
      </c>
      <c r="BL125" s="16" t="s">
        <v>54</v>
      </c>
      <c r="BM125" s="20" t="s">
        <v>769</v>
      </c>
      <c r="BN125" s="16" t="s">
        <v>51</v>
      </c>
      <c r="BO125" s="20" t="str">
        <f t="shared" si="177"/>
        <v>S05S3639</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GAS_ENQ_NO-3639</v>
      </c>
      <c r="CK125" s="7" t="s">
        <v>165</v>
      </c>
      <c r="CL125" s="7" t="s">
        <v>391</v>
      </c>
      <c r="CM125" s="7" t="s">
        <v>390</v>
      </c>
      <c r="CN125" s="6" t="s">
        <v>278</v>
      </c>
      <c r="CO125" s="6" t="str">
        <f t="shared" si="160"/>
        <v>GAS_JOB_ID-3639</v>
      </c>
      <c r="CP125" s="7"/>
      <c r="CQ125" s="6" t="str">
        <f t="shared" si="161"/>
        <v>100003639</v>
      </c>
      <c r="CR125" s="6" t="s">
        <v>154</v>
      </c>
      <c r="CS125" s="7" t="s">
        <v>51</v>
      </c>
      <c r="CT125" s="27" t="str">
        <f t="shared" si="162"/>
        <v>GMETER3639</v>
      </c>
      <c r="CU125" s="6" t="s">
        <v>161</v>
      </c>
      <c r="CV125" s="7" t="s">
        <v>165</v>
      </c>
      <c r="CW125" s="7" t="s">
        <v>772</v>
      </c>
      <c r="CX125" s="7"/>
      <c r="CY125" s="7"/>
      <c r="CZ125" s="7" t="s">
        <v>394</v>
      </c>
      <c r="DA125" s="7" t="s">
        <v>395</v>
      </c>
      <c r="DB125" s="6" t="str">
        <f t="shared" si="163"/>
        <v>GAS_INST_ID-3639</v>
      </c>
      <c r="DC125" s="7" t="s">
        <v>161</v>
      </c>
      <c r="DD125" s="7"/>
      <c r="DE125" s="7" t="s">
        <v>51</v>
      </c>
      <c r="DF125" s="7" t="s">
        <v>264</v>
      </c>
      <c r="DG125" s="7"/>
      <c r="DH125" s="7" t="s">
        <v>397</v>
      </c>
      <c r="DI125" s="7" t="s">
        <v>399</v>
      </c>
      <c r="DJ125" s="10" t="s">
        <v>267</v>
      </c>
      <c r="DK125" s="7" t="s">
        <v>140</v>
      </c>
      <c r="DL125" s="40"/>
      <c r="DM125" s="40"/>
      <c r="DN125" s="38" t="str">
        <f t="shared" si="164"/>
        <v>DS_Pass-3639</v>
      </c>
      <c r="DO125" s="40"/>
      <c r="DP125" s="40"/>
      <c r="DQ125" s="40"/>
      <c r="DR125" s="41"/>
      <c r="DS125" s="41"/>
      <c r="DT125" s="40"/>
      <c r="DU125" s="40"/>
      <c r="DV125" s="40"/>
      <c r="DW125" s="41"/>
      <c r="DX125" s="40"/>
      <c r="DY125" s="40"/>
      <c r="DZ125" s="37" t="s">
        <v>770</v>
      </c>
      <c r="EA125" s="39"/>
      <c r="EB125" s="37"/>
      <c r="EC125" s="37"/>
      <c r="ED125" s="16"/>
      <c r="EE125" s="1"/>
      <c r="EF125" s="54"/>
    </row>
    <row r="126" spans="1:136" x14ac:dyDescent="0.2">
      <c r="A126" s="209" t="s">
        <v>894</v>
      </c>
      <c r="B126" s="209" t="s">
        <v>892</v>
      </c>
      <c r="C126" s="209" t="s">
        <v>865</v>
      </c>
      <c r="D126" s="13">
        <f>'Run Parameters'!$B$1 + ROW()-1</f>
        <v>3640</v>
      </c>
      <c r="E126" s="15" t="s">
        <v>47</v>
      </c>
      <c r="F126" s="18" t="s">
        <v>766</v>
      </c>
      <c r="G126" s="13" t="str">
        <f t="shared" si="142"/>
        <v>Access Dtls-3640</v>
      </c>
      <c r="H126" s="15" t="s">
        <v>275</v>
      </c>
      <c r="I126" s="13" t="str">
        <f>("MR. Test_117_EXCH3_"&amp;D126&amp;"")</f>
        <v>MR. Test_117_EXCH3_3640</v>
      </c>
      <c r="J126" s="18"/>
      <c r="K126" s="19" t="s">
        <v>425</v>
      </c>
      <c r="L126" s="13" t="str">
        <f t="shared" si="143"/>
        <v>Cust. Ref-3640</v>
      </c>
      <c r="M126" s="15" t="s">
        <v>48</v>
      </c>
      <c r="N126" s="15" t="s">
        <v>425</v>
      </c>
      <c r="O126" s="13"/>
      <c r="P126" s="13" t="str">
        <f t="shared" si="144"/>
        <v>SN-3640</v>
      </c>
      <c r="Q126" s="13" t="str">
        <f t="shared" si="165"/>
        <v>SI-3640</v>
      </c>
      <c r="R126" s="13" t="str">
        <f t="shared" si="166"/>
        <v>SE-3640</v>
      </c>
      <c r="S126" s="53" t="str">
        <f t="shared" si="167"/>
        <v>Prev_RA-3640</v>
      </c>
      <c r="T126" s="53" t="str">
        <f t="shared" si="168"/>
        <v>Prev_Comms-3640</v>
      </c>
      <c r="U126" s="17" t="s">
        <v>75</v>
      </c>
      <c r="V126" s="15" t="s">
        <v>401</v>
      </c>
      <c r="W126" s="17" t="s">
        <v>75</v>
      </c>
      <c r="X126" s="15" t="s">
        <v>396</v>
      </c>
      <c r="Y126" s="13" t="str">
        <f t="shared" si="169"/>
        <v>Forward Add-3640</v>
      </c>
      <c r="Z126" s="15" t="s">
        <v>401</v>
      </c>
      <c r="AA126" s="133" t="str">
        <f>'Run Parameters'!$B$2</f>
        <v>2019-04-26 08:00</v>
      </c>
      <c r="AB126" s="213" t="str">
        <f>'Run Parameters'!B$3</f>
        <v>2019-04-26 18:00</v>
      </c>
      <c r="AC126" s="26">
        <f>('Run Parameters'!$B$2) - 7</f>
        <v>43574.333333333336</v>
      </c>
      <c r="AD126" s="17" t="s">
        <v>75</v>
      </c>
      <c r="AE126" s="18" t="str">
        <f t="shared" si="170"/>
        <v>LAST_METER-3640</v>
      </c>
      <c r="AF126" s="133" t="str">
        <f>'Run Parameters'!$B$2</f>
        <v>2019-04-26 08:00</v>
      </c>
      <c r="AG126" s="13" t="str">
        <f>'Run Parameters'!B$4</f>
        <v>AUTOTEST2</v>
      </c>
      <c r="AH126" s="53" t="str">
        <f t="shared" si="171"/>
        <v>Site_Contact_3640</v>
      </c>
      <c r="AI126" s="133" t="str">
        <f>'Run Parameters'!B$2</f>
        <v>2019-04-26 08:00</v>
      </c>
      <c r="AJ126" s="213" t="str">
        <f>'Run Parameters'!B$3</f>
        <v>2019-04-26 18:00</v>
      </c>
      <c r="AK126" s="13" t="s">
        <v>396</v>
      </c>
      <c r="AL126" s="53" t="str">
        <f t="shared" si="172"/>
        <v>011593640</v>
      </c>
      <c r="AM126" s="13" t="str">
        <f t="shared" si="173"/>
        <v>01153640</v>
      </c>
      <c r="AN126" s="15"/>
      <c r="AO126" s="51"/>
      <c r="AP126" s="13">
        <v>1</v>
      </c>
      <c r="AQ126" s="52" t="s">
        <v>49</v>
      </c>
      <c r="AR126" s="15"/>
      <c r="AS126" s="13"/>
      <c r="AT126" s="7" t="s">
        <v>400</v>
      </c>
      <c r="AU126" s="7"/>
      <c r="AV126" s="13">
        <f t="shared" si="174"/>
        <v>3640</v>
      </c>
      <c r="AW126" s="13" t="s">
        <v>767</v>
      </c>
      <c r="AX126" s="13" t="s">
        <v>420</v>
      </c>
      <c r="AY126" s="13" t="s">
        <v>421</v>
      </c>
      <c r="AZ126" s="15" t="s">
        <v>334</v>
      </c>
      <c r="BA126" s="14" t="s">
        <v>154</v>
      </c>
      <c r="BB126" s="21">
        <v>1</v>
      </c>
      <c r="BC126" s="20">
        <f t="shared" si="155"/>
        <v>3640</v>
      </c>
      <c r="BD126" s="16" t="s">
        <v>768</v>
      </c>
      <c r="BE126" s="16" t="s">
        <v>391</v>
      </c>
      <c r="BF126" s="16" t="s">
        <v>390</v>
      </c>
      <c r="BG126" s="20" t="s">
        <v>766</v>
      </c>
      <c r="BH126" s="20" t="str">
        <f t="shared" si="175"/>
        <v>3640_1</v>
      </c>
      <c r="BI126" s="21"/>
      <c r="BJ126" s="21" t="str">
        <f t="shared" si="176"/>
        <v>100000003640</v>
      </c>
      <c r="BK126" s="16" t="s">
        <v>51</v>
      </c>
      <c r="BL126" s="16" t="s">
        <v>54</v>
      </c>
      <c r="BM126" s="20" t="s">
        <v>769</v>
      </c>
      <c r="BN126" s="16" t="s">
        <v>51</v>
      </c>
      <c r="BO126" s="20" t="str">
        <f t="shared" si="177"/>
        <v>S05S3640</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GAS_ENQ_NO-3640</v>
      </c>
      <c r="CK126" s="7" t="s">
        <v>165</v>
      </c>
      <c r="CL126" s="7" t="s">
        <v>391</v>
      </c>
      <c r="CM126" s="7" t="s">
        <v>390</v>
      </c>
      <c r="CN126" s="6" t="s">
        <v>278</v>
      </c>
      <c r="CO126" s="6" t="str">
        <f t="shared" si="160"/>
        <v>GAS_JOB_ID-3640</v>
      </c>
      <c r="CP126" s="7"/>
      <c r="CQ126" s="6" t="str">
        <f t="shared" si="161"/>
        <v>100003640</v>
      </c>
      <c r="CR126" s="6" t="s">
        <v>154</v>
      </c>
      <c r="CS126" s="7" t="s">
        <v>51</v>
      </c>
      <c r="CT126" s="27" t="str">
        <f t="shared" si="162"/>
        <v>GMETER3640</v>
      </c>
      <c r="CU126" s="6" t="s">
        <v>161</v>
      </c>
      <c r="CV126" s="7" t="s">
        <v>165</v>
      </c>
      <c r="CW126" s="7" t="s">
        <v>772</v>
      </c>
      <c r="CX126" s="7"/>
      <c r="CY126" s="7"/>
      <c r="CZ126" s="7" t="s">
        <v>394</v>
      </c>
      <c r="DA126" s="7" t="s">
        <v>395</v>
      </c>
      <c r="DB126" s="6" t="str">
        <f t="shared" si="163"/>
        <v>GAS_INST_ID-3640</v>
      </c>
      <c r="DC126" s="7" t="s">
        <v>161</v>
      </c>
      <c r="DD126" s="7"/>
      <c r="DE126" s="7" t="s">
        <v>51</v>
      </c>
      <c r="DF126" s="7" t="s">
        <v>264</v>
      </c>
      <c r="DG126" s="7"/>
      <c r="DH126" s="7" t="s">
        <v>397</v>
      </c>
      <c r="DI126" s="7" t="s">
        <v>399</v>
      </c>
      <c r="DJ126" s="10" t="s">
        <v>267</v>
      </c>
      <c r="DK126" s="7" t="s">
        <v>140</v>
      </c>
      <c r="DL126" s="40"/>
      <c r="DM126" s="40"/>
      <c r="DN126" s="38" t="str">
        <f t="shared" si="164"/>
        <v>DS_Pass-3640</v>
      </c>
      <c r="DO126" s="40"/>
      <c r="DP126" s="40"/>
      <c r="DQ126" s="40"/>
      <c r="DR126" s="41"/>
      <c r="DS126" s="41"/>
      <c r="DT126" s="40"/>
      <c r="DU126" s="40"/>
      <c r="DV126" s="40"/>
      <c r="DW126" s="41"/>
      <c r="DX126" s="40"/>
      <c r="DY126" s="40"/>
      <c r="DZ126" s="37" t="s">
        <v>770</v>
      </c>
      <c r="EA126" s="39"/>
      <c r="EB126" s="37"/>
      <c r="EC126" s="37"/>
      <c r="ED126" s="16"/>
      <c r="EE126" s="1"/>
      <c r="EF126" s="54"/>
    </row>
    <row r="127" spans="1:136" x14ac:dyDescent="0.2">
      <c r="A127" s="209" t="s">
        <v>895</v>
      </c>
      <c r="B127" s="209" t="s">
        <v>868</v>
      </c>
      <c r="C127" s="209" t="s">
        <v>865</v>
      </c>
      <c r="D127" s="13">
        <f>'Run Parameters'!$B$1 + ROW()-1</f>
        <v>3641</v>
      </c>
      <c r="E127" s="15" t="s">
        <v>47</v>
      </c>
      <c r="F127" s="18" t="s">
        <v>766</v>
      </c>
      <c r="G127" s="13" t="str">
        <f t="shared" si="142"/>
        <v>Access Dtls-3641</v>
      </c>
      <c r="H127" s="15" t="s">
        <v>275</v>
      </c>
      <c r="I127" s="13" t="str">
        <f>("MR. Test_118_EXCH3_"&amp;D127&amp;"")</f>
        <v>MR. Test_118_EXCH3_3641</v>
      </c>
      <c r="J127" s="18"/>
      <c r="K127" s="19" t="s">
        <v>425</v>
      </c>
      <c r="L127" s="13" t="str">
        <f t="shared" si="143"/>
        <v>Cust. Ref-3641</v>
      </c>
      <c r="M127" s="15" t="s">
        <v>48</v>
      </c>
      <c r="N127" s="15" t="s">
        <v>425</v>
      </c>
      <c r="O127" s="13"/>
      <c r="P127" s="13" t="str">
        <f t="shared" si="144"/>
        <v>SN-3641</v>
      </c>
      <c r="Q127" s="13" t="str">
        <f t="shared" si="165"/>
        <v>SI-3641</v>
      </c>
      <c r="R127" s="13" t="str">
        <f t="shared" si="166"/>
        <v>SE-3641</v>
      </c>
      <c r="S127" s="53" t="str">
        <f t="shared" si="167"/>
        <v>Prev_RA-3641</v>
      </c>
      <c r="T127" s="53" t="str">
        <f t="shared" si="168"/>
        <v>Prev_Comms-3641</v>
      </c>
      <c r="U127" s="17" t="s">
        <v>75</v>
      </c>
      <c r="V127" s="15" t="s">
        <v>401</v>
      </c>
      <c r="W127" s="17" t="s">
        <v>75</v>
      </c>
      <c r="X127" s="15" t="s">
        <v>396</v>
      </c>
      <c r="Y127" s="13" t="str">
        <f t="shared" si="169"/>
        <v>Forward Add-3641</v>
      </c>
      <c r="Z127" s="15" t="s">
        <v>401</v>
      </c>
      <c r="AA127" s="133" t="str">
        <f>'Run Parameters'!$B$2</f>
        <v>2019-04-26 08:00</v>
      </c>
      <c r="AB127" s="213" t="str">
        <f>'Run Parameters'!B$3</f>
        <v>2019-04-26 18:00</v>
      </c>
      <c r="AC127" s="26">
        <f>('Run Parameters'!$B$2) - 7</f>
        <v>43574.333333333336</v>
      </c>
      <c r="AD127" s="17" t="s">
        <v>75</v>
      </c>
      <c r="AE127" s="18" t="str">
        <f t="shared" si="170"/>
        <v>LAST_METER-3641</v>
      </c>
      <c r="AF127" s="133" t="str">
        <f>'Run Parameters'!$B$2</f>
        <v>2019-04-26 08:00</v>
      </c>
      <c r="AG127" s="13" t="str">
        <f>'Run Parameters'!B$4</f>
        <v>AUTOTEST2</v>
      </c>
      <c r="AH127" s="53" t="str">
        <f t="shared" si="171"/>
        <v>Site_Contact_3641</v>
      </c>
      <c r="AI127" s="133" t="str">
        <f>'Run Parameters'!B$2</f>
        <v>2019-04-26 08:00</v>
      </c>
      <c r="AJ127" s="213" t="str">
        <f>'Run Parameters'!B$3</f>
        <v>2019-04-26 18:00</v>
      </c>
      <c r="AK127" s="13" t="s">
        <v>396</v>
      </c>
      <c r="AL127" s="53" t="str">
        <f t="shared" si="172"/>
        <v>011593641</v>
      </c>
      <c r="AM127" s="13" t="str">
        <f t="shared" si="173"/>
        <v>01153641</v>
      </c>
      <c r="AN127" s="15"/>
      <c r="AO127" s="51"/>
      <c r="AP127" s="13">
        <v>1</v>
      </c>
      <c r="AQ127" s="52" t="s">
        <v>49</v>
      </c>
      <c r="AR127" s="15"/>
      <c r="AS127" s="13"/>
      <c r="AT127" s="7" t="s">
        <v>400</v>
      </c>
      <c r="AU127" s="7"/>
      <c r="AV127" s="13">
        <f t="shared" si="174"/>
        <v>3641</v>
      </c>
      <c r="AW127" s="13" t="s">
        <v>767</v>
      </c>
      <c r="AX127" s="13" t="s">
        <v>420</v>
      </c>
      <c r="AY127" s="13" t="s">
        <v>421</v>
      </c>
      <c r="AZ127" s="15" t="s">
        <v>334</v>
      </c>
      <c r="BA127" s="14" t="s">
        <v>154</v>
      </c>
      <c r="BB127" s="21">
        <v>1</v>
      </c>
      <c r="BC127" s="20">
        <f t="shared" si="155"/>
        <v>3641</v>
      </c>
      <c r="BD127" s="16" t="s">
        <v>768</v>
      </c>
      <c r="BE127" s="16" t="s">
        <v>391</v>
      </c>
      <c r="BF127" s="16" t="s">
        <v>390</v>
      </c>
      <c r="BG127" s="20" t="s">
        <v>766</v>
      </c>
      <c r="BH127" s="20" t="str">
        <f t="shared" si="175"/>
        <v>3641_1</v>
      </c>
      <c r="BI127" s="21"/>
      <c r="BJ127" s="21" t="str">
        <f t="shared" si="176"/>
        <v>100000003641</v>
      </c>
      <c r="BK127" s="16" t="s">
        <v>51</v>
      </c>
      <c r="BL127" s="16" t="s">
        <v>54</v>
      </c>
      <c r="BM127" s="20" t="s">
        <v>769</v>
      </c>
      <c r="BN127" s="16" t="s">
        <v>51</v>
      </c>
      <c r="BO127" s="20" t="str">
        <f t="shared" si="177"/>
        <v>S05S3641</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GAS_ENQ_NO-3641</v>
      </c>
      <c r="CK127" s="7" t="s">
        <v>165</v>
      </c>
      <c r="CL127" s="7" t="s">
        <v>391</v>
      </c>
      <c r="CM127" s="7" t="s">
        <v>390</v>
      </c>
      <c r="CN127" s="6" t="s">
        <v>278</v>
      </c>
      <c r="CO127" s="6" t="str">
        <f t="shared" si="160"/>
        <v>GAS_JOB_ID-3641</v>
      </c>
      <c r="CP127" s="7"/>
      <c r="CQ127" s="6" t="str">
        <f t="shared" si="161"/>
        <v>100003641</v>
      </c>
      <c r="CR127" s="6" t="s">
        <v>154</v>
      </c>
      <c r="CS127" s="7" t="s">
        <v>51</v>
      </c>
      <c r="CT127" s="27" t="str">
        <f t="shared" si="162"/>
        <v>GMETER3641</v>
      </c>
      <c r="CU127" s="6" t="s">
        <v>161</v>
      </c>
      <c r="CV127" s="7" t="s">
        <v>165</v>
      </c>
      <c r="CW127" s="7" t="s">
        <v>772</v>
      </c>
      <c r="CX127" s="7"/>
      <c r="CY127" s="7"/>
      <c r="CZ127" s="7" t="s">
        <v>394</v>
      </c>
      <c r="DA127" s="7" t="s">
        <v>395</v>
      </c>
      <c r="DB127" s="6" t="str">
        <f t="shared" si="163"/>
        <v>GAS_INST_ID-3641</v>
      </c>
      <c r="DC127" s="7" t="s">
        <v>161</v>
      </c>
      <c r="DD127" s="7"/>
      <c r="DE127" s="7" t="s">
        <v>51</v>
      </c>
      <c r="DF127" s="7" t="s">
        <v>264</v>
      </c>
      <c r="DG127" s="7"/>
      <c r="DH127" s="7" t="s">
        <v>397</v>
      </c>
      <c r="DI127" s="7" t="s">
        <v>399</v>
      </c>
      <c r="DJ127" s="10" t="s">
        <v>267</v>
      </c>
      <c r="DK127" s="7" t="s">
        <v>140</v>
      </c>
      <c r="DL127" s="40"/>
      <c r="DM127" s="40"/>
      <c r="DN127" s="38" t="str">
        <f t="shared" si="164"/>
        <v>DS_Pass-3641</v>
      </c>
      <c r="DO127" s="40"/>
      <c r="DP127" s="40"/>
      <c r="DQ127" s="40"/>
      <c r="DR127" s="41"/>
      <c r="DS127" s="41"/>
      <c r="DT127" s="40"/>
      <c r="DU127" s="40"/>
      <c r="DV127" s="40"/>
      <c r="DW127" s="41"/>
      <c r="DX127" s="40"/>
      <c r="DY127" s="40"/>
      <c r="DZ127" s="37" t="s">
        <v>770</v>
      </c>
      <c r="EA127" s="39"/>
      <c r="EB127" s="37"/>
      <c r="EC127" s="37"/>
      <c r="ED127" s="16"/>
      <c r="EE127" s="1"/>
      <c r="EF127" s="54"/>
    </row>
    <row r="128" spans="1:136" x14ac:dyDescent="0.2">
      <c r="A128" s="209" t="s">
        <v>878</v>
      </c>
      <c r="B128" s="209" t="s">
        <v>892</v>
      </c>
      <c r="C128" s="209" t="s">
        <v>865</v>
      </c>
      <c r="D128" s="13">
        <f>'Run Parameters'!$B$1 + ROW()-1</f>
        <v>3642</v>
      </c>
      <c r="E128" s="15" t="s">
        <v>47</v>
      </c>
      <c r="F128" s="18" t="s">
        <v>766</v>
      </c>
      <c r="G128" s="13" t="str">
        <f t="shared" si="142"/>
        <v>Access Dtls-3642</v>
      </c>
      <c r="H128" s="15" t="s">
        <v>275</v>
      </c>
      <c r="I128" s="13" t="str">
        <f>("MR. Test_119_EXCH3_"&amp;D128&amp;"")</f>
        <v>MR. Test_119_EXCH3_3642</v>
      </c>
      <c r="J128" s="18"/>
      <c r="K128" s="19" t="s">
        <v>425</v>
      </c>
      <c r="L128" s="13" t="str">
        <f t="shared" si="143"/>
        <v>Cust. Ref-3642</v>
      </c>
      <c r="M128" s="15" t="s">
        <v>48</v>
      </c>
      <c r="N128" s="15" t="s">
        <v>425</v>
      </c>
      <c r="O128" s="13"/>
      <c r="P128" s="13" t="str">
        <f t="shared" si="144"/>
        <v>SN-3642</v>
      </c>
      <c r="Q128" s="13" t="str">
        <f t="shared" si="145"/>
        <v>SI-3642</v>
      </c>
      <c r="R128" s="13" t="str">
        <f t="shared" si="146"/>
        <v>SE-3642</v>
      </c>
      <c r="S128" s="53" t="str">
        <f t="shared" si="147"/>
        <v>Prev_RA-3642</v>
      </c>
      <c r="T128" s="53" t="str">
        <f t="shared" si="148"/>
        <v>Prev_Comms-3642</v>
      </c>
      <c r="U128" s="17" t="s">
        <v>75</v>
      </c>
      <c r="V128" s="15" t="s">
        <v>401</v>
      </c>
      <c r="W128" s="17" t="s">
        <v>75</v>
      </c>
      <c r="X128" s="15" t="s">
        <v>396</v>
      </c>
      <c r="Y128" s="13" t="str">
        <f t="shared" si="149"/>
        <v>Forward Add-3642</v>
      </c>
      <c r="Z128" s="15" t="s">
        <v>401</v>
      </c>
      <c r="AA128" s="133" t="str">
        <f>'Run Parameters'!$B$2</f>
        <v>2019-04-26 08:00</v>
      </c>
      <c r="AB128" s="213" t="str">
        <f>'Run Parameters'!B$3</f>
        <v>2019-04-26 18:00</v>
      </c>
      <c r="AC128" s="26">
        <f>('Run Parameters'!$B$2) - 7</f>
        <v>43574.333333333336</v>
      </c>
      <c r="AD128" s="17" t="s">
        <v>75</v>
      </c>
      <c r="AE128" s="18" t="str">
        <f t="shared" si="150"/>
        <v>LAST_METER-3642</v>
      </c>
      <c r="AF128" s="133" t="str">
        <f>'Run Parameters'!$B$2</f>
        <v>2019-04-26 08:00</v>
      </c>
      <c r="AG128" s="13" t="str">
        <f>'Run Parameters'!B$4</f>
        <v>AUTOTEST2</v>
      </c>
      <c r="AH128" s="53" t="str">
        <f t="shared" si="151"/>
        <v>Site_Contact_3642</v>
      </c>
      <c r="AI128" s="133" t="str">
        <f>'Run Parameters'!B$2</f>
        <v>2019-04-26 08:00</v>
      </c>
      <c r="AJ128" s="213" t="str">
        <f>'Run Parameters'!B$3</f>
        <v>2019-04-26 18:00</v>
      </c>
      <c r="AK128" s="13" t="s">
        <v>396</v>
      </c>
      <c r="AL128" s="53" t="str">
        <f t="shared" si="152"/>
        <v>011593642</v>
      </c>
      <c r="AM128" s="13" t="str">
        <f t="shared" si="153"/>
        <v>01153642</v>
      </c>
      <c r="AN128" s="15"/>
      <c r="AO128" s="51"/>
      <c r="AP128" s="13">
        <v>1</v>
      </c>
      <c r="AQ128" s="52" t="s">
        <v>49</v>
      </c>
      <c r="AR128" s="15"/>
      <c r="AS128" s="13"/>
      <c r="AT128" s="7" t="s">
        <v>400</v>
      </c>
      <c r="AU128" s="7"/>
      <c r="AV128" s="13">
        <f t="shared" si="154"/>
        <v>3642</v>
      </c>
      <c r="AW128" s="13" t="s">
        <v>767</v>
      </c>
      <c r="AX128" s="13" t="s">
        <v>420</v>
      </c>
      <c r="AY128" s="13" t="s">
        <v>421</v>
      </c>
      <c r="AZ128" s="15" t="s">
        <v>334</v>
      </c>
      <c r="BA128" s="14" t="s">
        <v>154</v>
      </c>
      <c r="BB128" s="21">
        <v>1</v>
      </c>
      <c r="BC128" s="20">
        <f t="shared" si="155"/>
        <v>3642</v>
      </c>
      <c r="BD128" s="16" t="s">
        <v>768</v>
      </c>
      <c r="BE128" s="16" t="s">
        <v>391</v>
      </c>
      <c r="BF128" s="16" t="s">
        <v>390</v>
      </c>
      <c r="BG128" s="20" t="s">
        <v>766</v>
      </c>
      <c r="BH128" s="20" t="str">
        <f t="shared" si="156"/>
        <v>3642_1</v>
      </c>
      <c r="BI128" s="21"/>
      <c r="BJ128" s="21" t="str">
        <f t="shared" si="157"/>
        <v>100000003642</v>
      </c>
      <c r="BK128" s="16" t="s">
        <v>51</v>
      </c>
      <c r="BL128" s="16" t="s">
        <v>54</v>
      </c>
      <c r="BM128" s="20" t="s">
        <v>769</v>
      </c>
      <c r="BN128" s="16" t="s">
        <v>51</v>
      </c>
      <c r="BO128" s="20" t="str">
        <f t="shared" si="158"/>
        <v>S05S3642</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GAS_ENQ_NO-3642</v>
      </c>
      <c r="CK128" s="7" t="s">
        <v>165</v>
      </c>
      <c r="CL128" s="7" t="s">
        <v>391</v>
      </c>
      <c r="CM128" s="7" t="s">
        <v>390</v>
      </c>
      <c r="CN128" s="6" t="s">
        <v>278</v>
      </c>
      <c r="CO128" s="6" t="str">
        <f t="shared" ref="CO128:CO150" si="179">("GAS_JOB_ID-" &amp; D128)</f>
        <v>GAS_JOB_ID-3642</v>
      </c>
      <c r="CP128" s="7"/>
      <c r="CQ128" s="6" t="str">
        <f t="shared" ref="CQ128:CQ150" si="180">"10000" &amp; D128</f>
        <v>100003642</v>
      </c>
      <c r="CR128" s="6" t="s">
        <v>154</v>
      </c>
      <c r="CS128" s="7" t="s">
        <v>51</v>
      </c>
      <c r="CT128" s="27" t="str">
        <f t="shared" ref="CT128:CT150" si="181">"GMETER" &amp; D128</f>
        <v>GMETER3642</v>
      </c>
      <c r="CU128" s="6" t="s">
        <v>161</v>
      </c>
      <c r="CV128" s="7" t="s">
        <v>165</v>
      </c>
      <c r="CW128" s="7" t="s">
        <v>772</v>
      </c>
      <c r="CX128" s="7"/>
      <c r="CY128" s="7"/>
      <c r="CZ128" s="7" t="s">
        <v>394</v>
      </c>
      <c r="DA128" s="7" t="s">
        <v>395</v>
      </c>
      <c r="DB128" s="6" t="str">
        <f t="shared" si="163"/>
        <v>GAS_INST_ID-3642</v>
      </c>
      <c r="DC128" s="7" t="s">
        <v>161</v>
      </c>
      <c r="DD128" s="7"/>
      <c r="DE128" s="7" t="s">
        <v>51</v>
      </c>
      <c r="DF128" s="7" t="s">
        <v>264</v>
      </c>
      <c r="DG128" s="7"/>
      <c r="DH128" s="7" t="s">
        <v>397</v>
      </c>
      <c r="DI128" s="7" t="s">
        <v>399</v>
      </c>
      <c r="DJ128" s="10" t="s">
        <v>267</v>
      </c>
      <c r="DK128" s="7" t="s">
        <v>140</v>
      </c>
      <c r="DL128" s="40"/>
      <c r="DM128" s="40"/>
      <c r="DN128" s="38" t="str">
        <f t="shared" si="164"/>
        <v>DS_Pass-3642</v>
      </c>
      <c r="DO128" s="40"/>
      <c r="DP128" s="40"/>
      <c r="DQ128" s="40"/>
      <c r="DR128" s="41"/>
      <c r="DS128" s="41"/>
      <c r="DT128" s="40"/>
      <c r="DU128" s="40"/>
      <c r="DV128" s="40"/>
      <c r="DW128" s="41"/>
      <c r="DX128" s="40"/>
      <c r="DY128" s="40"/>
      <c r="DZ128" s="37" t="s">
        <v>770</v>
      </c>
      <c r="EA128" s="39"/>
      <c r="EB128" s="37"/>
      <c r="EC128" s="37"/>
      <c r="ED128" s="16"/>
      <c r="EE128" s="1"/>
      <c r="EF128" s="54"/>
    </row>
    <row r="129" spans="1:136" x14ac:dyDescent="0.2">
      <c r="A129" s="209" t="s">
        <v>879</v>
      </c>
      <c r="B129" s="209" t="s">
        <v>868</v>
      </c>
      <c r="C129" s="209" t="s">
        <v>865</v>
      </c>
      <c r="D129" s="13">
        <f>'Run Parameters'!$B$1 + ROW()-1</f>
        <v>3643</v>
      </c>
      <c r="E129" s="15" t="s">
        <v>47</v>
      </c>
      <c r="F129" s="18" t="s">
        <v>766</v>
      </c>
      <c r="G129" s="13" t="str">
        <f t="shared" si="142"/>
        <v>Access Dtls-3643</v>
      </c>
      <c r="H129" s="15" t="s">
        <v>275</v>
      </c>
      <c r="I129" s="13" t="str">
        <f>("MR. Test_120_EXCH3_"&amp;D129&amp;"")</f>
        <v>MR. Test_120_EXCH3_3643</v>
      </c>
      <c r="J129" s="18"/>
      <c r="K129" s="19" t="s">
        <v>425</v>
      </c>
      <c r="L129" s="13" t="str">
        <f t="shared" si="143"/>
        <v>Cust. Ref-3643</v>
      </c>
      <c r="M129" s="15" t="s">
        <v>48</v>
      </c>
      <c r="N129" s="15" t="s">
        <v>425</v>
      </c>
      <c r="O129" s="13"/>
      <c r="P129" s="13" t="str">
        <f t="shared" si="144"/>
        <v>SN-3643</v>
      </c>
      <c r="Q129" s="13" t="str">
        <f t="shared" si="145"/>
        <v>SI-3643</v>
      </c>
      <c r="R129" s="13" t="str">
        <f t="shared" si="146"/>
        <v>SE-3643</v>
      </c>
      <c r="S129" s="53" t="str">
        <f t="shared" si="147"/>
        <v>Prev_RA-3643</v>
      </c>
      <c r="T129" s="53" t="str">
        <f t="shared" si="148"/>
        <v>Prev_Comms-3643</v>
      </c>
      <c r="U129" s="17" t="s">
        <v>75</v>
      </c>
      <c r="V129" s="15" t="s">
        <v>401</v>
      </c>
      <c r="W129" s="17" t="s">
        <v>75</v>
      </c>
      <c r="X129" s="15" t="s">
        <v>396</v>
      </c>
      <c r="Y129" s="13" t="str">
        <f t="shared" si="149"/>
        <v>Forward Add-3643</v>
      </c>
      <c r="Z129" s="15" t="s">
        <v>401</v>
      </c>
      <c r="AA129" s="133" t="str">
        <f>'Run Parameters'!$B$2</f>
        <v>2019-04-26 08:00</v>
      </c>
      <c r="AB129" s="213" t="str">
        <f>'Run Parameters'!B$3</f>
        <v>2019-04-26 18:00</v>
      </c>
      <c r="AC129" s="26">
        <f>('Run Parameters'!$B$2) - 7</f>
        <v>43574.333333333336</v>
      </c>
      <c r="AD129" s="17" t="s">
        <v>75</v>
      </c>
      <c r="AE129" s="18" t="str">
        <f t="shared" si="150"/>
        <v>LAST_METER-3643</v>
      </c>
      <c r="AF129" s="133" t="str">
        <f>'Run Parameters'!$B$2</f>
        <v>2019-04-26 08:00</v>
      </c>
      <c r="AG129" s="13" t="str">
        <f>'Run Parameters'!B$4</f>
        <v>AUTOTEST2</v>
      </c>
      <c r="AH129" s="53" t="str">
        <f t="shared" si="151"/>
        <v>Site_Contact_3643</v>
      </c>
      <c r="AI129" s="133" t="str">
        <f>'Run Parameters'!B$2</f>
        <v>2019-04-26 08:00</v>
      </c>
      <c r="AJ129" s="213" t="str">
        <f>'Run Parameters'!B$3</f>
        <v>2019-04-26 18:00</v>
      </c>
      <c r="AK129" s="13" t="s">
        <v>396</v>
      </c>
      <c r="AL129" s="53" t="str">
        <f t="shared" si="152"/>
        <v>011593643</v>
      </c>
      <c r="AM129" s="13" t="str">
        <f t="shared" si="153"/>
        <v>01153643</v>
      </c>
      <c r="AN129" s="15"/>
      <c r="AO129" s="51"/>
      <c r="AP129" s="13">
        <v>1</v>
      </c>
      <c r="AQ129" s="52" t="s">
        <v>49</v>
      </c>
      <c r="AR129" s="15"/>
      <c r="AS129" s="13"/>
      <c r="AT129" s="7" t="s">
        <v>400</v>
      </c>
      <c r="AU129" s="7"/>
      <c r="AV129" s="13">
        <f t="shared" si="154"/>
        <v>3643</v>
      </c>
      <c r="AW129" s="13" t="s">
        <v>767</v>
      </c>
      <c r="AX129" s="13" t="s">
        <v>420</v>
      </c>
      <c r="AY129" s="13" t="s">
        <v>421</v>
      </c>
      <c r="AZ129" s="15" t="s">
        <v>334</v>
      </c>
      <c r="BA129" s="14" t="s">
        <v>154</v>
      </c>
      <c r="BB129" s="21">
        <v>1</v>
      </c>
      <c r="BC129" s="20">
        <f t="shared" si="155"/>
        <v>3643</v>
      </c>
      <c r="BD129" s="16" t="s">
        <v>768</v>
      </c>
      <c r="BE129" s="16" t="s">
        <v>391</v>
      </c>
      <c r="BF129" s="16" t="s">
        <v>390</v>
      </c>
      <c r="BG129" s="20" t="s">
        <v>766</v>
      </c>
      <c r="BH129" s="20" t="str">
        <f t="shared" si="156"/>
        <v>3643_1</v>
      </c>
      <c r="BI129" s="21"/>
      <c r="BJ129" s="21" t="str">
        <f t="shared" si="157"/>
        <v>100000003643</v>
      </c>
      <c r="BK129" s="16" t="s">
        <v>51</v>
      </c>
      <c r="BL129" s="16" t="s">
        <v>54</v>
      </c>
      <c r="BM129" s="20" t="s">
        <v>769</v>
      </c>
      <c r="BN129" s="16" t="s">
        <v>51</v>
      </c>
      <c r="BO129" s="20" t="str">
        <f t="shared" si="158"/>
        <v>S05S3643</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GAS_ENQ_NO-3643</v>
      </c>
      <c r="CK129" s="7" t="s">
        <v>165</v>
      </c>
      <c r="CL129" s="7" t="s">
        <v>391</v>
      </c>
      <c r="CM129" s="7" t="s">
        <v>390</v>
      </c>
      <c r="CN129" s="6" t="s">
        <v>278</v>
      </c>
      <c r="CO129" s="6" t="str">
        <f t="shared" si="179"/>
        <v>GAS_JOB_ID-3643</v>
      </c>
      <c r="CP129" s="7"/>
      <c r="CQ129" s="6" t="str">
        <f t="shared" si="180"/>
        <v>100003643</v>
      </c>
      <c r="CR129" s="6" t="s">
        <v>154</v>
      </c>
      <c r="CS129" s="7" t="s">
        <v>51</v>
      </c>
      <c r="CT129" s="27" t="str">
        <f t="shared" si="181"/>
        <v>GMETER3643</v>
      </c>
      <c r="CU129" s="6" t="s">
        <v>161</v>
      </c>
      <c r="CV129" s="7" t="s">
        <v>165</v>
      </c>
      <c r="CW129" s="7" t="s">
        <v>772</v>
      </c>
      <c r="CX129" s="7"/>
      <c r="CY129" s="7"/>
      <c r="CZ129" s="7" t="s">
        <v>394</v>
      </c>
      <c r="DA129" s="7" t="s">
        <v>395</v>
      </c>
      <c r="DB129" s="6" t="str">
        <f t="shared" si="163"/>
        <v>GAS_INST_ID-3643</v>
      </c>
      <c r="DC129" s="7" t="s">
        <v>161</v>
      </c>
      <c r="DD129" s="7"/>
      <c r="DE129" s="7" t="s">
        <v>51</v>
      </c>
      <c r="DF129" s="7" t="s">
        <v>264</v>
      </c>
      <c r="DG129" s="7"/>
      <c r="DH129" s="7" t="s">
        <v>397</v>
      </c>
      <c r="DI129" s="7" t="s">
        <v>399</v>
      </c>
      <c r="DJ129" s="10" t="s">
        <v>267</v>
      </c>
      <c r="DK129" s="7" t="s">
        <v>140</v>
      </c>
      <c r="DL129" s="40"/>
      <c r="DM129" s="40"/>
      <c r="DN129" s="38" t="str">
        <f t="shared" si="164"/>
        <v>DS_Pass-3643</v>
      </c>
      <c r="DO129" s="40"/>
      <c r="DP129" s="40"/>
      <c r="DQ129" s="40"/>
      <c r="DR129" s="41"/>
      <c r="DS129" s="41"/>
      <c r="DT129" s="40"/>
      <c r="DU129" s="40"/>
      <c r="DV129" s="40"/>
      <c r="DW129" s="41"/>
      <c r="DX129" s="40"/>
      <c r="DY129" s="40"/>
      <c r="DZ129" s="37" t="s">
        <v>770</v>
      </c>
      <c r="EA129" s="39"/>
      <c r="EB129" s="37"/>
      <c r="EC129" s="37"/>
      <c r="ED129" s="16"/>
      <c r="EE129" s="1"/>
      <c r="EF129" s="54"/>
    </row>
    <row r="130" spans="1:136" x14ac:dyDescent="0.2">
      <c r="A130" s="209" t="s">
        <v>880</v>
      </c>
      <c r="B130" s="209" t="s">
        <v>892</v>
      </c>
      <c r="C130" s="209" t="s">
        <v>865</v>
      </c>
      <c r="D130" s="13">
        <f>'Run Parameters'!$B$1 + ROW()-1</f>
        <v>3644</v>
      </c>
      <c r="E130" s="15" t="s">
        <v>47</v>
      </c>
      <c r="F130" s="18" t="s">
        <v>766</v>
      </c>
      <c r="G130" s="13" t="str">
        <f t="shared" si="142"/>
        <v>Access Dtls-3644</v>
      </c>
      <c r="H130" s="15" t="s">
        <v>275</v>
      </c>
      <c r="I130" s="13" t="str">
        <f>("MR. Test_121_EXCH3_"&amp;D130&amp;"")</f>
        <v>MR. Test_121_EXCH3_3644</v>
      </c>
      <c r="J130" s="18"/>
      <c r="K130" s="19" t="s">
        <v>425</v>
      </c>
      <c r="L130" s="13" t="str">
        <f t="shared" si="143"/>
        <v>Cust. Ref-3644</v>
      </c>
      <c r="M130" s="15" t="s">
        <v>48</v>
      </c>
      <c r="N130" s="15" t="s">
        <v>425</v>
      </c>
      <c r="O130" s="13"/>
      <c r="P130" s="13" t="str">
        <f t="shared" si="144"/>
        <v>SN-3644</v>
      </c>
      <c r="Q130" s="13" t="str">
        <f t="shared" si="145"/>
        <v>SI-3644</v>
      </c>
      <c r="R130" s="13" t="str">
        <f t="shared" si="146"/>
        <v>SE-3644</v>
      </c>
      <c r="S130" s="53" t="str">
        <f t="shared" si="147"/>
        <v>Prev_RA-3644</v>
      </c>
      <c r="T130" s="53" t="str">
        <f t="shared" si="148"/>
        <v>Prev_Comms-3644</v>
      </c>
      <c r="U130" s="17" t="s">
        <v>75</v>
      </c>
      <c r="V130" s="15" t="s">
        <v>401</v>
      </c>
      <c r="W130" s="17" t="s">
        <v>75</v>
      </c>
      <c r="X130" s="15" t="s">
        <v>396</v>
      </c>
      <c r="Y130" s="13" t="str">
        <f t="shared" si="149"/>
        <v>Forward Add-3644</v>
      </c>
      <c r="Z130" s="15" t="s">
        <v>401</v>
      </c>
      <c r="AA130" s="133" t="str">
        <f>'Run Parameters'!$B$2</f>
        <v>2019-04-26 08:00</v>
      </c>
      <c r="AB130" s="213" t="str">
        <f>'Run Parameters'!B$3</f>
        <v>2019-04-26 18:00</v>
      </c>
      <c r="AC130" s="26">
        <f>('Run Parameters'!$B$2) - 7</f>
        <v>43574.333333333336</v>
      </c>
      <c r="AD130" s="17" t="s">
        <v>75</v>
      </c>
      <c r="AE130" s="18" t="str">
        <f t="shared" si="150"/>
        <v>LAST_METER-3644</v>
      </c>
      <c r="AF130" s="133" t="str">
        <f>'Run Parameters'!$B$2</f>
        <v>2019-04-26 08:00</v>
      </c>
      <c r="AG130" s="13" t="str">
        <f>'Run Parameters'!B$4</f>
        <v>AUTOTEST2</v>
      </c>
      <c r="AH130" s="53" t="str">
        <f t="shared" si="151"/>
        <v>Site_Contact_3644</v>
      </c>
      <c r="AI130" s="133" t="str">
        <f>'Run Parameters'!B$2</f>
        <v>2019-04-26 08:00</v>
      </c>
      <c r="AJ130" s="213" t="str">
        <f>'Run Parameters'!B$3</f>
        <v>2019-04-26 18:00</v>
      </c>
      <c r="AK130" s="13" t="s">
        <v>396</v>
      </c>
      <c r="AL130" s="53" t="str">
        <f t="shared" si="152"/>
        <v>011593644</v>
      </c>
      <c r="AM130" s="13" t="str">
        <f t="shared" si="153"/>
        <v>01153644</v>
      </c>
      <c r="AN130" s="15"/>
      <c r="AO130" s="51"/>
      <c r="AP130" s="13">
        <v>1</v>
      </c>
      <c r="AQ130" s="52" t="s">
        <v>49</v>
      </c>
      <c r="AR130" s="15"/>
      <c r="AS130" s="13"/>
      <c r="AT130" s="7" t="s">
        <v>400</v>
      </c>
      <c r="AU130" s="7"/>
      <c r="AV130" s="13">
        <f t="shared" si="154"/>
        <v>3644</v>
      </c>
      <c r="AW130" s="13" t="s">
        <v>767</v>
      </c>
      <c r="AX130" s="13" t="s">
        <v>420</v>
      </c>
      <c r="AY130" s="13" t="s">
        <v>421</v>
      </c>
      <c r="AZ130" s="15" t="s">
        <v>334</v>
      </c>
      <c r="BA130" s="14" t="s">
        <v>154</v>
      </c>
      <c r="BB130" s="21">
        <v>1</v>
      </c>
      <c r="BC130" s="20">
        <f t="shared" si="155"/>
        <v>3644</v>
      </c>
      <c r="BD130" s="16" t="s">
        <v>768</v>
      </c>
      <c r="BE130" s="16" t="s">
        <v>391</v>
      </c>
      <c r="BF130" s="16" t="s">
        <v>390</v>
      </c>
      <c r="BG130" s="20" t="s">
        <v>766</v>
      </c>
      <c r="BH130" s="20" t="str">
        <f t="shared" si="156"/>
        <v>3644_1</v>
      </c>
      <c r="BI130" s="21"/>
      <c r="BJ130" s="21" t="str">
        <f t="shared" si="157"/>
        <v>100000003644</v>
      </c>
      <c r="BK130" s="16" t="s">
        <v>51</v>
      </c>
      <c r="BL130" s="16" t="s">
        <v>54</v>
      </c>
      <c r="BM130" s="20" t="s">
        <v>769</v>
      </c>
      <c r="BN130" s="16" t="s">
        <v>51</v>
      </c>
      <c r="BO130" s="20" t="str">
        <f t="shared" si="158"/>
        <v>S05S3644</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GAS_ENQ_NO-3644</v>
      </c>
      <c r="CK130" s="7" t="s">
        <v>165</v>
      </c>
      <c r="CL130" s="7" t="s">
        <v>391</v>
      </c>
      <c r="CM130" s="7" t="s">
        <v>390</v>
      </c>
      <c r="CN130" s="6" t="s">
        <v>278</v>
      </c>
      <c r="CO130" s="6" t="str">
        <f t="shared" si="179"/>
        <v>GAS_JOB_ID-3644</v>
      </c>
      <c r="CP130" s="7"/>
      <c r="CQ130" s="6" t="str">
        <f t="shared" si="180"/>
        <v>100003644</v>
      </c>
      <c r="CR130" s="6" t="s">
        <v>154</v>
      </c>
      <c r="CS130" s="7" t="s">
        <v>51</v>
      </c>
      <c r="CT130" s="27" t="str">
        <f t="shared" si="181"/>
        <v>GMETER3644</v>
      </c>
      <c r="CU130" s="6" t="s">
        <v>161</v>
      </c>
      <c r="CV130" s="7" t="s">
        <v>165</v>
      </c>
      <c r="CW130" s="7" t="s">
        <v>772</v>
      </c>
      <c r="CX130" s="7"/>
      <c r="CY130" s="7"/>
      <c r="CZ130" s="7" t="s">
        <v>394</v>
      </c>
      <c r="DA130" s="7" t="s">
        <v>395</v>
      </c>
      <c r="DB130" s="6" t="str">
        <f t="shared" si="163"/>
        <v>GAS_INST_ID-3644</v>
      </c>
      <c r="DC130" s="7" t="s">
        <v>161</v>
      </c>
      <c r="DD130" s="7"/>
      <c r="DE130" s="7" t="s">
        <v>51</v>
      </c>
      <c r="DF130" s="7" t="s">
        <v>264</v>
      </c>
      <c r="DG130" s="7"/>
      <c r="DH130" s="7" t="s">
        <v>397</v>
      </c>
      <c r="DI130" s="7" t="s">
        <v>399</v>
      </c>
      <c r="DJ130" s="10" t="s">
        <v>267</v>
      </c>
      <c r="DK130" s="7" t="s">
        <v>140</v>
      </c>
      <c r="DL130" s="40"/>
      <c r="DM130" s="40"/>
      <c r="DN130" s="38" t="str">
        <f t="shared" si="164"/>
        <v>DS_Pass-3644</v>
      </c>
      <c r="DO130" s="40"/>
      <c r="DP130" s="40"/>
      <c r="DQ130" s="40"/>
      <c r="DR130" s="41"/>
      <c r="DS130" s="41"/>
      <c r="DT130" s="40"/>
      <c r="DU130" s="40"/>
      <c r="DV130" s="40"/>
      <c r="DW130" s="41"/>
      <c r="DX130" s="40"/>
      <c r="DY130" s="40"/>
      <c r="DZ130" s="37" t="s">
        <v>770</v>
      </c>
      <c r="EA130" s="39"/>
      <c r="EB130" s="37"/>
      <c r="EC130" s="37"/>
      <c r="ED130" s="16"/>
      <c r="EE130" s="1"/>
      <c r="EF130" s="54"/>
    </row>
    <row r="131" spans="1:136" x14ac:dyDescent="0.2">
      <c r="A131" s="209" t="s">
        <v>1086</v>
      </c>
      <c r="B131" s="209" t="s">
        <v>892</v>
      </c>
      <c r="C131" s="209" t="s">
        <v>865</v>
      </c>
      <c r="D131" s="13">
        <f>'Run Parameters'!$B$1 + ROW()-1</f>
        <v>3645</v>
      </c>
      <c r="E131" s="15" t="s">
        <v>47</v>
      </c>
      <c r="F131" s="18" t="s">
        <v>766</v>
      </c>
      <c r="G131" s="13" t="str">
        <f t="shared" si="142"/>
        <v>Access Dtls-3645</v>
      </c>
      <c r="H131" s="15" t="s">
        <v>275</v>
      </c>
      <c r="I131" s="13" t="str">
        <f>("MR. Test_122_EXCH3_"&amp;D131&amp;"")</f>
        <v>MR. Test_122_EXCH3_3645</v>
      </c>
      <c r="J131" s="18"/>
      <c r="K131" s="19" t="s">
        <v>425</v>
      </c>
      <c r="L131" s="13" t="str">
        <f t="shared" si="143"/>
        <v>Cust. Ref-3645</v>
      </c>
      <c r="M131" s="15" t="s">
        <v>48</v>
      </c>
      <c r="N131" s="15" t="s">
        <v>425</v>
      </c>
      <c r="O131" s="13"/>
      <c r="P131" s="13" t="str">
        <f t="shared" si="144"/>
        <v>SN-3645</v>
      </c>
      <c r="Q131" s="13" t="str">
        <f t="shared" si="145"/>
        <v>SI-3645</v>
      </c>
      <c r="R131" s="13" t="str">
        <f t="shared" si="146"/>
        <v>SE-3645</v>
      </c>
      <c r="S131" s="53" t="str">
        <f t="shared" si="147"/>
        <v>Prev_RA-3645</v>
      </c>
      <c r="T131" s="53" t="str">
        <f t="shared" si="148"/>
        <v>Prev_Comms-3645</v>
      </c>
      <c r="U131" s="17" t="s">
        <v>75</v>
      </c>
      <c r="V131" s="15" t="s">
        <v>401</v>
      </c>
      <c r="W131" s="17" t="s">
        <v>75</v>
      </c>
      <c r="X131" s="15" t="s">
        <v>1087</v>
      </c>
      <c r="Y131" s="13" t="str">
        <f t="shared" si="149"/>
        <v>Forward Add-3645</v>
      </c>
      <c r="Z131" s="15" t="s">
        <v>401</v>
      </c>
      <c r="AA131" s="133" t="str">
        <f>'Run Parameters'!$B$2</f>
        <v>2019-04-26 08:00</v>
      </c>
      <c r="AB131" s="213" t="str">
        <f>'Run Parameters'!B$3</f>
        <v>2019-04-26 18:00</v>
      </c>
      <c r="AC131" s="26">
        <f>('Run Parameters'!$B$2) - 7</f>
        <v>43574.333333333336</v>
      </c>
      <c r="AD131" s="17" t="s">
        <v>75</v>
      </c>
      <c r="AE131" s="18" t="str">
        <f t="shared" si="150"/>
        <v>LAST_METER-3645</v>
      </c>
      <c r="AF131" s="133" t="str">
        <f>'Run Parameters'!$B$2</f>
        <v>2019-04-26 08:00</v>
      </c>
      <c r="AG131" s="13" t="str">
        <f>'Run Parameters'!B$4</f>
        <v>AUTOTEST2</v>
      </c>
      <c r="AH131" s="53" t="str">
        <f t="shared" si="151"/>
        <v>Site_Contact_3645</v>
      </c>
      <c r="AI131" s="133" t="str">
        <f>'Run Parameters'!B$2</f>
        <v>2019-04-26 08:00</v>
      </c>
      <c r="AJ131" s="213" t="str">
        <f>'Run Parameters'!B$3</f>
        <v>2019-04-26 18:00</v>
      </c>
      <c r="AK131" s="13" t="s">
        <v>1087</v>
      </c>
      <c r="AL131" s="53" t="str">
        <f t="shared" si="152"/>
        <v>011593645</v>
      </c>
      <c r="AM131" s="13" t="str">
        <f t="shared" si="153"/>
        <v>01153645</v>
      </c>
      <c r="AN131" s="15"/>
      <c r="AO131" s="51"/>
      <c r="AP131" s="13">
        <v>1</v>
      </c>
      <c r="AQ131" s="52" t="s">
        <v>49</v>
      </c>
      <c r="AR131" s="15"/>
      <c r="AS131" s="13"/>
      <c r="AT131" s="7" t="s">
        <v>400</v>
      </c>
      <c r="AU131" s="7"/>
      <c r="AV131" s="13">
        <f t="shared" si="154"/>
        <v>3645</v>
      </c>
      <c r="AW131" s="13" t="s">
        <v>767</v>
      </c>
      <c r="AX131" s="13" t="s">
        <v>420</v>
      </c>
      <c r="AY131" s="13" t="s">
        <v>421</v>
      </c>
      <c r="AZ131" s="15" t="s">
        <v>334</v>
      </c>
      <c r="BA131" s="14" t="s">
        <v>154</v>
      </c>
      <c r="BB131" s="21">
        <v>1</v>
      </c>
      <c r="BC131" s="20">
        <f t="shared" si="155"/>
        <v>3645</v>
      </c>
      <c r="BD131" s="16" t="s">
        <v>1108</v>
      </c>
      <c r="BE131" s="16" t="s">
        <v>391</v>
      </c>
      <c r="BF131" s="16" t="s">
        <v>390</v>
      </c>
      <c r="BG131" s="20" t="s">
        <v>766</v>
      </c>
      <c r="BH131" s="20" t="str">
        <f t="shared" si="156"/>
        <v>3645_1</v>
      </c>
      <c r="BI131" s="21"/>
      <c r="BJ131" s="21" t="str">
        <f t="shared" si="157"/>
        <v>100000003645</v>
      </c>
      <c r="BK131" s="16" t="s">
        <v>51</v>
      </c>
      <c r="BL131" s="16" t="s">
        <v>54</v>
      </c>
      <c r="BM131" s="20" t="s">
        <v>769</v>
      </c>
      <c r="BN131" s="16" t="s">
        <v>51</v>
      </c>
      <c r="BO131" s="20" t="str">
        <f t="shared" si="158"/>
        <v>S05S3645</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GAS_ENQ_NO-3645</v>
      </c>
      <c r="CK131" s="7" t="s">
        <v>165</v>
      </c>
      <c r="CL131" s="7" t="s">
        <v>391</v>
      </c>
      <c r="CM131" s="7" t="s">
        <v>390</v>
      </c>
      <c r="CN131" s="6" t="s">
        <v>278</v>
      </c>
      <c r="CO131" s="6" t="str">
        <f t="shared" si="179"/>
        <v>GAS_JOB_ID-3645</v>
      </c>
      <c r="CP131" s="7"/>
      <c r="CQ131" s="6" t="str">
        <f t="shared" si="180"/>
        <v>100003645</v>
      </c>
      <c r="CR131" s="6" t="s">
        <v>154</v>
      </c>
      <c r="CS131" s="7" t="s">
        <v>51</v>
      </c>
      <c r="CT131" s="27" t="str">
        <f t="shared" si="181"/>
        <v>GMETER3645</v>
      </c>
      <c r="CU131" s="6" t="s">
        <v>161</v>
      </c>
      <c r="CV131" s="7" t="s">
        <v>165</v>
      </c>
      <c r="CW131" s="7" t="s">
        <v>772</v>
      </c>
      <c r="CX131" s="7"/>
      <c r="CY131" s="7"/>
      <c r="CZ131" s="7" t="s">
        <v>394</v>
      </c>
      <c r="DA131" s="7" t="s">
        <v>395</v>
      </c>
      <c r="DB131" s="6" t="str">
        <f t="shared" si="163"/>
        <v>GAS_INST_ID-3645</v>
      </c>
      <c r="DC131" s="7" t="s">
        <v>161</v>
      </c>
      <c r="DD131" s="7"/>
      <c r="DE131" s="7" t="s">
        <v>51</v>
      </c>
      <c r="DF131" s="7" t="s">
        <v>264</v>
      </c>
      <c r="DG131" s="7"/>
      <c r="DH131" s="7" t="s">
        <v>397</v>
      </c>
      <c r="DI131" s="7" t="s">
        <v>399</v>
      </c>
      <c r="DJ131" s="10" t="s">
        <v>267</v>
      </c>
      <c r="DK131" s="7" t="s">
        <v>140</v>
      </c>
      <c r="DL131" s="40"/>
      <c r="DM131" s="40"/>
      <c r="DN131" s="38" t="str">
        <f t="shared" si="164"/>
        <v>DS_Pass-3645</v>
      </c>
      <c r="DO131" s="40"/>
      <c r="DP131" s="40"/>
      <c r="DQ131" s="40"/>
      <c r="DR131" s="41"/>
      <c r="DS131" s="41"/>
      <c r="DT131" s="40"/>
      <c r="DU131" s="40"/>
      <c r="DV131" s="40"/>
      <c r="DW131" s="41"/>
      <c r="DX131" s="40"/>
      <c r="DY131" s="40"/>
      <c r="DZ131" s="37" t="s">
        <v>770</v>
      </c>
      <c r="EA131" s="39"/>
      <c r="EB131" s="37"/>
      <c r="EC131" s="37"/>
      <c r="ED131" s="16"/>
      <c r="EE131" s="1"/>
      <c r="EF131" s="54"/>
    </row>
    <row r="132" spans="1:136" x14ac:dyDescent="0.2">
      <c r="A132" s="209" t="s">
        <v>881</v>
      </c>
      <c r="B132" s="209" t="s">
        <v>892</v>
      </c>
      <c r="C132" s="209" t="s">
        <v>865</v>
      </c>
      <c r="D132" s="13">
        <f>'Run Parameters'!$B$1 + ROW()-1</f>
        <v>3646</v>
      </c>
      <c r="E132" s="15" t="s">
        <v>47</v>
      </c>
      <c r="F132" s="18" t="s">
        <v>766</v>
      </c>
      <c r="G132" s="13" t="str">
        <f t="shared" si="142"/>
        <v>Access Dtls-3646</v>
      </c>
      <c r="H132" s="15" t="s">
        <v>275</v>
      </c>
      <c r="I132" s="13" t="str">
        <f>("MR. Test_123_EXCH3_"&amp;D132&amp;"")</f>
        <v>MR. Test_123_EXCH3_3646</v>
      </c>
      <c r="J132" s="18"/>
      <c r="K132" s="19" t="s">
        <v>425</v>
      </c>
      <c r="L132" s="13" t="str">
        <f t="shared" si="143"/>
        <v>Cust. Ref-3646</v>
      </c>
      <c r="M132" s="15" t="s">
        <v>48</v>
      </c>
      <c r="N132" s="15" t="s">
        <v>425</v>
      </c>
      <c r="O132" s="13"/>
      <c r="P132" s="13" t="str">
        <f t="shared" si="144"/>
        <v>SN-3646</v>
      </c>
      <c r="Q132" s="13" t="str">
        <f t="shared" si="145"/>
        <v>SI-3646</v>
      </c>
      <c r="R132" s="13" t="str">
        <f t="shared" si="146"/>
        <v>SE-3646</v>
      </c>
      <c r="S132" s="53" t="str">
        <f t="shared" si="147"/>
        <v>Prev_RA-3646</v>
      </c>
      <c r="T132" s="53" t="str">
        <f t="shared" si="148"/>
        <v>Prev_Comms-3646</v>
      </c>
      <c r="U132" s="17" t="s">
        <v>75</v>
      </c>
      <c r="V132" s="15" t="s">
        <v>401</v>
      </c>
      <c r="W132" s="17" t="s">
        <v>75</v>
      </c>
      <c r="X132" s="15" t="s">
        <v>396</v>
      </c>
      <c r="Y132" s="13" t="str">
        <f t="shared" si="149"/>
        <v>Forward Add-3646</v>
      </c>
      <c r="Z132" s="15" t="s">
        <v>401</v>
      </c>
      <c r="AA132" s="133" t="str">
        <f>'Run Parameters'!$B$2</f>
        <v>2019-04-26 08:00</v>
      </c>
      <c r="AB132" s="213" t="str">
        <f>'Run Parameters'!B$3</f>
        <v>2019-04-26 18:00</v>
      </c>
      <c r="AC132" s="26">
        <f>('Run Parameters'!$B$2) - 7</f>
        <v>43574.333333333336</v>
      </c>
      <c r="AD132" s="17" t="s">
        <v>75</v>
      </c>
      <c r="AE132" s="18" t="str">
        <f t="shared" si="150"/>
        <v>LAST_METER-3646</v>
      </c>
      <c r="AF132" s="133" t="str">
        <f>'Run Parameters'!$B$2</f>
        <v>2019-04-26 08:00</v>
      </c>
      <c r="AG132" s="13" t="str">
        <f>'Run Parameters'!B$4</f>
        <v>AUTOTEST2</v>
      </c>
      <c r="AH132" s="53" t="str">
        <f t="shared" si="151"/>
        <v>Site_Contact_3646</v>
      </c>
      <c r="AI132" s="133" t="str">
        <f>'Run Parameters'!B$2</f>
        <v>2019-04-26 08:00</v>
      </c>
      <c r="AJ132" s="213" t="str">
        <f>'Run Parameters'!B$3</f>
        <v>2019-04-26 18:00</v>
      </c>
      <c r="AK132" s="13" t="s">
        <v>396</v>
      </c>
      <c r="AL132" s="53" t="str">
        <f t="shared" si="152"/>
        <v>011593646</v>
      </c>
      <c r="AM132" s="13" t="str">
        <f t="shared" si="153"/>
        <v>01153646</v>
      </c>
      <c r="AN132" s="15"/>
      <c r="AO132" s="51"/>
      <c r="AP132" s="13">
        <v>1</v>
      </c>
      <c r="AQ132" s="52" t="s">
        <v>49</v>
      </c>
      <c r="AR132" s="15"/>
      <c r="AS132" s="13"/>
      <c r="AT132" s="7" t="s">
        <v>400</v>
      </c>
      <c r="AU132" s="7"/>
      <c r="AV132" s="13">
        <f t="shared" si="154"/>
        <v>3646</v>
      </c>
      <c r="AW132" s="13" t="s">
        <v>767</v>
      </c>
      <c r="AX132" s="13" t="s">
        <v>420</v>
      </c>
      <c r="AY132" s="13" t="s">
        <v>421</v>
      </c>
      <c r="AZ132" s="15" t="s">
        <v>334</v>
      </c>
      <c r="BA132" s="14" t="s">
        <v>154</v>
      </c>
      <c r="BB132" s="21">
        <v>1</v>
      </c>
      <c r="BC132" s="20">
        <f t="shared" si="155"/>
        <v>3646</v>
      </c>
      <c r="BD132" s="16" t="s">
        <v>768</v>
      </c>
      <c r="BE132" s="16" t="s">
        <v>391</v>
      </c>
      <c r="BF132" s="16" t="s">
        <v>390</v>
      </c>
      <c r="BG132" s="20" t="s">
        <v>766</v>
      </c>
      <c r="BH132" s="20" t="str">
        <f t="shared" si="156"/>
        <v>3646_1</v>
      </c>
      <c r="BI132" s="21"/>
      <c r="BJ132" s="21" t="str">
        <f t="shared" si="157"/>
        <v>100000003646</v>
      </c>
      <c r="BK132" s="16" t="s">
        <v>51</v>
      </c>
      <c r="BL132" s="16" t="s">
        <v>54</v>
      </c>
      <c r="BM132" s="20" t="s">
        <v>769</v>
      </c>
      <c r="BN132" s="16" t="s">
        <v>51</v>
      </c>
      <c r="BO132" s="20" t="str">
        <f t="shared" si="158"/>
        <v>S05S3646</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GAS_ENQ_NO-3646</v>
      </c>
      <c r="CK132" s="7" t="s">
        <v>165</v>
      </c>
      <c r="CL132" s="7" t="s">
        <v>391</v>
      </c>
      <c r="CM132" s="7" t="s">
        <v>390</v>
      </c>
      <c r="CN132" s="6" t="s">
        <v>278</v>
      </c>
      <c r="CO132" s="6" t="str">
        <f t="shared" si="179"/>
        <v>GAS_JOB_ID-3646</v>
      </c>
      <c r="CP132" s="7"/>
      <c r="CQ132" s="6" t="str">
        <f t="shared" si="180"/>
        <v>100003646</v>
      </c>
      <c r="CR132" s="6" t="s">
        <v>154</v>
      </c>
      <c r="CS132" s="7" t="s">
        <v>51</v>
      </c>
      <c r="CT132" s="27" t="str">
        <f t="shared" si="181"/>
        <v>GMETER3646</v>
      </c>
      <c r="CU132" s="6" t="s">
        <v>161</v>
      </c>
      <c r="CV132" s="7" t="s">
        <v>165</v>
      </c>
      <c r="CW132" s="7" t="s">
        <v>772</v>
      </c>
      <c r="CX132" s="7"/>
      <c r="CY132" s="7"/>
      <c r="CZ132" s="7" t="s">
        <v>394</v>
      </c>
      <c r="DA132" s="7" t="s">
        <v>395</v>
      </c>
      <c r="DB132" s="6" t="str">
        <f t="shared" si="163"/>
        <v>GAS_INST_ID-3646</v>
      </c>
      <c r="DC132" s="7" t="s">
        <v>161</v>
      </c>
      <c r="DD132" s="7"/>
      <c r="DE132" s="7" t="s">
        <v>51</v>
      </c>
      <c r="DF132" s="7" t="s">
        <v>264</v>
      </c>
      <c r="DG132" s="7"/>
      <c r="DH132" s="7" t="s">
        <v>397</v>
      </c>
      <c r="DI132" s="7" t="s">
        <v>399</v>
      </c>
      <c r="DJ132" s="10" t="s">
        <v>267</v>
      </c>
      <c r="DK132" s="7" t="s">
        <v>140</v>
      </c>
      <c r="DL132" s="40"/>
      <c r="DM132" s="40"/>
      <c r="DN132" s="38" t="str">
        <f t="shared" si="164"/>
        <v>DS_Pass-3646</v>
      </c>
      <c r="DO132" s="40"/>
      <c r="DP132" s="40"/>
      <c r="DQ132" s="40"/>
      <c r="DR132" s="41"/>
      <c r="DS132" s="41"/>
      <c r="DT132" s="40"/>
      <c r="DU132" s="40"/>
      <c r="DV132" s="40"/>
      <c r="DW132" s="41"/>
      <c r="DX132" s="40"/>
      <c r="DY132" s="40"/>
      <c r="DZ132" s="37" t="s">
        <v>770</v>
      </c>
      <c r="EA132" s="39"/>
      <c r="EB132" s="37"/>
      <c r="EC132" s="37"/>
      <c r="ED132" s="16"/>
      <c r="EE132" s="1"/>
      <c r="EF132" s="54"/>
    </row>
    <row r="133" spans="1:136" x14ac:dyDescent="0.2">
      <c r="A133" s="209" t="s">
        <v>882</v>
      </c>
      <c r="B133" s="209" t="s">
        <v>868</v>
      </c>
      <c r="C133" s="209" t="s">
        <v>865</v>
      </c>
      <c r="D133" s="13">
        <f>'Run Parameters'!$B$1 + ROW()-1</f>
        <v>3647</v>
      </c>
      <c r="E133" s="15" t="s">
        <v>47</v>
      </c>
      <c r="F133" s="18" t="s">
        <v>766</v>
      </c>
      <c r="G133" s="13" t="str">
        <f t="shared" si="142"/>
        <v>Access Dtls-3647</v>
      </c>
      <c r="H133" s="15" t="s">
        <v>275</v>
      </c>
      <c r="I133" s="13" t="str">
        <f>("MR. Test_124_EXCH3_"&amp;D133&amp;"")</f>
        <v>MR. Test_124_EXCH3_3647</v>
      </c>
      <c r="J133" s="18"/>
      <c r="K133" s="19" t="s">
        <v>425</v>
      </c>
      <c r="L133" s="13" t="str">
        <f t="shared" si="143"/>
        <v>Cust. Ref-3647</v>
      </c>
      <c r="M133" s="15" t="s">
        <v>48</v>
      </c>
      <c r="N133" s="15" t="s">
        <v>425</v>
      </c>
      <c r="O133" s="13"/>
      <c r="P133" s="13" t="str">
        <f t="shared" si="144"/>
        <v>SN-3647</v>
      </c>
      <c r="Q133" s="13" t="str">
        <f t="shared" si="145"/>
        <v>SI-3647</v>
      </c>
      <c r="R133" s="13" t="str">
        <f t="shared" si="146"/>
        <v>SE-3647</v>
      </c>
      <c r="S133" s="53" t="str">
        <f t="shared" si="147"/>
        <v>Prev_RA-3647</v>
      </c>
      <c r="T133" s="53" t="str">
        <f t="shared" si="148"/>
        <v>Prev_Comms-3647</v>
      </c>
      <c r="U133" s="17" t="s">
        <v>75</v>
      </c>
      <c r="V133" s="15" t="s">
        <v>401</v>
      </c>
      <c r="W133" s="17" t="s">
        <v>75</v>
      </c>
      <c r="X133" s="15" t="s">
        <v>396</v>
      </c>
      <c r="Y133" s="13" t="str">
        <f t="shared" si="149"/>
        <v>Forward Add-3647</v>
      </c>
      <c r="Z133" s="15" t="s">
        <v>401</v>
      </c>
      <c r="AA133" s="133" t="str">
        <f>'Run Parameters'!$B$2</f>
        <v>2019-04-26 08:00</v>
      </c>
      <c r="AB133" s="213" t="str">
        <f>'Run Parameters'!B$3</f>
        <v>2019-04-26 18:00</v>
      </c>
      <c r="AC133" s="26">
        <f>('Run Parameters'!$B$2) - 7</f>
        <v>43574.333333333336</v>
      </c>
      <c r="AD133" s="17" t="s">
        <v>75</v>
      </c>
      <c r="AE133" s="18" t="str">
        <f t="shared" si="150"/>
        <v>LAST_METER-3647</v>
      </c>
      <c r="AF133" s="133" t="str">
        <f>'Run Parameters'!$B$2</f>
        <v>2019-04-26 08:00</v>
      </c>
      <c r="AG133" s="13" t="str">
        <f>'Run Parameters'!B$4</f>
        <v>AUTOTEST2</v>
      </c>
      <c r="AH133" s="53" t="str">
        <f t="shared" si="151"/>
        <v>Site_Contact_3647</v>
      </c>
      <c r="AI133" s="133" t="str">
        <f>'Run Parameters'!B$2</f>
        <v>2019-04-26 08:00</v>
      </c>
      <c r="AJ133" s="213" t="str">
        <f>'Run Parameters'!B$3</f>
        <v>2019-04-26 18:00</v>
      </c>
      <c r="AK133" s="13" t="s">
        <v>396</v>
      </c>
      <c r="AL133" s="53" t="str">
        <f t="shared" si="152"/>
        <v>011593647</v>
      </c>
      <c r="AM133" s="13" t="str">
        <f t="shared" si="153"/>
        <v>01153647</v>
      </c>
      <c r="AN133" s="15"/>
      <c r="AO133" s="51"/>
      <c r="AP133" s="13">
        <v>1</v>
      </c>
      <c r="AQ133" s="52" t="s">
        <v>49</v>
      </c>
      <c r="AR133" s="15"/>
      <c r="AS133" s="13"/>
      <c r="AT133" s="7" t="s">
        <v>400</v>
      </c>
      <c r="AU133" s="7"/>
      <c r="AV133" s="13">
        <f t="shared" si="154"/>
        <v>3647</v>
      </c>
      <c r="AW133" s="13" t="s">
        <v>767</v>
      </c>
      <c r="AX133" s="13" t="s">
        <v>420</v>
      </c>
      <c r="AY133" s="13" t="s">
        <v>421</v>
      </c>
      <c r="AZ133" s="15" t="s">
        <v>334</v>
      </c>
      <c r="BA133" s="14" t="s">
        <v>154</v>
      </c>
      <c r="BB133" s="21">
        <v>1</v>
      </c>
      <c r="BC133" s="20">
        <f t="shared" si="155"/>
        <v>3647</v>
      </c>
      <c r="BD133" s="16" t="s">
        <v>768</v>
      </c>
      <c r="BE133" s="16" t="s">
        <v>391</v>
      </c>
      <c r="BF133" s="16" t="s">
        <v>390</v>
      </c>
      <c r="BG133" s="20" t="s">
        <v>766</v>
      </c>
      <c r="BH133" s="20" t="str">
        <f t="shared" si="156"/>
        <v>3647_1</v>
      </c>
      <c r="BI133" s="21"/>
      <c r="BJ133" s="21" t="str">
        <f t="shared" si="157"/>
        <v>100000003647</v>
      </c>
      <c r="BK133" s="16" t="s">
        <v>51</v>
      </c>
      <c r="BL133" s="16" t="s">
        <v>54</v>
      </c>
      <c r="BM133" s="20" t="s">
        <v>769</v>
      </c>
      <c r="BN133" s="16" t="s">
        <v>51</v>
      </c>
      <c r="BO133" s="20" t="str">
        <f t="shared" si="158"/>
        <v>S05S3647</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GAS_ENQ_NO-3647</v>
      </c>
      <c r="CK133" s="7" t="s">
        <v>165</v>
      </c>
      <c r="CL133" s="7" t="s">
        <v>391</v>
      </c>
      <c r="CM133" s="7" t="s">
        <v>390</v>
      </c>
      <c r="CN133" s="6" t="s">
        <v>278</v>
      </c>
      <c r="CO133" s="6" t="str">
        <f t="shared" si="179"/>
        <v>GAS_JOB_ID-3647</v>
      </c>
      <c r="CP133" s="7"/>
      <c r="CQ133" s="6" t="str">
        <f t="shared" si="180"/>
        <v>100003647</v>
      </c>
      <c r="CR133" s="6" t="s">
        <v>154</v>
      </c>
      <c r="CS133" s="7" t="s">
        <v>51</v>
      </c>
      <c r="CT133" s="27" t="str">
        <f t="shared" si="181"/>
        <v>GMETER3647</v>
      </c>
      <c r="CU133" s="6" t="s">
        <v>161</v>
      </c>
      <c r="CV133" s="7" t="s">
        <v>165</v>
      </c>
      <c r="CW133" s="7" t="s">
        <v>772</v>
      </c>
      <c r="CX133" s="7"/>
      <c r="CY133" s="7"/>
      <c r="CZ133" s="7" t="s">
        <v>394</v>
      </c>
      <c r="DA133" s="7" t="s">
        <v>395</v>
      </c>
      <c r="DB133" s="6" t="str">
        <f t="shared" si="163"/>
        <v>GAS_INST_ID-3647</v>
      </c>
      <c r="DC133" s="7" t="s">
        <v>161</v>
      </c>
      <c r="DD133" s="7"/>
      <c r="DE133" s="7" t="s">
        <v>51</v>
      </c>
      <c r="DF133" s="7" t="s">
        <v>264</v>
      </c>
      <c r="DG133" s="7"/>
      <c r="DH133" s="7" t="s">
        <v>397</v>
      </c>
      <c r="DI133" s="7" t="s">
        <v>399</v>
      </c>
      <c r="DJ133" s="10" t="s">
        <v>267</v>
      </c>
      <c r="DK133" s="7" t="s">
        <v>140</v>
      </c>
      <c r="DL133" s="40"/>
      <c r="DM133" s="40"/>
      <c r="DN133" s="38" t="str">
        <f t="shared" si="164"/>
        <v>DS_Pass-3647</v>
      </c>
      <c r="DO133" s="40"/>
      <c r="DP133" s="40"/>
      <c r="DQ133" s="40"/>
      <c r="DR133" s="41"/>
      <c r="DS133" s="41"/>
      <c r="DT133" s="40"/>
      <c r="DU133" s="40"/>
      <c r="DV133" s="40"/>
      <c r="DW133" s="41"/>
      <c r="DX133" s="40"/>
      <c r="DY133" s="40"/>
      <c r="DZ133" s="37" t="s">
        <v>770</v>
      </c>
      <c r="EA133" s="39"/>
      <c r="EB133" s="37"/>
      <c r="EC133" s="37"/>
      <c r="ED133" s="16"/>
      <c r="EE133" s="1"/>
      <c r="EF133" s="54"/>
    </row>
    <row r="134" spans="1:136" x14ac:dyDescent="0.2">
      <c r="A134" s="209" t="s">
        <v>883</v>
      </c>
      <c r="B134" s="209" t="s">
        <v>892</v>
      </c>
      <c r="C134" s="209" t="s">
        <v>865</v>
      </c>
      <c r="D134" s="13">
        <f>'Run Parameters'!$B$1 + ROW()-1</f>
        <v>3648</v>
      </c>
      <c r="E134" s="15" t="s">
        <v>47</v>
      </c>
      <c r="F134" s="18" t="s">
        <v>766</v>
      </c>
      <c r="G134" s="13" t="str">
        <f t="shared" si="142"/>
        <v>Access Dtls-3648</v>
      </c>
      <c r="H134" s="15" t="s">
        <v>275</v>
      </c>
      <c r="I134" s="13" t="str">
        <f>("MR. Test_125_EXCH3_"&amp;D134&amp;"")</f>
        <v>MR. Test_125_EXCH3_3648</v>
      </c>
      <c r="J134" s="18"/>
      <c r="K134" s="19" t="s">
        <v>425</v>
      </c>
      <c r="L134" s="13" t="str">
        <f t="shared" si="143"/>
        <v>Cust. Ref-3648</v>
      </c>
      <c r="M134" s="15" t="s">
        <v>48</v>
      </c>
      <c r="N134" s="15" t="s">
        <v>425</v>
      </c>
      <c r="O134" s="13"/>
      <c r="P134" s="13" t="str">
        <f t="shared" si="144"/>
        <v>SN-3648</v>
      </c>
      <c r="Q134" s="13" t="str">
        <f t="shared" si="145"/>
        <v>SI-3648</v>
      </c>
      <c r="R134" s="13" t="str">
        <f t="shared" si="146"/>
        <v>SE-3648</v>
      </c>
      <c r="S134" s="53" t="str">
        <f t="shared" si="147"/>
        <v>Prev_RA-3648</v>
      </c>
      <c r="T134" s="53" t="str">
        <f t="shared" si="148"/>
        <v>Prev_Comms-3648</v>
      </c>
      <c r="U134" s="17" t="s">
        <v>75</v>
      </c>
      <c r="V134" s="15" t="s">
        <v>401</v>
      </c>
      <c r="W134" s="17" t="s">
        <v>75</v>
      </c>
      <c r="X134" s="15" t="s">
        <v>396</v>
      </c>
      <c r="Y134" s="13" t="str">
        <f t="shared" si="149"/>
        <v>Forward Add-3648</v>
      </c>
      <c r="Z134" s="15" t="s">
        <v>401</v>
      </c>
      <c r="AA134" s="133" t="str">
        <f>'Run Parameters'!$B$2</f>
        <v>2019-04-26 08:00</v>
      </c>
      <c r="AB134" s="213" t="str">
        <f>'Run Parameters'!B$3</f>
        <v>2019-04-26 18:00</v>
      </c>
      <c r="AC134" s="26">
        <f>('Run Parameters'!$B$2) - 7</f>
        <v>43574.333333333336</v>
      </c>
      <c r="AD134" s="17" t="s">
        <v>75</v>
      </c>
      <c r="AE134" s="18" t="str">
        <f t="shared" si="150"/>
        <v>LAST_METER-3648</v>
      </c>
      <c r="AF134" s="133" t="str">
        <f>'Run Parameters'!$B$2</f>
        <v>2019-04-26 08:00</v>
      </c>
      <c r="AG134" s="13" t="str">
        <f>'Run Parameters'!B$4</f>
        <v>AUTOTEST2</v>
      </c>
      <c r="AH134" s="53" t="str">
        <f t="shared" si="151"/>
        <v>Site_Contact_3648</v>
      </c>
      <c r="AI134" s="133" t="str">
        <f>'Run Parameters'!B$2</f>
        <v>2019-04-26 08:00</v>
      </c>
      <c r="AJ134" s="213" t="str">
        <f>'Run Parameters'!B$3</f>
        <v>2019-04-26 18:00</v>
      </c>
      <c r="AK134" s="13" t="s">
        <v>396</v>
      </c>
      <c r="AL134" s="53" t="str">
        <f t="shared" si="152"/>
        <v>011593648</v>
      </c>
      <c r="AM134" s="13" t="str">
        <f t="shared" si="153"/>
        <v>01153648</v>
      </c>
      <c r="AN134" s="15"/>
      <c r="AO134" s="51"/>
      <c r="AP134" s="13">
        <v>1</v>
      </c>
      <c r="AQ134" s="52" t="s">
        <v>49</v>
      </c>
      <c r="AR134" s="15"/>
      <c r="AS134" s="13"/>
      <c r="AT134" s="7" t="s">
        <v>400</v>
      </c>
      <c r="AU134" s="7"/>
      <c r="AV134" s="13">
        <f t="shared" si="154"/>
        <v>3648</v>
      </c>
      <c r="AW134" s="13" t="s">
        <v>767</v>
      </c>
      <c r="AX134" s="13" t="s">
        <v>420</v>
      </c>
      <c r="AY134" s="13" t="s">
        <v>421</v>
      </c>
      <c r="AZ134" s="15" t="s">
        <v>334</v>
      </c>
      <c r="BA134" s="14" t="s">
        <v>154</v>
      </c>
      <c r="BB134" s="21">
        <v>1</v>
      </c>
      <c r="BC134" s="20">
        <f t="shared" si="155"/>
        <v>3648</v>
      </c>
      <c r="BD134" s="16" t="s">
        <v>768</v>
      </c>
      <c r="BE134" s="16" t="s">
        <v>391</v>
      </c>
      <c r="BF134" s="16" t="s">
        <v>390</v>
      </c>
      <c r="BG134" s="20" t="s">
        <v>766</v>
      </c>
      <c r="BH134" s="20" t="str">
        <f t="shared" si="156"/>
        <v>3648_1</v>
      </c>
      <c r="BI134" s="21"/>
      <c r="BJ134" s="21" t="str">
        <f t="shared" si="157"/>
        <v>100000003648</v>
      </c>
      <c r="BK134" s="16" t="s">
        <v>51</v>
      </c>
      <c r="BL134" s="16" t="s">
        <v>54</v>
      </c>
      <c r="BM134" s="20" t="s">
        <v>769</v>
      </c>
      <c r="BN134" s="16" t="s">
        <v>51</v>
      </c>
      <c r="BO134" s="20" t="str">
        <f t="shared" si="158"/>
        <v>S05S3648</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GAS_ENQ_NO-3648</v>
      </c>
      <c r="CK134" s="7" t="s">
        <v>165</v>
      </c>
      <c r="CL134" s="7" t="s">
        <v>391</v>
      </c>
      <c r="CM134" s="7" t="s">
        <v>390</v>
      </c>
      <c r="CN134" s="6" t="s">
        <v>278</v>
      </c>
      <c r="CO134" s="6" t="str">
        <f t="shared" si="179"/>
        <v>GAS_JOB_ID-3648</v>
      </c>
      <c r="CP134" s="7"/>
      <c r="CQ134" s="6" t="str">
        <f t="shared" si="180"/>
        <v>100003648</v>
      </c>
      <c r="CR134" s="6" t="s">
        <v>154</v>
      </c>
      <c r="CS134" s="7" t="s">
        <v>51</v>
      </c>
      <c r="CT134" s="27" t="str">
        <f t="shared" si="181"/>
        <v>GMETER3648</v>
      </c>
      <c r="CU134" s="6" t="s">
        <v>161</v>
      </c>
      <c r="CV134" s="7" t="s">
        <v>165</v>
      </c>
      <c r="CW134" s="7" t="s">
        <v>772</v>
      </c>
      <c r="CX134" s="7"/>
      <c r="CY134" s="7"/>
      <c r="CZ134" s="7" t="s">
        <v>394</v>
      </c>
      <c r="DA134" s="7" t="s">
        <v>395</v>
      </c>
      <c r="DB134" s="6" t="str">
        <f t="shared" si="163"/>
        <v>GAS_INST_ID-3648</v>
      </c>
      <c r="DC134" s="7" t="s">
        <v>161</v>
      </c>
      <c r="DD134" s="7"/>
      <c r="DE134" s="7" t="s">
        <v>51</v>
      </c>
      <c r="DF134" s="7" t="s">
        <v>264</v>
      </c>
      <c r="DG134" s="7"/>
      <c r="DH134" s="7" t="s">
        <v>397</v>
      </c>
      <c r="DI134" s="7" t="s">
        <v>399</v>
      </c>
      <c r="DJ134" s="10" t="s">
        <v>267</v>
      </c>
      <c r="DK134" s="7" t="s">
        <v>140</v>
      </c>
      <c r="DL134" s="40"/>
      <c r="DM134" s="40"/>
      <c r="DN134" s="38" t="str">
        <f t="shared" si="164"/>
        <v>DS_Pass-3648</v>
      </c>
      <c r="DO134" s="40"/>
      <c r="DP134" s="40"/>
      <c r="DQ134" s="40"/>
      <c r="DR134" s="41"/>
      <c r="DS134" s="41"/>
      <c r="DT134" s="40"/>
      <c r="DU134" s="40"/>
      <c r="DV134" s="40"/>
      <c r="DW134" s="41"/>
      <c r="DX134" s="40"/>
      <c r="DY134" s="40"/>
      <c r="DZ134" s="37" t="s">
        <v>770</v>
      </c>
      <c r="EA134" s="39"/>
      <c r="EB134" s="37"/>
      <c r="EC134" s="37"/>
      <c r="ED134" s="16"/>
      <c r="EE134" s="1"/>
      <c r="EF134" s="54"/>
    </row>
    <row r="135" spans="1:136" x14ac:dyDescent="0.2">
      <c r="A135" s="209" t="s">
        <v>884</v>
      </c>
      <c r="B135" s="209" t="s">
        <v>868</v>
      </c>
      <c r="C135" s="209" t="s">
        <v>865</v>
      </c>
      <c r="D135" s="13">
        <f>'Run Parameters'!$B$1 + ROW()-1</f>
        <v>3649</v>
      </c>
      <c r="E135" s="15" t="s">
        <v>47</v>
      </c>
      <c r="F135" s="18" t="s">
        <v>766</v>
      </c>
      <c r="G135" s="13" t="str">
        <f t="shared" si="142"/>
        <v>Access Dtls-3649</v>
      </c>
      <c r="H135" s="15" t="s">
        <v>275</v>
      </c>
      <c r="I135" s="13" t="str">
        <f>("MR. Test_126_EXCH3_"&amp;D135&amp;"")</f>
        <v>MR. Test_126_EXCH3_3649</v>
      </c>
      <c r="J135" s="18"/>
      <c r="K135" s="19" t="s">
        <v>425</v>
      </c>
      <c r="L135" s="13" t="str">
        <f t="shared" si="143"/>
        <v>Cust. Ref-3649</v>
      </c>
      <c r="M135" s="15" t="s">
        <v>48</v>
      </c>
      <c r="N135" s="15" t="s">
        <v>425</v>
      </c>
      <c r="O135" s="13"/>
      <c r="P135" s="13" t="str">
        <f t="shared" si="144"/>
        <v>SN-3649</v>
      </c>
      <c r="Q135" s="13" t="str">
        <f t="shared" si="145"/>
        <v>SI-3649</v>
      </c>
      <c r="R135" s="13" t="str">
        <f t="shared" si="146"/>
        <v>SE-3649</v>
      </c>
      <c r="S135" s="53" t="str">
        <f t="shared" si="147"/>
        <v>Prev_RA-3649</v>
      </c>
      <c r="T135" s="53" t="str">
        <f t="shared" si="148"/>
        <v>Prev_Comms-3649</v>
      </c>
      <c r="U135" s="17" t="s">
        <v>75</v>
      </c>
      <c r="V135" s="15" t="s">
        <v>401</v>
      </c>
      <c r="W135" s="17" t="s">
        <v>75</v>
      </c>
      <c r="X135" s="15" t="s">
        <v>396</v>
      </c>
      <c r="Y135" s="13" t="str">
        <f t="shared" si="149"/>
        <v>Forward Add-3649</v>
      </c>
      <c r="Z135" s="15" t="s">
        <v>401</v>
      </c>
      <c r="AA135" s="133" t="str">
        <f>'Run Parameters'!$B$2</f>
        <v>2019-04-26 08:00</v>
      </c>
      <c r="AB135" s="213" t="str">
        <f>'Run Parameters'!B$3</f>
        <v>2019-04-26 18:00</v>
      </c>
      <c r="AC135" s="26">
        <f>('Run Parameters'!$B$2) - 7</f>
        <v>43574.333333333336</v>
      </c>
      <c r="AD135" s="17" t="s">
        <v>75</v>
      </c>
      <c r="AE135" s="18" t="str">
        <f t="shared" si="150"/>
        <v>LAST_METER-3649</v>
      </c>
      <c r="AF135" s="133" t="str">
        <f>'Run Parameters'!$B$2</f>
        <v>2019-04-26 08:00</v>
      </c>
      <c r="AG135" s="13" t="str">
        <f>'Run Parameters'!B$4</f>
        <v>AUTOTEST2</v>
      </c>
      <c r="AH135" s="53" t="str">
        <f t="shared" si="151"/>
        <v>Site_Contact_3649</v>
      </c>
      <c r="AI135" s="133" t="str">
        <f>'Run Parameters'!B$2</f>
        <v>2019-04-26 08:00</v>
      </c>
      <c r="AJ135" s="213" t="str">
        <f>'Run Parameters'!B$3</f>
        <v>2019-04-26 18:00</v>
      </c>
      <c r="AK135" s="13" t="s">
        <v>396</v>
      </c>
      <c r="AL135" s="53" t="str">
        <f t="shared" si="152"/>
        <v>011593649</v>
      </c>
      <c r="AM135" s="13" t="str">
        <f t="shared" si="153"/>
        <v>01153649</v>
      </c>
      <c r="AN135" s="15"/>
      <c r="AO135" s="51"/>
      <c r="AP135" s="13">
        <v>1</v>
      </c>
      <c r="AQ135" s="52" t="s">
        <v>49</v>
      </c>
      <c r="AR135" s="15"/>
      <c r="AS135" s="13"/>
      <c r="AT135" s="7" t="s">
        <v>400</v>
      </c>
      <c r="AU135" s="7"/>
      <c r="AV135" s="13">
        <f t="shared" si="154"/>
        <v>3649</v>
      </c>
      <c r="AW135" s="13" t="s">
        <v>767</v>
      </c>
      <c r="AX135" s="13" t="s">
        <v>420</v>
      </c>
      <c r="AY135" s="13" t="s">
        <v>421</v>
      </c>
      <c r="AZ135" s="15" t="s">
        <v>334</v>
      </c>
      <c r="BA135" s="14" t="s">
        <v>154</v>
      </c>
      <c r="BB135" s="21">
        <v>1</v>
      </c>
      <c r="BC135" s="20">
        <f t="shared" si="155"/>
        <v>3649</v>
      </c>
      <c r="BD135" s="16" t="s">
        <v>768</v>
      </c>
      <c r="BE135" s="16" t="s">
        <v>391</v>
      </c>
      <c r="BF135" s="16" t="s">
        <v>390</v>
      </c>
      <c r="BG135" s="20" t="s">
        <v>766</v>
      </c>
      <c r="BH135" s="20" t="str">
        <f t="shared" si="156"/>
        <v>3649_1</v>
      </c>
      <c r="BI135" s="21"/>
      <c r="BJ135" s="21" t="str">
        <f t="shared" si="157"/>
        <v>100000003649</v>
      </c>
      <c r="BK135" s="16" t="s">
        <v>51</v>
      </c>
      <c r="BL135" s="16" t="s">
        <v>54</v>
      </c>
      <c r="BM135" s="20" t="s">
        <v>769</v>
      </c>
      <c r="BN135" s="16" t="s">
        <v>51</v>
      </c>
      <c r="BO135" s="20" t="str">
        <f t="shared" si="158"/>
        <v>S05S3649</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GAS_ENQ_NO-3649</v>
      </c>
      <c r="CK135" s="7" t="s">
        <v>165</v>
      </c>
      <c r="CL135" s="7" t="s">
        <v>391</v>
      </c>
      <c r="CM135" s="7" t="s">
        <v>390</v>
      </c>
      <c r="CN135" s="6" t="s">
        <v>278</v>
      </c>
      <c r="CO135" s="6" t="str">
        <f t="shared" si="179"/>
        <v>GAS_JOB_ID-3649</v>
      </c>
      <c r="CP135" s="7"/>
      <c r="CQ135" s="6" t="str">
        <f t="shared" si="180"/>
        <v>100003649</v>
      </c>
      <c r="CR135" s="6" t="s">
        <v>154</v>
      </c>
      <c r="CS135" s="7" t="s">
        <v>51</v>
      </c>
      <c r="CT135" s="27" t="str">
        <f t="shared" si="181"/>
        <v>GMETER3649</v>
      </c>
      <c r="CU135" s="6" t="s">
        <v>161</v>
      </c>
      <c r="CV135" s="7" t="s">
        <v>165</v>
      </c>
      <c r="CW135" s="7" t="s">
        <v>772</v>
      </c>
      <c r="CX135" s="7"/>
      <c r="CY135" s="7"/>
      <c r="CZ135" s="7" t="s">
        <v>394</v>
      </c>
      <c r="DA135" s="7" t="s">
        <v>395</v>
      </c>
      <c r="DB135" s="6" t="str">
        <f t="shared" si="163"/>
        <v>GAS_INST_ID-3649</v>
      </c>
      <c r="DC135" s="7" t="s">
        <v>161</v>
      </c>
      <c r="DD135" s="7"/>
      <c r="DE135" s="7" t="s">
        <v>51</v>
      </c>
      <c r="DF135" s="7" t="s">
        <v>264</v>
      </c>
      <c r="DG135" s="7"/>
      <c r="DH135" s="7" t="s">
        <v>397</v>
      </c>
      <c r="DI135" s="7" t="s">
        <v>399</v>
      </c>
      <c r="DJ135" s="10" t="s">
        <v>267</v>
      </c>
      <c r="DK135" s="7" t="s">
        <v>140</v>
      </c>
      <c r="DL135" s="40"/>
      <c r="DM135" s="40"/>
      <c r="DN135" s="38" t="str">
        <f t="shared" si="164"/>
        <v>DS_Pass-3649</v>
      </c>
      <c r="DO135" s="40"/>
      <c r="DP135" s="40"/>
      <c r="DQ135" s="40"/>
      <c r="DR135" s="41"/>
      <c r="DS135" s="41"/>
      <c r="DT135" s="40"/>
      <c r="DU135" s="40"/>
      <c r="DV135" s="40"/>
      <c r="DW135" s="41"/>
      <c r="DX135" s="40"/>
      <c r="DY135" s="40"/>
      <c r="DZ135" s="37" t="s">
        <v>770</v>
      </c>
      <c r="EA135" s="39"/>
      <c r="EB135" s="37"/>
      <c r="EC135" s="37"/>
      <c r="ED135" s="16"/>
      <c r="EE135" s="1"/>
      <c r="EF135" s="54"/>
    </row>
    <row r="136" spans="1:136" x14ac:dyDescent="0.2">
      <c r="A136" s="209" t="s">
        <v>885</v>
      </c>
      <c r="B136" s="209" t="s">
        <v>892</v>
      </c>
      <c r="C136" s="209" t="s">
        <v>865</v>
      </c>
      <c r="D136" s="13">
        <f>'Run Parameters'!$B$1 + ROW()-1</f>
        <v>3650</v>
      </c>
      <c r="E136" s="15" t="s">
        <v>47</v>
      </c>
      <c r="F136" s="18" t="s">
        <v>766</v>
      </c>
      <c r="G136" s="13" t="str">
        <f t="shared" si="142"/>
        <v>Access Dtls-3650</v>
      </c>
      <c r="H136" s="15" t="s">
        <v>275</v>
      </c>
      <c r="I136" s="13" t="str">
        <f>("MR. Test_127_EXCH3_"&amp;D136&amp;"")</f>
        <v>MR. Test_127_EXCH3_3650</v>
      </c>
      <c r="J136" s="18"/>
      <c r="K136" s="19" t="s">
        <v>425</v>
      </c>
      <c r="L136" s="13" t="str">
        <f t="shared" si="143"/>
        <v>Cust. Ref-3650</v>
      </c>
      <c r="M136" s="15" t="s">
        <v>48</v>
      </c>
      <c r="N136" s="15" t="s">
        <v>425</v>
      </c>
      <c r="O136" s="13"/>
      <c r="P136" s="13" t="str">
        <f t="shared" si="144"/>
        <v>SN-3650</v>
      </c>
      <c r="Q136" s="13" t="str">
        <f t="shared" si="145"/>
        <v>SI-3650</v>
      </c>
      <c r="R136" s="13" t="str">
        <f t="shared" si="146"/>
        <v>SE-3650</v>
      </c>
      <c r="S136" s="53" t="str">
        <f t="shared" si="147"/>
        <v>Prev_RA-3650</v>
      </c>
      <c r="T136" s="53" t="str">
        <f t="shared" si="148"/>
        <v>Prev_Comms-3650</v>
      </c>
      <c r="U136" s="17" t="s">
        <v>75</v>
      </c>
      <c r="V136" s="15" t="s">
        <v>401</v>
      </c>
      <c r="W136" s="17" t="s">
        <v>75</v>
      </c>
      <c r="X136" s="15" t="s">
        <v>396</v>
      </c>
      <c r="Y136" s="13" t="str">
        <f t="shared" si="149"/>
        <v>Forward Add-3650</v>
      </c>
      <c r="Z136" s="15" t="s">
        <v>401</v>
      </c>
      <c r="AA136" s="133" t="str">
        <f>'Run Parameters'!$B$2</f>
        <v>2019-04-26 08:00</v>
      </c>
      <c r="AB136" s="213" t="str">
        <f>'Run Parameters'!B$3</f>
        <v>2019-04-26 18:00</v>
      </c>
      <c r="AC136" s="26">
        <f>('Run Parameters'!$B$2) - 7</f>
        <v>43574.333333333336</v>
      </c>
      <c r="AD136" s="17" t="s">
        <v>75</v>
      </c>
      <c r="AE136" s="18" t="str">
        <f t="shared" si="150"/>
        <v>LAST_METER-3650</v>
      </c>
      <c r="AF136" s="133" t="str">
        <f>'Run Parameters'!$B$2</f>
        <v>2019-04-26 08:00</v>
      </c>
      <c r="AG136" s="13" t="str">
        <f>'Run Parameters'!B$4</f>
        <v>AUTOTEST2</v>
      </c>
      <c r="AH136" s="53" t="str">
        <f t="shared" si="151"/>
        <v>Site_Contact_3650</v>
      </c>
      <c r="AI136" s="133" t="str">
        <f>'Run Parameters'!B$2</f>
        <v>2019-04-26 08:00</v>
      </c>
      <c r="AJ136" s="213" t="str">
        <f>'Run Parameters'!B$3</f>
        <v>2019-04-26 18:00</v>
      </c>
      <c r="AK136" s="13" t="s">
        <v>396</v>
      </c>
      <c r="AL136" s="53" t="str">
        <f t="shared" si="152"/>
        <v>011593650</v>
      </c>
      <c r="AM136" s="13" t="str">
        <f t="shared" si="153"/>
        <v>01153650</v>
      </c>
      <c r="AN136" s="15"/>
      <c r="AO136" s="51"/>
      <c r="AP136" s="13">
        <v>1</v>
      </c>
      <c r="AQ136" s="52" t="s">
        <v>49</v>
      </c>
      <c r="AR136" s="15"/>
      <c r="AS136" s="13"/>
      <c r="AT136" s="7" t="s">
        <v>400</v>
      </c>
      <c r="AU136" s="7"/>
      <c r="AV136" s="13">
        <f t="shared" si="154"/>
        <v>3650</v>
      </c>
      <c r="AW136" s="13" t="s">
        <v>767</v>
      </c>
      <c r="AX136" s="13" t="s">
        <v>420</v>
      </c>
      <c r="AY136" s="13" t="s">
        <v>421</v>
      </c>
      <c r="AZ136" s="15" t="s">
        <v>334</v>
      </c>
      <c r="BA136" s="14" t="s">
        <v>154</v>
      </c>
      <c r="BB136" s="21">
        <v>1</v>
      </c>
      <c r="BC136" s="20">
        <f t="shared" si="155"/>
        <v>3650</v>
      </c>
      <c r="BD136" s="16" t="s">
        <v>768</v>
      </c>
      <c r="BE136" s="16" t="s">
        <v>391</v>
      </c>
      <c r="BF136" s="16" t="s">
        <v>390</v>
      </c>
      <c r="BG136" s="20" t="s">
        <v>766</v>
      </c>
      <c r="BH136" s="20" t="str">
        <f t="shared" si="156"/>
        <v>3650_1</v>
      </c>
      <c r="BI136" s="21"/>
      <c r="BJ136" s="21" t="str">
        <f t="shared" si="157"/>
        <v>100000003650</v>
      </c>
      <c r="BK136" s="16" t="s">
        <v>51</v>
      </c>
      <c r="BL136" s="16" t="s">
        <v>54</v>
      </c>
      <c r="BM136" s="20" t="s">
        <v>769</v>
      </c>
      <c r="BN136" s="16" t="s">
        <v>51</v>
      </c>
      <c r="BO136" s="20" t="str">
        <f t="shared" si="158"/>
        <v>S05S3650</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GAS_ENQ_NO-3650</v>
      </c>
      <c r="CK136" s="7" t="s">
        <v>165</v>
      </c>
      <c r="CL136" s="7" t="s">
        <v>391</v>
      </c>
      <c r="CM136" s="7" t="s">
        <v>390</v>
      </c>
      <c r="CN136" s="6" t="s">
        <v>278</v>
      </c>
      <c r="CO136" s="6" t="str">
        <f t="shared" si="179"/>
        <v>GAS_JOB_ID-3650</v>
      </c>
      <c r="CP136" s="7"/>
      <c r="CQ136" s="6" t="str">
        <f t="shared" si="180"/>
        <v>100003650</v>
      </c>
      <c r="CR136" s="6" t="s">
        <v>154</v>
      </c>
      <c r="CS136" s="7" t="s">
        <v>51</v>
      </c>
      <c r="CT136" s="27" t="str">
        <f t="shared" si="181"/>
        <v>GMETER3650</v>
      </c>
      <c r="CU136" s="6" t="s">
        <v>161</v>
      </c>
      <c r="CV136" s="7" t="s">
        <v>165</v>
      </c>
      <c r="CW136" s="7" t="s">
        <v>772</v>
      </c>
      <c r="CX136" s="7"/>
      <c r="CY136" s="7"/>
      <c r="CZ136" s="7" t="s">
        <v>394</v>
      </c>
      <c r="DA136" s="7" t="s">
        <v>395</v>
      </c>
      <c r="DB136" s="6" t="str">
        <f t="shared" si="163"/>
        <v>GAS_INST_ID-3650</v>
      </c>
      <c r="DC136" s="7" t="s">
        <v>161</v>
      </c>
      <c r="DD136" s="7"/>
      <c r="DE136" s="7" t="s">
        <v>51</v>
      </c>
      <c r="DF136" s="7" t="s">
        <v>264</v>
      </c>
      <c r="DG136" s="7"/>
      <c r="DH136" s="7" t="s">
        <v>397</v>
      </c>
      <c r="DI136" s="7" t="s">
        <v>399</v>
      </c>
      <c r="DJ136" s="10" t="s">
        <v>267</v>
      </c>
      <c r="DK136" s="7" t="s">
        <v>140</v>
      </c>
      <c r="DL136" s="40"/>
      <c r="DM136" s="40"/>
      <c r="DN136" s="38" t="str">
        <f t="shared" si="164"/>
        <v>DS_Pass-3650</v>
      </c>
      <c r="DO136" s="40"/>
      <c r="DP136" s="40"/>
      <c r="DQ136" s="40"/>
      <c r="DR136" s="41"/>
      <c r="DS136" s="41"/>
      <c r="DT136" s="40"/>
      <c r="DU136" s="40"/>
      <c r="DV136" s="40"/>
      <c r="DW136" s="41"/>
      <c r="DX136" s="40"/>
      <c r="DY136" s="40"/>
      <c r="DZ136" s="37" t="s">
        <v>770</v>
      </c>
      <c r="EA136" s="39"/>
      <c r="EB136" s="37"/>
      <c r="EC136" s="37"/>
      <c r="ED136" s="16"/>
      <c r="EE136" s="1"/>
      <c r="EF136" s="54"/>
    </row>
    <row r="137" spans="1:136" x14ac:dyDescent="0.2">
      <c r="A137" s="209" t="s">
        <v>886</v>
      </c>
      <c r="B137" s="209" t="s">
        <v>868</v>
      </c>
      <c r="C137" s="209" t="s">
        <v>865</v>
      </c>
      <c r="D137" s="13">
        <f>'Run Parameters'!$B$1 + ROW()-1</f>
        <v>3651</v>
      </c>
      <c r="E137" s="15" t="s">
        <v>47</v>
      </c>
      <c r="F137" s="18" t="s">
        <v>766</v>
      </c>
      <c r="G137" s="13" t="str">
        <f t="shared" si="142"/>
        <v>Access Dtls-3651</v>
      </c>
      <c r="H137" s="15" t="s">
        <v>275</v>
      </c>
      <c r="I137" s="13" t="str">
        <f>("MR. Test_128_EXCH3_"&amp;D137&amp;"")</f>
        <v>MR. Test_128_EXCH3_3651</v>
      </c>
      <c r="J137" s="18"/>
      <c r="K137" s="19" t="s">
        <v>425</v>
      </c>
      <c r="L137" s="13" t="str">
        <f t="shared" si="143"/>
        <v>Cust. Ref-3651</v>
      </c>
      <c r="M137" s="15" t="s">
        <v>48</v>
      </c>
      <c r="N137" s="15" t="s">
        <v>425</v>
      </c>
      <c r="O137" s="13"/>
      <c r="P137" s="13" t="str">
        <f t="shared" si="144"/>
        <v>SN-3651</v>
      </c>
      <c r="Q137" s="13" t="str">
        <f t="shared" si="145"/>
        <v>SI-3651</v>
      </c>
      <c r="R137" s="13" t="str">
        <f t="shared" si="146"/>
        <v>SE-3651</v>
      </c>
      <c r="S137" s="53" t="str">
        <f t="shared" si="147"/>
        <v>Prev_RA-3651</v>
      </c>
      <c r="T137" s="53" t="str">
        <f t="shared" si="148"/>
        <v>Prev_Comms-3651</v>
      </c>
      <c r="U137" s="17" t="s">
        <v>75</v>
      </c>
      <c r="V137" s="15" t="s">
        <v>401</v>
      </c>
      <c r="W137" s="17" t="s">
        <v>75</v>
      </c>
      <c r="X137" s="15" t="s">
        <v>396</v>
      </c>
      <c r="Y137" s="13" t="str">
        <f t="shared" si="149"/>
        <v>Forward Add-3651</v>
      </c>
      <c r="Z137" s="15" t="s">
        <v>401</v>
      </c>
      <c r="AA137" s="133" t="str">
        <f>'Run Parameters'!$B$2</f>
        <v>2019-04-26 08:00</v>
      </c>
      <c r="AB137" s="213" t="str">
        <f>'Run Parameters'!B$3</f>
        <v>2019-04-26 18:00</v>
      </c>
      <c r="AC137" s="26">
        <f>('Run Parameters'!$B$2) - 7</f>
        <v>43574.333333333336</v>
      </c>
      <c r="AD137" s="17" t="s">
        <v>75</v>
      </c>
      <c r="AE137" s="18" t="str">
        <f t="shared" si="150"/>
        <v>LAST_METER-3651</v>
      </c>
      <c r="AF137" s="133" t="str">
        <f>'Run Parameters'!$B$2</f>
        <v>2019-04-26 08:00</v>
      </c>
      <c r="AG137" s="13" t="str">
        <f>'Run Parameters'!B$4</f>
        <v>AUTOTEST2</v>
      </c>
      <c r="AH137" s="53" t="str">
        <f t="shared" si="151"/>
        <v>Site_Contact_3651</v>
      </c>
      <c r="AI137" s="133" t="str">
        <f>'Run Parameters'!B$2</f>
        <v>2019-04-26 08:00</v>
      </c>
      <c r="AJ137" s="213" t="str">
        <f>'Run Parameters'!B$3</f>
        <v>2019-04-26 18:00</v>
      </c>
      <c r="AK137" s="13" t="s">
        <v>396</v>
      </c>
      <c r="AL137" s="53" t="str">
        <f t="shared" si="152"/>
        <v>011593651</v>
      </c>
      <c r="AM137" s="13" t="str">
        <f t="shared" si="153"/>
        <v>01153651</v>
      </c>
      <c r="AN137" s="15"/>
      <c r="AO137" s="51"/>
      <c r="AP137" s="13">
        <v>1</v>
      </c>
      <c r="AQ137" s="52" t="s">
        <v>49</v>
      </c>
      <c r="AR137" s="15"/>
      <c r="AS137" s="13"/>
      <c r="AT137" s="7" t="s">
        <v>400</v>
      </c>
      <c r="AU137" s="7"/>
      <c r="AV137" s="13">
        <f t="shared" si="154"/>
        <v>3651</v>
      </c>
      <c r="AW137" s="13" t="s">
        <v>767</v>
      </c>
      <c r="AX137" s="13" t="s">
        <v>420</v>
      </c>
      <c r="AY137" s="13" t="s">
        <v>421</v>
      </c>
      <c r="AZ137" s="15" t="s">
        <v>334</v>
      </c>
      <c r="BA137" s="14" t="s">
        <v>154</v>
      </c>
      <c r="BB137" s="21">
        <v>1</v>
      </c>
      <c r="BC137" s="20">
        <f t="shared" si="155"/>
        <v>3651</v>
      </c>
      <c r="BD137" s="16" t="s">
        <v>768</v>
      </c>
      <c r="BE137" s="16" t="s">
        <v>391</v>
      </c>
      <c r="BF137" s="16" t="s">
        <v>390</v>
      </c>
      <c r="BG137" s="20" t="s">
        <v>766</v>
      </c>
      <c r="BH137" s="20" t="str">
        <f t="shared" si="156"/>
        <v>3651_1</v>
      </c>
      <c r="BI137" s="21"/>
      <c r="BJ137" s="21" t="str">
        <f t="shared" si="157"/>
        <v>100000003651</v>
      </c>
      <c r="BK137" s="16" t="s">
        <v>51</v>
      </c>
      <c r="BL137" s="16" t="s">
        <v>54</v>
      </c>
      <c r="BM137" s="20" t="s">
        <v>769</v>
      </c>
      <c r="BN137" s="16" t="s">
        <v>51</v>
      </c>
      <c r="BO137" s="20" t="str">
        <f t="shared" si="158"/>
        <v>S05S3651</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GAS_ENQ_NO-3651</v>
      </c>
      <c r="CK137" s="7" t="s">
        <v>165</v>
      </c>
      <c r="CL137" s="7" t="s">
        <v>391</v>
      </c>
      <c r="CM137" s="7" t="s">
        <v>390</v>
      </c>
      <c r="CN137" s="6" t="s">
        <v>278</v>
      </c>
      <c r="CO137" s="6" t="str">
        <f t="shared" si="179"/>
        <v>GAS_JOB_ID-3651</v>
      </c>
      <c r="CP137" s="7"/>
      <c r="CQ137" s="6" t="str">
        <f t="shared" si="180"/>
        <v>100003651</v>
      </c>
      <c r="CR137" s="6" t="s">
        <v>154</v>
      </c>
      <c r="CS137" s="7" t="s">
        <v>51</v>
      </c>
      <c r="CT137" s="27" t="str">
        <f t="shared" si="181"/>
        <v>GMETER3651</v>
      </c>
      <c r="CU137" s="6" t="s">
        <v>161</v>
      </c>
      <c r="CV137" s="7" t="s">
        <v>165</v>
      </c>
      <c r="CW137" s="7" t="s">
        <v>772</v>
      </c>
      <c r="CX137" s="7"/>
      <c r="CY137" s="7"/>
      <c r="CZ137" s="7" t="s">
        <v>394</v>
      </c>
      <c r="DA137" s="7" t="s">
        <v>395</v>
      </c>
      <c r="DB137" s="6" t="str">
        <f t="shared" si="163"/>
        <v>GAS_INST_ID-3651</v>
      </c>
      <c r="DC137" s="7" t="s">
        <v>161</v>
      </c>
      <c r="DD137" s="7"/>
      <c r="DE137" s="7" t="s">
        <v>51</v>
      </c>
      <c r="DF137" s="7" t="s">
        <v>264</v>
      </c>
      <c r="DG137" s="7"/>
      <c r="DH137" s="7" t="s">
        <v>397</v>
      </c>
      <c r="DI137" s="7" t="s">
        <v>399</v>
      </c>
      <c r="DJ137" s="10" t="s">
        <v>267</v>
      </c>
      <c r="DK137" s="7" t="s">
        <v>140</v>
      </c>
      <c r="DL137" s="40"/>
      <c r="DM137" s="40"/>
      <c r="DN137" s="38" t="str">
        <f t="shared" si="164"/>
        <v>DS_Pass-3651</v>
      </c>
      <c r="DO137" s="40"/>
      <c r="DP137" s="40"/>
      <c r="DQ137" s="40"/>
      <c r="DR137" s="41"/>
      <c r="DS137" s="41"/>
      <c r="DT137" s="40"/>
      <c r="DU137" s="40"/>
      <c r="DV137" s="40"/>
      <c r="DW137" s="41"/>
      <c r="DX137" s="40"/>
      <c r="DY137" s="40"/>
      <c r="DZ137" s="37" t="s">
        <v>770</v>
      </c>
      <c r="EA137" s="39"/>
      <c r="EB137" s="37"/>
      <c r="EC137" s="37"/>
      <c r="ED137" s="16"/>
      <c r="EE137" s="1"/>
      <c r="EF137" s="54"/>
    </row>
    <row r="138" spans="1:136" x14ac:dyDescent="0.2">
      <c r="A138" s="209" t="s">
        <v>887</v>
      </c>
      <c r="B138" s="209" t="s">
        <v>892</v>
      </c>
      <c r="C138" s="209" t="s">
        <v>865</v>
      </c>
      <c r="D138" s="13">
        <f>'Run Parameters'!$B$1 + ROW()-1</f>
        <v>3652</v>
      </c>
      <c r="E138" s="15" t="s">
        <v>47</v>
      </c>
      <c r="F138" s="18" t="s">
        <v>766</v>
      </c>
      <c r="G138" s="13" t="str">
        <f t="shared" si="142"/>
        <v>Access Dtls-3652</v>
      </c>
      <c r="H138" s="15" t="s">
        <v>275</v>
      </c>
      <c r="I138" s="13" t="str">
        <f>("MR. Test_129_EXCH3_"&amp;D138&amp;"")</f>
        <v>MR. Test_129_EXCH3_3652</v>
      </c>
      <c r="J138" s="18"/>
      <c r="K138" s="19" t="s">
        <v>425</v>
      </c>
      <c r="L138" s="13" t="str">
        <f t="shared" si="143"/>
        <v>Cust. Ref-3652</v>
      </c>
      <c r="M138" s="15" t="s">
        <v>48</v>
      </c>
      <c r="N138" s="15" t="s">
        <v>425</v>
      </c>
      <c r="O138" s="13"/>
      <c r="P138" s="13" t="str">
        <f t="shared" si="144"/>
        <v>SN-3652</v>
      </c>
      <c r="Q138" s="13" t="str">
        <f t="shared" si="145"/>
        <v>SI-3652</v>
      </c>
      <c r="R138" s="13" t="str">
        <f t="shared" si="146"/>
        <v>SE-3652</v>
      </c>
      <c r="S138" s="53" t="str">
        <f t="shared" si="147"/>
        <v>Prev_RA-3652</v>
      </c>
      <c r="T138" s="53" t="str">
        <f t="shared" si="148"/>
        <v>Prev_Comms-3652</v>
      </c>
      <c r="U138" s="17" t="s">
        <v>75</v>
      </c>
      <c r="V138" s="15" t="s">
        <v>401</v>
      </c>
      <c r="W138" s="17" t="s">
        <v>75</v>
      </c>
      <c r="X138" s="15" t="s">
        <v>396</v>
      </c>
      <c r="Y138" s="13" t="str">
        <f t="shared" si="149"/>
        <v>Forward Add-3652</v>
      </c>
      <c r="Z138" s="15" t="s">
        <v>401</v>
      </c>
      <c r="AA138" s="133" t="str">
        <f>'Run Parameters'!$B$2</f>
        <v>2019-04-26 08:00</v>
      </c>
      <c r="AB138" s="213" t="str">
        <f>'Run Parameters'!B$3</f>
        <v>2019-04-26 18:00</v>
      </c>
      <c r="AC138" s="26">
        <f>('Run Parameters'!$B$2) - 7</f>
        <v>43574.333333333336</v>
      </c>
      <c r="AD138" s="17" t="s">
        <v>75</v>
      </c>
      <c r="AE138" s="18" t="str">
        <f t="shared" si="150"/>
        <v>LAST_METER-3652</v>
      </c>
      <c r="AF138" s="133" t="str">
        <f>'Run Parameters'!$B$2</f>
        <v>2019-04-26 08:00</v>
      </c>
      <c r="AG138" s="13" t="str">
        <f>'Run Parameters'!B$4</f>
        <v>AUTOTEST2</v>
      </c>
      <c r="AH138" s="53" t="str">
        <f t="shared" si="151"/>
        <v>Site_Contact_3652</v>
      </c>
      <c r="AI138" s="133" t="str">
        <f>'Run Parameters'!B$2</f>
        <v>2019-04-26 08:00</v>
      </c>
      <c r="AJ138" s="213" t="str">
        <f>'Run Parameters'!B$3</f>
        <v>2019-04-26 18:00</v>
      </c>
      <c r="AK138" s="13" t="s">
        <v>396</v>
      </c>
      <c r="AL138" s="53" t="str">
        <f t="shared" si="152"/>
        <v>011593652</v>
      </c>
      <c r="AM138" s="13" t="str">
        <f t="shared" si="153"/>
        <v>01153652</v>
      </c>
      <c r="AN138" s="15"/>
      <c r="AO138" s="51"/>
      <c r="AP138" s="13">
        <v>1</v>
      </c>
      <c r="AQ138" s="52" t="s">
        <v>49</v>
      </c>
      <c r="AR138" s="15"/>
      <c r="AS138" s="13"/>
      <c r="AT138" s="7" t="s">
        <v>400</v>
      </c>
      <c r="AU138" s="7"/>
      <c r="AV138" s="13">
        <f t="shared" si="154"/>
        <v>3652</v>
      </c>
      <c r="AW138" s="13" t="s">
        <v>767</v>
      </c>
      <c r="AX138" s="13" t="s">
        <v>420</v>
      </c>
      <c r="AY138" s="13" t="s">
        <v>421</v>
      </c>
      <c r="AZ138" s="15" t="s">
        <v>334</v>
      </c>
      <c r="BA138" s="14" t="s">
        <v>154</v>
      </c>
      <c r="BB138" s="21">
        <v>1</v>
      </c>
      <c r="BC138" s="20">
        <f t="shared" si="155"/>
        <v>3652</v>
      </c>
      <c r="BD138" s="16" t="s">
        <v>768</v>
      </c>
      <c r="BE138" s="16" t="s">
        <v>391</v>
      </c>
      <c r="BF138" s="16" t="s">
        <v>390</v>
      </c>
      <c r="BG138" s="20" t="s">
        <v>766</v>
      </c>
      <c r="BH138" s="20" t="str">
        <f t="shared" si="156"/>
        <v>3652_1</v>
      </c>
      <c r="BI138" s="21"/>
      <c r="BJ138" s="21" t="str">
        <f t="shared" si="157"/>
        <v>100000003652</v>
      </c>
      <c r="BK138" s="16" t="s">
        <v>51</v>
      </c>
      <c r="BL138" s="16" t="s">
        <v>54</v>
      </c>
      <c r="BM138" s="20" t="s">
        <v>769</v>
      </c>
      <c r="BN138" s="16" t="s">
        <v>51</v>
      </c>
      <c r="BO138" s="20" t="str">
        <f t="shared" si="158"/>
        <v>S05S3652</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GAS_ENQ_NO-3652</v>
      </c>
      <c r="CK138" s="7" t="s">
        <v>165</v>
      </c>
      <c r="CL138" s="7" t="s">
        <v>391</v>
      </c>
      <c r="CM138" s="7" t="s">
        <v>390</v>
      </c>
      <c r="CN138" s="6" t="s">
        <v>278</v>
      </c>
      <c r="CO138" s="6" t="str">
        <f t="shared" si="179"/>
        <v>GAS_JOB_ID-3652</v>
      </c>
      <c r="CP138" s="7"/>
      <c r="CQ138" s="6" t="str">
        <f t="shared" si="180"/>
        <v>100003652</v>
      </c>
      <c r="CR138" s="6" t="s">
        <v>154</v>
      </c>
      <c r="CS138" s="7" t="s">
        <v>51</v>
      </c>
      <c r="CT138" s="27" t="str">
        <f t="shared" si="181"/>
        <v>GMETER3652</v>
      </c>
      <c r="CU138" s="6" t="s">
        <v>161</v>
      </c>
      <c r="CV138" s="7" t="s">
        <v>165</v>
      </c>
      <c r="CW138" s="7" t="s">
        <v>772</v>
      </c>
      <c r="CX138" s="7"/>
      <c r="CY138" s="7"/>
      <c r="CZ138" s="7" t="s">
        <v>394</v>
      </c>
      <c r="DA138" s="7" t="s">
        <v>395</v>
      </c>
      <c r="DB138" s="6" t="str">
        <f t="shared" si="163"/>
        <v>GAS_INST_ID-3652</v>
      </c>
      <c r="DC138" s="7" t="s">
        <v>161</v>
      </c>
      <c r="DD138" s="7"/>
      <c r="DE138" s="7" t="s">
        <v>51</v>
      </c>
      <c r="DF138" s="7" t="s">
        <v>264</v>
      </c>
      <c r="DG138" s="7"/>
      <c r="DH138" s="7" t="s">
        <v>397</v>
      </c>
      <c r="DI138" s="7" t="s">
        <v>399</v>
      </c>
      <c r="DJ138" s="10" t="s">
        <v>267</v>
      </c>
      <c r="DK138" s="7" t="s">
        <v>140</v>
      </c>
      <c r="DL138" s="40"/>
      <c r="DM138" s="40"/>
      <c r="DN138" s="38" t="str">
        <f t="shared" si="164"/>
        <v>DS_Pass-3652</v>
      </c>
      <c r="DO138" s="40"/>
      <c r="DP138" s="40"/>
      <c r="DQ138" s="40"/>
      <c r="DR138" s="41"/>
      <c r="DS138" s="41"/>
      <c r="DT138" s="40"/>
      <c r="DU138" s="40"/>
      <c r="DV138" s="40"/>
      <c r="DW138" s="41"/>
      <c r="DX138" s="40"/>
      <c r="DY138" s="40"/>
      <c r="DZ138" s="37" t="s">
        <v>770</v>
      </c>
      <c r="EA138" s="39"/>
      <c r="EB138" s="37"/>
      <c r="EC138" s="37"/>
      <c r="ED138" s="16"/>
      <c r="EE138" s="1"/>
      <c r="EF138" s="54"/>
    </row>
    <row r="139" spans="1:136" x14ac:dyDescent="0.2">
      <c r="A139" s="209" t="s">
        <v>888</v>
      </c>
      <c r="B139" s="209" t="s">
        <v>868</v>
      </c>
      <c r="C139" s="209" t="s">
        <v>865</v>
      </c>
      <c r="D139" s="13">
        <f>'Run Parameters'!$B$1 + ROW()-1</f>
        <v>3653</v>
      </c>
      <c r="E139" s="15" t="s">
        <v>47</v>
      </c>
      <c r="F139" s="18" t="s">
        <v>766</v>
      </c>
      <c r="G139" s="13" t="str">
        <f t="shared" si="142"/>
        <v>Access Dtls-3653</v>
      </c>
      <c r="H139" s="15" t="s">
        <v>275</v>
      </c>
      <c r="I139" s="13" t="str">
        <f>("MR. Test_130_EXCH3_"&amp;D139&amp;"")</f>
        <v>MR. Test_130_EXCH3_3653</v>
      </c>
      <c r="J139" s="18"/>
      <c r="K139" s="19" t="s">
        <v>425</v>
      </c>
      <c r="L139" s="13" t="str">
        <f t="shared" si="143"/>
        <v>Cust. Ref-3653</v>
      </c>
      <c r="M139" s="15" t="s">
        <v>48</v>
      </c>
      <c r="N139" s="15" t="s">
        <v>425</v>
      </c>
      <c r="O139" s="13"/>
      <c r="P139" s="13" t="str">
        <f t="shared" si="144"/>
        <v>SN-3653</v>
      </c>
      <c r="Q139" s="13" t="str">
        <f t="shared" si="145"/>
        <v>SI-3653</v>
      </c>
      <c r="R139" s="13" t="str">
        <f t="shared" si="146"/>
        <v>SE-3653</v>
      </c>
      <c r="S139" s="53" t="str">
        <f t="shared" si="147"/>
        <v>Prev_RA-3653</v>
      </c>
      <c r="T139" s="53" t="str">
        <f t="shared" si="148"/>
        <v>Prev_Comms-3653</v>
      </c>
      <c r="U139" s="17" t="s">
        <v>75</v>
      </c>
      <c r="V139" s="15" t="s">
        <v>401</v>
      </c>
      <c r="W139" s="17" t="s">
        <v>75</v>
      </c>
      <c r="X139" s="15" t="s">
        <v>396</v>
      </c>
      <c r="Y139" s="13" t="str">
        <f t="shared" si="149"/>
        <v>Forward Add-3653</v>
      </c>
      <c r="Z139" s="15" t="s">
        <v>401</v>
      </c>
      <c r="AA139" s="133" t="str">
        <f>'Run Parameters'!$B$2</f>
        <v>2019-04-26 08:00</v>
      </c>
      <c r="AB139" s="213" t="str">
        <f>'Run Parameters'!B$3</f>
        <v>2019-04-26 18:00</v>
      </c>
      <c r="AC139" s="26">
        <f>('Run Parameters'!$B$2) - 7</f>
        <v>43574.333333333336</v>
      </c>
      <c r="AD139" s="17" t="s">
        <v>75</v>
      </c>
      <c r="AE139" s="18" t="str">
        <f t="shared" si="150"/>
        <v>LAST_METER-3653</v>
      </c>
      <c r="AF139" s="133" t="str">
        <f>'Run Parameters'!$B$2</f>
        <v>2019-04-26 08:00</v>
      </c>
      <c r="AG139" s="13" t="str">
        <f>'Run Parameters'!B$4</f>
        <v>AUTOTEST2</v>
      </c>
      <c r="AH139" s="53" t="str">
        <f t="shared" si="151"/>
        <v>Site_Contact_3653</v>
      </c>
      <c r="AI139" s="133" t="str">
        <f>'Run Parameters'!B$2</f>
        <v>2019-04-26 08:00</v>
      </c>
      <c r="AJ139" s="213" t="str">
        <f>'Run Parameters'!B$3</f>
        <v>2019-04-26 18:00</v>
      </c>
      <c r="AK139" s="13" t="s">
        <v>396</v>
      </c>
      <c r="AL139" s="53" t="str">
        <f t="shared" si="152"/>
        <v>011593653</v>
      </c>
      <c r="AM139" s="13" t="str">
        <f t="shared" si="153"/>
        <v>01153653</v>
      </c>
      <c r="AN139" s="15"/>
      <c r="AO139" s="51"/>
      <c r="AP139" s="13">
        <v>1</v>
      </c>
      <c r="AQ139" s="52" t="s">
        <v>49</v>
      </c>
      <c r="AR139" s="15"/>
      <c r="AS139" s="13"/>
      <c r="AT139" s="7" t="s">
        <v>400</v>
      </c>
      <c r="AU139" s="7"/>
      <c r="AV139" s="13">
        <f t="shared" si="154"/>
        <v>3653</v>
      </c>
      <c r="AW139" s="13" t="s">
        <v>767</v>
      </c>
      <c r="AX139" s="13" t="s">
        <v>420</v>
      </c>
      <c r="AY139" s="13" t="s">
        <v>421</v>
      </c>
      <c r="AZ139" s="15" t="s">
        <v>334</v>
      </c>
      <c r="BA139" s="14" t="s">
        <v>154</v>
      </c>
      <c r="BB139" s="21">
        <v>1</v>
      </c>
      <c r="BC139" s="20">
        <f t="shared" si="155"/>
        <v>3653</v>
      </c>
      <c r="BD139" s="16" t="s">
        <v>768</v>
      </c>
      <c r="BE139" s="16" t="s">
        <v>391</v>
      </c>
      <c r="BF139" s="16" t="s">
        <v>390</v>
      </c>
      <c r="BG139" s="20" t="s">
        <v>766</v>
      </c>
      <c r="BH139" s="20" t="str">
        <f t="shared" si="156"/>
        <v>3653_1</v>
      </c>
      <c r="BI139" s="21"/>
      <c r="BJ139" s="21" t="str">
        <f t="shared" si="157"/>
        <v>100000003653</v>
      </c>
      <c r="BK139" s="16" t="s">
        <v>51</v>
      </c>
      <c r="BL139" s="16" t="s">
        <v>54</v>
      </c>
      <c r="BM139" s="20" t="s">
        <v>769</v>
      </c>
      <c r="BN139" s="16" t="s">
        <v>51</v>
      </c>
      <c r="BO139" s="20" t="str">
        <f t="shared" si="158"/>
        <v>S05S3653</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GAS_ENQ_NO-3653</v>
      </c>
      <c r="CK139" s="7" t="s">
        <v>165</v>
      </c>
      <c r="CL139" s="7" t="s">
        <v>391</v>
      </c>
      <c r="CM139" s="7" t="s">
        <v>390</v>
      </c>
      <c r="CN139" s="6" t="s">
        <v>278</v>
      </c>
      <c r="CO139" s="6" t="str">
        <f t="shared" si="179"/>
        <v>GAS_JOB_ID-3653</v>
      </c>
      <c r="CP139" s="7"/>
      <c r="CQ139" s="6" t="str">
        <f t="shared" si="180"/>
        <v>100003653</v>
      </c>
      <c r="CR139" s="6" t="s">
        <v>154</v>
      </c>
      <c r="CS139" s="7" t="s">
        <v>51</v>
      </c>
      <c r="CT139" s="27" t="str">
        <f t="shared" si="181"/>
        <v>GMETER3653</v>
      </c>
      <c r="CU139" s="6" t="s">
        <v>161</v>
      </c>
      <c r="CV139" s="7" t="s">
        <v>165</v>
      </c>
      <c r="CW139" s="7" t="s">
        <v>772</v>
      </c>
      <c r="CX139" s="7"/>
      <c r="CY139" s="7"/>
      <c r="CZ139" s="7" t="s">
        <v>394</v>
      </c>
      <c r="DA139" s="7" t="s">
        <v>395</v>
      </c>
      <c r="DB139" s="6" t="str">
        <f t="shared" si="163"/>
        <v>GAS_INST_ID-3653</v>
      </c>
      <c r="DC139" s="7" t="s">
        <v>161</v>
      </c>
      <c r="DD139" s="7"/>
      <c r="DE139" s="7" t="s">
        <v>51</v>
      </c>
      <c r="DF139" s="7" t="s">
        <v>264</v>
      </c>
      <c r="DG139" s="7"/>
      <c r="DH139" s="7" t="s">
        <v>397</v>
      </c>
      <c r="DI139" s="7" t="s">
        <v>399</v>
      </c>
      <c r="DJ139" s="10" t="s">
        <v>267</v>
      </c>
      <c r="DK139" s="7" t="s">
        <v>140</v>
      </c>
      <c r="DL139" s="40"/>
      <c r="DM139" s="40"/>
      <c r="DN139" s="38" t="str">
        <f t="shared" si="164"/>
        <v>DS_Pass-3653</v>
      </c>
      <c r="DO139" s="40"/>
      <c r="DP139" s="40"/>
      <c r="DQ139" s="40"/>
      <c r="DR139" s="41"/>
      <c r="DS139" s="41"/>
      <c r="DT139" s="40"/>
      <c r="DU139" s="40"/>
      <c r="DV139" s="40"/>
      <c r="DW139" s="41"/>
      <c r="DX139" s="40"/>
      <c r="DY139" s="40"/>
      <c r="DZ139" s="37" t="s">
        <v>770</v>
      </c>
      <c r="EA139" s="39"/>
      <c r="EB139" s="37"/>
      <c r="EC139" s="37"/>
      <c r="ED139" s="16"/>
      <c r="EE139" s="1"/>
      <c r="EF139" s="54"/>
    </row>
    <row r="140" spans="1:136" x14ac:dyDescent="0.2">
      <c r="A140" s="209" t="s">
        <v>889</v>
      </c>
      <c r="B140" s="209" t="s">
        <v>892</v>
      </c>
      <c r="C140" s="209" t="s">
        <v>865</v>
      </c>
      <c r="D140" s="13">
        <f>'Run Parameters'!$B$1 + ROW()-1</f>
        <v>3654</v>
      </c>
      <c r="E140" s="15" t="s">
        <v>47</v>
      </c>
      <c r="F140" s="18" t="s">
        <v>766</v>
      </c>
      <c r="G140" s="13" t="str">
        <f t="shared" si="142"/>
        <v>Access Dtls-3654</v>
      </c>
      <c r="H140" s="15" t="s">
        <v>275</v>
      </c>
      <c r="I140" s="13" t="str">
        <f>("MR. Test_131_EXCH3_"&amp;D140&amp;"")</f>
        <v>MR. Test_131_EXCH3_3654</v>
      </c>
      <c r="J140" s="18"/>
      <c r="K140" s="19" t="s">
        <v>425</v>
      </c>
      <c r="L140" s="13" t="str">
        <f t="shared" si="143"/>
        <v>Cust. Ref-3654</v>
      </c>
      <c r="M140" s="15" t="s">
        <v>48</v>
      </c>
      <c r="N140" s="15" t="s">
        <v>425</v>
      </c>
      <c r="O140" s="13"/>
      <c r="P140" s="13" t="str">
        <f t="shared" si="144"/>
        <v>SN-3654</v>
      </c>
      <c r="Q140" s="13" t="str">
        <f t="shared" si="145"/>
        <v>SI-3654</v>
      </c>
      <c r="R140" s="13" t="str">
        <f t="shared" si="146"/>
        <v>SE-3654</v>
      </c>
      <c r="S140" s="53" t="str">
        <f t="shared" si="147"/>
        <v>Prev_RA-3654</v>
      </c>
      <c r="T140" s="53" t="str">
        <f t="shared" si="148"/>
        <v>Prev_Comms-3654</v>
      </c>
      <c r="U140" s="17" t="s">
        <v>75</v>
      </c>
      <c r="V140" s="15" t="s">
        <v>401</v>
      </c>
      <c r="W140" s="17" t="s">
        <v>75</v>
      </c>
      <c r="X140" s="15" t="s">
        <v>396</v>
      </c>
      <c r="Y140" s="13" t="str">
        <f t="shared" si="149"/>
        <v>Forward Add-3654</v>
      </c>
      <c r="Z140" s="15" t="s">
        <v>401</v>
      </c>
      <c r="AA140" s="133" t="str">
        <f>'Run Parameters'!$B$2</f>
        <v>2019-04-26 08:00</v>
      </c>
      <c r="AB140" s="213" t="str">
        <f>'Run Parameters'!B$3</f>
        <v>2019-04-26 18:00</v>
      </c>
      <c r="AC140" s="26">
        <f>('Run Parameters'!$B$2) - 7</f>
        <v>43574.333333333336</v>
      </c>
      <c r="AD140" s="17" t="s">
        <v>75</v>
      </c>
      <c r="AE140" s="18" t="str">
        <f t="shared" si="150"/>
        <v>LAST_METER-3654</v>
      </c>
      <c r="AF140" s="133" t="str">
        <f>'Run Parameters'!$B$2</f>
        <v>2019-04-26 08:00</v>
      </c>
      <c r="AG140" s="13" t="str">
        <f>'Run Parameters'!B$4</f>
        <v>AUTOTEST2</v>
      </c>
      <c r="AH140" s="53" t="str">
        <f t="shared" si="151"/>
        <v>Site_Contact_3654</v>
      </c>
      <c r="AI140" s="133" t="str">
        <f>'Run Parameters'!B$2</f>
        <v>2019-04-26 08:00</v>
      </c>
      <c r="AJ140" s="213" t="str">
        <f>'Run Parameters'!B$3</f>
        <v>2019-04-26 18:00</v>
      </c>
      <c r="AK140" s="13" t="s">
        <v>396</v>
      </c>
      <c r="AL140" s="53" t="str">
        <f t="shared" si="152"/>
        <v>011593654</v>
      </c>
      <c r="AM140" s="13" t="str">
        <f t="shared" si="153"/>
        <v>01153654</v>
      </c>
      <c r="AN140" s="15"/>
      <c r="AO140" s="51"/>
      <c r="AP140" s="13">
        <v>1</v>
      </c>
      <c r="AQ140" s="52" t="s">
        <v>49</v>
      </c>
      <c r="AR140" s="15"/>
      <c r="AS140" s="13"/>
      <c r="AT140" s="7" t="s">
        <v>400</v>
      </c>
      <c r="AU140" s="7"/>
      <c r="AV140" s="13">
        <f t="shared" si="154"/>
        <v>3654</v>
      </c>
      <c r="AW140" s="13" t="s">
        <v>767</v>
      </c>
      <c r="AX140" s="13" t="s">
        <v>420</v>
      </c>
      <c r="AY140" s="13" t="s">
        <v>421</v>
      </c>
      <c r="AZ140" s="15" t="s">
        <v>334</v>
      </c>
      <c r="BA140" s="14" t="s">
        <v>154</v>
      </c>
      <c r="BB140" s="21">
        <v>1</v>
      </c>
      <c r="BC140" s="20">
        <f t="shared" si="155"/>
        <v>3654</v>
      </c>
      <c r="BD140" s="16" t="s">
        <v>768</v>
      </c>
      <c r="BE140" s="16" t="s">
        <v>391</v>
      </c>
      <c r="BF140" s="16" t="s">
        <v>390</v>
      </c>
      <c r="BG140" s="20" t="s">
        <v>766</v>
      </c>
      <c r="BH140" s="20" t="str">
        <f t="shared" si="156"/>
        <v>3654_1</v>
      </c>
      <c r="BI140" s="21"/>
      <c r="BJ140" s="21" t="str">
        <f t="shared" si="157"/>
        <v>100000003654</v>
      </c>
      <c r="BK140" s="16" t="s">
        <v>51</v>
      </c>
      <c r="BL140" s="16" t="s">
        <v>54</v>
      </c>
      <c r="BM140" s="20" t="s">
        <v>769</v>
      </c>
      <c r="BN140" s="16" t="s">
        <v>51</v>
      </c>
      <c r="BO140" s="20" t="str">
        <f t="shared" si="158"/>
        <v>S05S3654</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GAS_ENQ_NO-3654</v>
      </c>
      <c r="CK140" s="7" t="s">
        <v>165</v>
      </c>
      <c r="CL140" s="7" t="s">
        <v>391</v>
      </c>
      <c r="CM140" s="7" t="s">
        <v>390</v>
      </c>
      <c r="CN140" s="6" t="s">
        <v>278</v>
      </c>
      <c r="CO140" s="6" t="str">
        <f t="shared" si="179"/>
        <v>GAS_JOB_ID-3654</v>
      </c>
      <c r="CP140" s="7"/>
      <c r="CQ140" s="6" t="str">
        <f t="shared" si="180"/>
        <v>100003654</v>
      </c>
      <c r="CR140" s="6" t="s">
        <v>154</v>
      </c>
      <c r="CS140" s="7" t="s">
        <v>51</v>
      </c>
      <c r="CT140" s="27" t="str">
        <f t="shared" si="181"/>
        <v>GMETER3654</v>
      </c>
      <c r="CU140" s="6" t="s">
        <v>161</v>
      </c>
      <c r="CV140" s="7" t="s">
        <v>165</v>
      </c>
      <c r="CW140" s="7" t="s">
        <v>772</v>
      </c>
      <c r="CX140" s="7"/>
      <c r="CY140" s="7"/>
      <c r="CZ140" s="7" t="s">
        <v>394</v>
      </c>
      <c r="DA140" s="7" t="s">
        <v>395</v>
      </c>
      <c r="DB140" s="6" t="str">
        <f t="shared" si="163"/>
        <v>GAS_INST_ID-3654</v>
      </c>
      <c r="DC140" s="7" t="s">
        <v>161</v>
      </c>
      <c r="DD140" s="7"/>
      <c r="DE140" s="7" t="s">
        <v>51</v>
      </c>
      <c r="DF140" s="7" t="s">
        <v>264</v>
      </c>
      <c r="DG140" s="7"/>
      <c r="DH140" s="7" t="s">
        <v>397</v>
      </c>
      <c r="DI140" s="7" t="s">
        <v>399</v>
      </c>
      <c r="DJ140" s="10" t="s">
        <v>267</v>
      </c>
      <c r="DK140" s="7" t="s">
        <v>140</v>
      </c>
      <c r="DL140" s="40"/>
      <c r="DM140" s="40"/>
      <c r="DN140" s="38" t="str">
        <f t="shared" si="164"/>
        <v>DS_Pass-3654</v>
      </c>
      <c r="DO140" s="40"/>
      <c r="DP140" s="40"/>
      <c r="DQ140" s="40"/>
      <c r="DR140" s="41"/>
      <c r="DS140" s="41"/>
      <c r="DT140" s="40"/>
      <c r="DU140" s="40"/>
      <c r="DV140" s="40"/>
      <c r="DW140" s="41"/>
      <c r="DX140" s="40"/>
      <c r="DY140" s="40"/>
      <c r="DZ140" s="37" t="s">
        <v>770</v>
      </c>
      <c r="EA140" s="39"/>
      <c r="EB140" s="37"/>
      <c r="EC140" s="37"/>
      <c r="ED140" s="16"/>
      <c r="EE140" s="1"/>
      <c r="EF140" s="54"/>
    </row>
    <row r="141" spans="1:136" x14ac:dyDescent="0.2">
      <c r="A141" s="209" t="s">
        <v>890</v>
      </c>
      <c r="B141" s="209" t="s">
        <v>868</v>
      </c>
      <c r="C141" s="209" t="s">
        <v>865</v>
      </c>
      <c r="D141" s="13">
        <f>'Run Parameters'!$B$1 + ROW()-1</f>
        <v>3655</v>
      </c>
      <c r="E141" s="15" t="s">
        <v>47</v>
      </c>
      <c r="F141" s="18" t="s">
        <v>766</v>
      </c>
      <c r="G141" s="13" t="str">
        <f t="shared" si="142"/>
        <v>Access Dtls-3655</v>
      </c>
      <c r="H141" s="15" t="s">
        <v>275</v>
      </c>
      <c r="I141" s="13" t="str">
        <f>("MR. Test_132_EXCH3_"&amp;D141&amp;"")</f>
        <v>MR. Test_132_EXCH3_3655</v>
      </c>
      <c r="J141" s="18"/>
      <c r="K141" s="19" t="s">
        <v>425</v>
      </c>
      <c r="L141" s="13" t="str">
        <f t="shared" si="143"/>
        <v>Cust. Ref-3655</v>
      </c>
      <c r="M141" s="15" t="s">
        <v>48</v>
      </c>
      <c r="N141" s="15" t="s">
        <v>425</v>
      </c>
      <c r="O141" s="13"/>
      <c r="P141" s="13" t="str">
        <f t="shared" si="144"/>
        <v>SN-3655</v>
      </c>
      <c r="Q141" s="13" t="str">
        <f t="shared" si="145"/>
        <v>SI-3655</v>
      </c>
      <c r="R141" s="13" t="str">
        <f t="shared" si="146"/>
        <v>SE-3655</v>
      </c>
      <c r="S141" s="53" t="str">
        <f t="shared" si="147"/>
        <v>Prev_RA-3655</v>
      </c>
      <c r="T141" s="53" t="str">
        <f t="shared" si="148"/>
        <v>Prev_Comms-3655</v>
      </c>
      <c r="U141" s="17" t="s">
        <v>75</v>
      </c>
      <c r="V141" s="15" t="s">
        <v>401</v>
      </c>
      <c r="W141" s="17" t="s">
        <v>75</v>
      </c>
      <c r="X141" s="15" t="s">
        <v>396</v>
      </c>
      <c r="Y141" s="13" t="str">
        <f t="shared" si="149"/>
        <v>Forward Add-3655</v>
      </c>
      <c r="Z141" s="15" t="s">
        <v>401</v>
      </c>
      <c r="AA141" s="133" t="str">
        <f>'Run Parameters'!$B$2</f>
        <v>2019-04-26 08:00</v>
      </c>
      <c r="AB141" s="213" t="str">
        <f>'Run Parameters'!B$3</f>
        <v>2019-04-26 18:00</v>
      </c>
      <c r="AC141" s="26">
        <f>('Run Parameters'!$B$2) - 7</f>
        <v>43574.333333333336</v>
      </c>
      <c r="AD141" s="17" t="s">
        <v>75</v>
      </c>
      <c r="AE141" s="18" t="str">
        <f t="shared" si="150"/>
        <v>LAST_METER-3655</v>
      </c>
      <c r="AF141" s="133" t="str">
        <f>'Run Parameters'!$B$2</f>
        <v>2019-04-26 08:00</v>
      </c>
      <c r="AG141" s="13" t="str">
        <f>'Run Parameters'!B$4</f>
        <v>AUTOTEST2</v>
      </c>
      <c r="AH141" s="53" t="str">
        <f t="shared" si="151"/>
        <v>Site_Contact_3655</v>
      </c>
      <c r="AI141" s="133" t="str">
        <f>'Run Parameters'!B$2</f>
        <v>2019-04-26 08:00</v>
      </c>
      <c r="AJ141" s="213" t="str">
        <f>'Run Parameters'!B$3</f>
        <v>2019-04-26 18:00</v>
      </c>
      <c r="AK141" s="13" t="s">
        <v>396</v>
      </c>
      <c r="AL141" s="53" t="str">
        <f t="shared" si="152"/>
        <v>011593655</v>
      </c>
      <c r="AM141" s="13" t="str">
        <f t="shared" si="153"/>
        <v>01153655</v>
      </c>
      <c r="AN141" s="15"/>
      <c r="AO141" s="51"/>
      <c r="AP141" s="13">
        <v>1</v>
      </c>
      <c r="AQ141" s="52" t="s">
        <v>49</v>
      </c>
      <c r="AR141" s="15"/>
      <c r="AS141" s="13"/>
      <c r="AT141" s="7" t="s">
        <v>400</v>
      </c>
      <c r="AU141" s="7"/>
      <c r="AV141" s="13">
        <f t="shared" si="154"/>
        <v>3655</v>
      </c>
      <c r="AW141" s="13" t="s">
        <v>767</v>
      </c>
      <c r="AX141" s="13" t="s">
        <v>420</v>
      </c>
      <c r="AY141" s="13" t="s">
        <v>421</v>
      </c>
      <c r="AZ141" s="15" t="s">
        <v>334</v>
      </c>
      <c r="BA141" s="14" t="s">
        <v>154</v>
      </c>
      <c r="BB141" s="21">
        <v>1</v>
      </c>
      <c r="BC141" s="20">
        <f t="shared" si="155"/>
        <v>3655</v>
      </c>
      <c r="BD141" s="16" t="s">
        <v>768</v>
      </c>
      <c r="BE141" s="16" t="s">
        <v>391</v>
      </c>
      <c r="BF141" s="16" t="s">
        <v>390</v>
      </c>
      <c r="BG141" s="20" t="s">
        <v>766</v>
      </c>
      <c r="BH141" s="20" t="str">
        <f t="shared" si="156"/>
        <v>3655_1</v>
      </c>
      <c r="BI141" s="21"/>
      <c r="BJ141" s="21" t="str">
        <f t="shared" si="157"/>
        <v>100000003655</v>
      </c>
      <c r="BK141" s="16" t="s">
        <v>51</v>
      </c>
      <c r="BL141" s="16" t="s">
        <v>54</v>
      </c>
      <c r="BM141" s="20" t="s">
        <v>769</v>
      </c>
      <c r="BN141" s="16" t="s">
        <v>51</v>
      </c>
      <c r="BO141" s="20" t="str">
        <f t="shared" si="158"/>
        <v>S05S3655</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GAS_ENQ_NO-3655</v>
      </c>
      <c r="CK141" s="7" t="s">
        <v>165</v>
      </c>
      <c r="CL141" s="7" t="s">
        <v>391</v>
      </c>
      <c r="CM141" s="7" t="s">
        <v>390</v>
      </c>
      <c r="CN141" s="6" t="s">
        <v>278</v>
      </c>
      <c r="CO141" s="6" t="str">
        <f t="shared" si="179"/>
        <v>GAS_JOB_ID-3655</v>
      </c>
      <c r="CP141" s="7"/>
      <c r="CQ141" s="6" t="str">
        <f t="shared" si="180"/>
        <v>100003655</v>
      </c>
      <c r="CR141" s="6" t="s">
        <v>154</v>
      </c>
      <c r="CS141" s="7" t="s">
        <v>51</v>
      </c>
      <c r="CT141" s="27" t="str">
        <f t="shared" si="181"/>
        <v>GMETER3655</v>
      </c>
      <c r="CU141" s="6" t="s">
        <v>161</v>
      </c>
      <c r="CV141" s="7" t="s">
        <v>165</v>
      </c>
      <c r="CW141" s="7" t="s">
        <v>772</v>
      </c>
      <c r="CX141" s="7"/>
      <c r="CY141" s="7"/>
      <c r="CZ141" s="7" t="s">
        <v>394</v>
      </c>
      <c r="DA141" s="7" t="s">
        <v>395</v>
      </c>
      <c r="DB141" s="6" t="str">
        <f t="shared" si="163"/>
        <v>GAS_INST_ID-3655</v>
      </c>
      <c r="DC141" s="7" t="s">
        <v>161</v>
      </c>
      <c r="DD141" s="7"/>
      <c r="DE141" s="7" t="s">
        <v>51</v>
      </c>
      <c r="DF141" s="7" t="s">
        <v>264</v>
      </c>
      <c r="DG141" s="7"/>
      <c r="DH141" s="7" t="s">
        <v>397</v>
      </c>
      <c r="DI141" s="7" t="s">
        <v>399</v>
      </c>
      <c r="DJ141" s="10" t="s">
        <v>267</v>
      </c>
      <c r="DK141" s="7" t="s">
        <v>140</v>
      </c>
      <c r="DL141" s="40"/>
      <c r="DM141" s="40"/>
      <c r="DN141" s="38" t="str">
        <f t="shared" si="164"/>
        <v>DS_Pass-3655</v>
      </c>
      <c r="DO141" s="40"/>
      <c r="DP141" s="40"/>
      <c r="DQ141" s="40"/>
      <c r="DR141" s="41"/>
      <c r="DS141" s="41"/>
      <c r="DT141" s="40"/>
      <c r="DU141" s="40"/>
      <c r="DV141" s="40"/>
      <c r="DW141" s="41"/>
      <c r="DX141" s="40"/>
      <c r="DY141" s="40"/>
      <c r="DZ141" s="37" t="s">
        <v>770</v>
      </c>
      <c r="EA141" s="39"/>
      <c r="EB141" s="37"/>
      <c r="EC141" s="37"/>
      <c r="ED141" s="16"/>
      <c r="EE141" s="1"/>
      <c r="EF141" s="54"/>
    </row>
    <row r="142" spans="1:136" x14ac:dyDescent="0.2">
      <c r="A142" s="209" t="s">
        <v>1084</v>
      </c>
      <c r="B142" s="209" t="s">
        <v>892</v>
      </c>
      <c r="C142" s="209" t="s">
        <v>865</v>
      </c>
      <c r="D142" s="13">
        <f>'Run Parameters'!$B$1 + ROW()-1</f>
        <v>3656</v>
      </c>
      <c r="E142" s="15" t="s">
        <v>47</v>
      </c>
      <c r="F142" s="18" t="s">
        <v>766</v>
      </c>
      <c r="G142" s="13" t="str">
        <f t="shared" si="142"/>
        <v>Access Dtls-3656</v>
      </c>
      <c r="H142" s="15" t="s">
        <v>275</v>
      </c>
      <c r="I142" s="13" t="str">
        <f>("MR. Test_133_EXCH3_"&amp;D142&amp;"")</f>
        <v>MR. Test_133_EXCH3_3656</v>
      </c>
      <c r="J142" s="18"/>
      <c r="K142" s="19" t="s">
        <v>425</v>
      </c>
      <c r="L142" s="13" t="str">
        <f t="shared" si="143"/>
        <v>Cust. Ref-3656</v>
      </c>
      <c r="M142" s="15" t="s">
        <v>48</v>
      </c>
      <c r="N142" s="15" t="s">
        <v>425</v>
      </c>
      <c r="O142" s="13"/>
      <c r="P142" s="13" t="str">
        <f t="shared" si="144"/>
        <v>SN-3656</v>
      </c>
      <c r="Q142" s="13" t="str">
        <f t="shared" si="145"/>
        <v>SI-3656</v>
      </c>
      <c r="R142" s="13" t="str">
        <f t="shared" si="146"/>
        <v>SE-3656</v>
      </c>
      <c r="S142" s="53" t="str">
        <f t="shared" si="147"/>
        <v>Prev_RA-3656</v>
      </c>
      <c r="T142" s="53" t="str">
        <f t="shared" si="148"/>
        <v>Prev_Comms-3656</v>
      </c>
      <c r="U142" s="17" t="s">
        <v>75</v>
      </c>
      <c r="V142" s="15" t="s">
        <v>401</v>
      </c>
      <c r="W142" s="17" t="s">
        <v>75</v>
      </c>
      <c r="X142" s="15" t="s">
        <v>396</v>
      </c>
      <c r="Y142" s="13" t="str">
        <f t="shared" si="149"/>
        <v>Forward Add-3656</v>
      </c>
      <c r="Z142" s="15" t="s">
        <v>401</v>
      </c>
      <c r="AA142" s="133" t="str">
        <f>'Run Parameters'!$B$2</f>
        <v>2019-04-26 08:00</v>
      </c>
      <c r="AB142" s="213" t="str">
        <f>'Run Parameters'!B$3</f>
        <v>2019-04-26 18:00</v>
      </c>
      <c r="AC142" s="26">
        <f>('Run Parameters'!$B$2) - 7</f>
        <v>43574.333333333336</v>
      </c>
      <c r="AD142" s="17" t="s">
        <v>75</v>
      </c>
      <c r="AE142" s="18" t="str">
        <f t="shared" si="150"/>
        <v>LAST_METER-3656</v>
      </c>
      <c r="AF142" s="133" t="str">
        <f>'Run Parameters'!$B$2</f>
        <v>2019-04-26 08:00</v>
      </c>
      <c r="AG142" s="13" t="str">
        <f>'Run Parameters'!B$4</f>
        <v>AUTOTEST2</v>
      </c>
      <c r="AH142" s="53" t="str">
        <f t="shared" si="151"/>
        <v>Site_Contact_3656</v>
      </c>
      <c r="AI142" s="133" t="str">
        <f>'Run Parameters'!B$2</f>
        <v>2019-04-26 08:00</v>
      </c>
      <c r="AJ142" s="213" t="str">
        <f>'Run Parameters'!B$3</f>
        <v>2019-04-26 18:00</v>
      </c>
      <c r="AK142" s="13" t="s">
        <v>396</v>
      </c>
      <c r="AL142" s="53" t="str">
        <f t="shared" si="152"/>
        <v>011593656</v>
      </c>
      <c r="AM142" s="13" t="str">
        <f t="shared" si="153"/>
        <v>01153656</v>
      </c>
      <c r="AN142" s="15"/>
      <c r="AO142" s="51"/>
      <c r="AP142" s="13">
        <v>1</v>
      </c>
      <c r="AQ142" s="52" t="s">
        <v>49</v>
      </c>
      <c r="AR142" s="15"/>
      <c r="AS142" s="13"/>
      <c r="AT142" s="7" t="s">
        <v>400</v>
      </c>
      <c r="AU142" s="7"/>
      <c r="AV142" s="13">
        <f t="shared" si="154"/>
        <v>3656</v>
      </c>
      <c r="AW142" s="13" t="s">
        <v>767</v>
      </c>
      <c r="AX142" s="13" t="s">
        <v>420</v>
      </c>
      <c r="AY142" s="13" t="s">
        <v>421</v>
      </c>
      <c r="AZ142" s="15" t="s">
        <v>334</v>
      </c>
      <c r="BA142" s="14" t="s">
        <v>154</v>
      </c>
      <c r="BB142" s="21">
        <v>1</v>
      </c>
      <c r="BC142" s="20">
        <f t="shared" si="155"/>
        <v>3656</v>
      </c>
      <c r="BD142" s="16" t="s">
        <v>768</v>
      </c>
      <c r="BE142" s="16" t="s">
        <v>391</v>
      </c>
      <c r="BF142" s="16" t="s">
        <v>390</v>
      </c>
      <c r="BG142" s="20" t="s">
        <v>766</v>
      </c>
      <c r="BH142" s="20" t="str">
        <f t="shared" si="156"/>
        <v>3656_1</v>
      </c>
      <c r="BI142" s="21"/>
      <c r="BJ142" s="21" t="str">
        <f t="shared" si="157"/>
        <v>100000003656</v>
      </c>
      <c r="BK142" s="16" t="s">
        <v>51</v>
      </c>
      <c r="BL142" s="16" t="s">
        <v>54</v>
      </c>
      <c r="BM142" s="20" t="s">
        <v>769</v>
      </c>
      <c r="BN142" s="16" t="s">
        <v>51</v>
      </c>
      <c r="BO142" s="20" t="str">
        <f t="shared" si="158"/>
        <v>S05S3656</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GAS_ENQ_NO-3656</v>
      </c>
      <c r="CK142" s="7" t="s">
        <v>165</v>
      </c>
      <c r="CL142" s="7" t="s">
        <v>391</v>
      </c>
      <c r="CM142" s="7" t="s">
        <v>390</v>
      </c>
      <c r="CN142" s="6" t="s">
        <v>278</v>
      </c>
      <c r="CO142" s="6" t="str">
        <f t="shared" si="179"/>
        <v>GAS_JOB_ID-3656</v>
      </c>
      <c r="CP142" s="7"/>
      <c r="CQ142" s="6" t="str">
        <f t="shared" si="180"/>
        <v>100003656</v>
      </c>
      <c r="CR142" s="6" t="s">
        <v>154</v>
      </c>
      <c r="CS142" s="7" t="s">
        <v>51</v>
      </c>
      <c r="CT142" s="27" t="str">
        <f t="shared" si="181"/>
        <v>GMETER3656</v>
      </c>
      <c r="CU142" s="6" t="s">
        <v>161</v>
      </c>
      <c r="CV142" s="7" t="s">
        <v>165</v>
      </c>
      <c r="CW142" s="7" t="s">
        <v>772</v>
      </c>
      <c r="CX142" s="7"/>
      <c r="CY142" s="7"/>
      <c r="CZ142" s="7" t="s">
        <v>394</v>
      </c>
      <c r="DA142" s="7" t="s">
        <v>395</v>
      </c>
      <c r="DB142" s="6" t="str">
        <f t="shared" si="163"/>
        <v>GAS_INST_ID-3656</v>
      </c>
      <c r="DC142" s="7" t="s">
        <v>161</v>
      </c>
      <c r="DD142" s="7"/>
      <c r="DE142" s="7" t="s">
        <v>51</v>
      </c>
      <c r="DF142" s="7" t="s">
        <v>264</v>
      </c>
      <c r="DG142" s="7"/>
      <c r="DH142" s="7" t="s">
        <v>397</v>
      </c>
      <c r="DI142" s="7" t="s">
        <v>399</v>
      </c>
      <c r="DJ142" s="10" t="s">
        <v>267</v>
      </c>
      <c r="DK142" s="7" t="s">
        <v>140</v>
      </c>
      <c r="DL142" s="40"/>
      <c r="DM142" s="40"/>
      <c r="DN142" s="38" t="str">
        <f t="shared" si="164"/>
        <v>DS_Pass-3656</v>
      </c>
      <c r="DO142" s="40"/>
      <c r="DP142" s="40"/>
      <c r="DQ142" s="40"/>
      <c r="DR142" s="41"/>
      <c r="DS142" s="41"/>
      <c r="DT142" s="40"/>
      <c r="DU142" s="40"/>
      <c r="DV142" s="40"/>
      <c r="DW142" s="41"/>
      <c r="DX142" s="40"/>
      <c r="DY142" s="40"/>
      <c r="DZ142" s="37" t="s">
        <v>770</v>
      </c>
      <c r="EA142" s="39"/>
      <c r="EB142" s="37"/>
      <c r="EC142" s="37"/>
      <c r="ED142" s="16"/>
      <c r="EE142" s="1"/>
      <c r="EF142" s="54"/>
    </row>
    <row r="143" spans="1:136" x14ac:dyDescent="0.2">
      <c r="A143" s="209" t="s">
        <v>891</v>
      </c>
      <c r="B143" s="209" t="s">
        <v>868</v>
      </c>
      <c r="C143" s="209" t="s">
        <v>865</v>
      </c>
      <c r="D143" s="13">
        <f>'Run Parameters'!$B$1 + ROW()-1</f>
        <v>3657</v>
      </c>
      <c r="E143" s="15" t="s">
        <v>47</v>
      </c>
      <c r="F143" s="18" t="s">
        <v>766</v>
      </c>
      <c r="G143" s="13" t="str">
        <f t="shared" si="142"/>
        <v>Access Dtls-3657</v>
      </c>
      <c r="H143" s="15" t="s">
        <v>275</v>
      </c>
      <c r="I143" s="13" t="str">
        <f>("MR. Test_134_EXCH3_"&amp;D143&amp;"")</f>
        <v>MR. Test_134_EXCH3_3657</v>
      </c>
      <c r="J143" s="18"/>
      <c r="K143" s="19" t="s">
        <v>425</v>
      </c>
      <c r="L143" s="13" t="str">
        <f t="shared" si="143"/>
        <v>Cust. Ref-3657</v>
      </c>
      <c r="M143" s="15" t="s">
        <v>48</v>
      </c>
      <c r="N143" s="15" t="s">
        <v>425</v>
      </c>
      <c r="O143" s="13"/>
      <c r="P143" s="13" t="str">
        <f t="shared" si="144"/>
        <v>SN-3657</v>
      </c>
      <c r="Q143" s="13" t="str">
        <f t="shared" si="145"/>
        <v>SI-3657</v>
      </c>
      <c r="R143" s="13" t="str">
        <f t="shared" si="146"/>
        <v>SE-3657</v>
      </c>
      <c r="S143" s="53" t="str">
        <f t="shared" si="147"/>
        <v>Prev_RA-3657</v>
      </c>
      <c r="T143" s="53" t="str">
        <f t="shared" si="148"/>
        <v>Prev_Comms-3657</v>
      </c>
      <c r="U143" s="17" t="s">
        <v>75</v>
      </c>
      <c r="V143" s="15" t="s">
        <v>401</v>
      </c>
      <c r="W143" s="17" t="s">
        <v>75</v>
      </c>
      <c r="X143" s="15" t="s">
        <v>396</v>
      </c>
      <c r="Y143" s="13" t="str">
        <f t="shared" si="149"/>
        <v>Forward Add-3657</v>
      </c>
      <c r="Z143" s="15" t="s">
        <v>401</v>
      </c>
      <c r="AA143" s="133" t="str">
        <f>'Run Parameters'!$B$2</f>
        <v>2019-04-26 08:00</v>
      </c>
      <c r="AB143" s="213" t="str">
        <f>'Run Parameters'!B$3</f>
        <v>2019-04-26 18:00</v>
      </c>
      <c r="AC143" s="26">
        <f>('Run Parameters'!$B$2) - 7</f>
        <v>43574.333333333336</v>
      </c>
      <c r="AD143" s="17" t="s">
        <v>75</v>
      </c>
      <c r="AE143" s="18" t="str">
        <f t="shared" si="150"/>
        <v>LAST_METER-3657</v>
      </c>
      <c r="AF143" s="133" t="str">
        <f>'Run Parameters'!$B$2</f>
        <v>2019-04-26 08:00</v>
      </c>
      <c r="AG143" s="13" t="str">
        <f>'Run Parameters'!B$4</f>
        <v>AUTOTEST2</v>
      </c>
      <c r="AH143" s="53" t="str">
        <f t="shared" si="151"/>
        <v>Site_Contact_3657</v>
      </c>
      <c r="AI143" s="133" t="str">
        <f>'Run Parameters'!B$2</f>
        <v>2019-04-26 08:00</v>
      </c>
      <c r="AJ143" s="213" t="str">
        <f>'Run Parameters'!B$3</f>
        <v>2019-04-26 18:00</v>
      </c>
      <c r="AK143" s="13" t="s">
        <v>396</v>
      </c>
      <c r="AL143" s="53" t="str">
        <f t="shared" si="152"/>
        <v>011593657</v>
      </c>
      <c r="AM143" s="13" t="str">
        <f t="shared" si="153"/>
        <v>01153657</v>
      </c>
      <c r="AN143" s="15"/>
      <c r="AO143" s="51"/>
      <c r="AP143" s="13">
        <v>1</v>
      </c>
      <c r="AQ143" s="52" t="s">
        <v>49</v>
      </c>
      <c r="AR143" s="15"/>
      <c r="AS143" s="13"/>
      <c r="AT143" s="7" t="s">
        <v>400</v>
      </c>
      <c r="AU143" s="7"/>
      <c r="AV143" s="13">
        <f t="shared" si="154"/>
        <v>3657</v>
      </c>
      <c r="AW143" s="13" t="s">
        <v>767</v>
      </c>
      <c r="AX143" s="13" t="s">
        <v>420</v>
      </c>
      <c r="AY143" s="13" t="s">
        <v>421</v>
      </c>
      <c r="AZ143" s="15" t="s">
        <v>334</v>
      </c>
      <c r="BA143" s="14" t="s">
        <v>154</v>
      </c>
      <c r="BB143" s="21">
        <v>1</v>
      </c>
      <c r="BC143" s="20">
        <f t="shared" si="155"/>
        <v>3657</v>
      </c>
      <c r="BD143" s="16" t="s">
        <v>768</v>
      </c>
      <c r="BE143" s="16" t="s">
        <v>391</v>
      </c>
      <c r="BF143" s="16" t="s">
        <v>390</v>
      </c>
      <c r="BG143" s="20" t="s">
        <v>766</v>
      </c>
      <c r="BH143" s="20" t="str">
        <f t="shared" si="156"/>
        <v>3657_1</v>
      </c>
      <c r="BI143" s="21"/>
      <c r="BJ143" s="21" t="str">
        <f t="shared" si="157"/>
        <v>100000003657</v>
      </c>
      <c r="BK143" s="16" t="s">
        <v>51</v>
      </c>
      <c r="BL143" s="16" t="s">
        <v>54</v>
      </c>
      <c r="BM143" s="20" t="s">
        <v>769</v>
      </c>
      <c r="BN143" s="16" t="s">
        <v>51</v>
      </c>
      <c r="BO143" s="20" t="str">
        <f t="shared" si="158"/>
        <v>S05S3657</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GAS_ENQ_NO-3657</v>
      </c>
      <c r="CK143" s="7" t="s">
        <v>165</v>
      </c>
      <c r="CL143" s="7" t="s">
        <v>391</v>
      </c>
      <c r="CM143" s="7" t="s">
        <v>390</v>
      </c>
      <c r="CN143" s="6" t="s">
        <v>278</v>
      </c>
      <c r="CO143" s="6" t="str">
        <f t="shared" si="179"/>
        <v>GAS_JOB_ID-3657</v>
      </c>
      <c r="CP143" s="7"/>
      <c r="CQ143" s="6" t="str">
        <f t="shared" si="180"/>
        <v>100003657</v>
      </c>
      <c r="CR143" s="6" t="s">
        <v>154</v>
      </c>
      <c r="CS143" s="7" t="s">
        <v>51</v>
      </c>
      <c r="CT143" s="27" t="str">
        <f t="shared" si="181"/>
        <v>GMETER3657</v>
      </c>
      <c r="CU143" s="6" t="s">
        <v>161</v>
      </c>
      <c r="CV143" s="7" t="s">
        <v>165</v>
      </c>
      <c r="CW143" s="7" t="s">
        <v>772</v>
      </c>
      <c r="CX143" s="7"/>
      <c r="CY143" s="7"/>
      <c r="CZ143" s="7" t="s">
        <v>394</v>
      </c>
      <c r="DA143" s="7" t="s">
        <v>395</v>
      </c>
      <c r="DB143" s="6" t="str">
        <f t="shared" si="163"/>
        <v>GAS_INST_ID-3657</v>
      </c>
      <c r="DC143" s="7" t="s">
        <v>161</v>
      </c>
      <c r="DD143" s="7"/>
      <c r="DE143" s="7" t="s">
        <v>51</v>
      </c>
      <c r="DF143" s="7" t="s">
        <v>264</v>
      </c>
      <c r="DG143" s="7"/>
      <c r="DH143" s="7" t="s">
        <v>397</v>
      </c>
      <c r="DI143" s="7" t="s">
        <v>399</v>
      </c>
      <c r="DJ143" s="10" t="s">
        <v>267</v>
      </c>
      <c r="DK143" s="7" t="s">
        <v>140</v>
      </c>
      <c r="DL143" s="40"/>
      <c r="DM143" s="40"/>
      <c r="DN143" s="38" t="str">
        <f t="shared" si="164"/>
        <v>DS_Pass-3657</v>
      </c>
      <c r="DO143" s="40"/>
      <c r="DP143" s="40"/>
      <c r="DQ143" s="40"/>
      <c r="DR143" s="41"/>
      <c r="DS143" s="41"/>
      <c r="DT143" s="40"/>
      <c r="DU143" s="40"/>
      <c r="DV143" s="40"/>
      <c r="DW143" s="41"/>
      <c r="DX143" s="40"/>
      <c r="DY143" s="40"/>
      <c r="DZ143" s="37" t="s">
        <v>770</v>
      </c>
      <c r="EA143" s="39"/>
      <c r="EB143" s="37"/>
      <c r="EC143" s="37"/>
      <c r="ED143" s="16"/>
      <c r="EE143" s="1"/>
      <c r="EF143" s="54"/>
    </row>
    <row r="144" spans="1:136" x14ac:dyDescent="0.2">
      <c r="A144" s="209" t="s">
        <v>1076</v>
      </c>
      <c r="B144" s="209" t="s">
        <v>892</v>
      </c>
      <c r="C144" s="209" t="s">
        <v>865</v>
      </c>
      <c r="D144" s="13">
        <f>'Run Parameters'!$B$1 + ROW()-1</f>
        <v>3658</v>
      </c>
      <c r="E144" s="15" t="s">
        <v>47</v>
      </c>
      <c r="F144" s="18" t="s">
        <v>766</v>
      </c>
      <c r="G144" s="13" t="str">
        <f t="shared" si="142"/>
        <v>Access Dtls-3658</v>
      </c>
      <c r="H144" s="15" t="s">
        <v>275</v>
      </c>
      <c r="I144" s="13" t="str">
        <f>("MR. Test_135_EXCH3_"&amp;D144&amp;"")</f>
        <v>MR. Test_135_EXCH3_3658</v>
      </c>
      <c r="J144" s="18"/>
      <c r="K144" s="19" t="s">
        <v>425</v>
      </c>
      <c r="L144" s="13" t="str">
        <f t="shared" si="143"/>
        <v>Cust. Ref-3658</v>
      </c>
      <c r="M144" s="15" t="s">
        <v>48</v>
      </c>
      <c r="N144" s="15" t="s">
        <v>425</v>
      </c>
      <c r="O144" s="13"/>
      <c r="P144" s="13" t="str">
        <f t="shared" si="144"/>
        <v>SN-3658</v>
      </c>
      <c r="Q144" s="13" t="str">
        <f t="shared" si="145"/>
        <v>SI-3658</v>
      </c>
      <c r="R144" s="13" t="str">
        <f t="shared" si="146"/>
        <v>SE-3658</v>
      </c>
      <c r="S144" s="53" t="str">
        <f t="shared" si="147"/>
        <v>Prev_RA-3658</v>
      </c>
      <c r="T144" s="53" t="str">
        <f t="shared" si="148"/>
        <v>Prev_Comms-3658</v>
      </c>
      <c r="U144" s="17" t="s">
        <v>75</v>
      </c>
      <c r="V144" s="15" t="s">
        <v>401</v>
      </c>
      <c r="W144" s="17" t="s">
        <v>75</v>
      </c>
      <c r="X144" s="15" t="s">
        <v>396</v>
      </c>
      <c r="Y144" s="13" t="str">
        <f t="shared" si="149"/>
        <v>Forward Add-3658</v>
      </c>
      <c r="Z144" s="15" t="s">
        <v>401</v>
      </c>
      <c r="AA144" s="133" t="str">
        <f>'Run Parameters'!$B$2</f>
        <v>2019-04-26 08:00</v>
      </c>
      <c r="AB144" s="213" t="str">
        <f>'Run Parameters'!B$3</f>
        <v>2019-04-26 18:00</v>
      </c>
      <c r="AC144" s="26">
        <f>('Run Parameters'!$B$2) - 7</f>
        <v>43574.333333333336</v>
      </c>
      <c r="AD144" s="17" t="s">
        <v>75</v>
      </c>
      <c r="AE144" s="18" t="str">
        <f t="shared" si="150"/>
        <v>LAST_METER-3658</v>
      </c>
      <c r="AF144" s="133" t="str">
        <f>'Run Parameters'!$B$2</f>
        <v>2019-04-26 08:00</v>
      </c>
      <c r="AG144" s="13" t="str">
        <f>'Run Parameters'!B$4</f>
        <v>AUTOTEST2</v>
      </c>
      <c r="AH144" s="53" t="str">
        <f t="shared" si="151"/>
        <v>Site_Contact_3658</v>
      </c>
      <c r="AI144" s="133" t="str">
        <f>'Run Parameters'!B$2</f>
        <v>2019-04-26 08:00</v>
      </c>
      <c r="AJ144" s="213" t="str">
        <f>'Run Parameters'!B$3</f>
        <v>2019-04-26 18:00</v>
      </c>
      <c r="AK144" s="13" t="s">
        <v>396</v>
      </c>
      <c r="AL144" s="53" t="str">
        <f t="shared" si="152"/>
        <v>011593658</v>
      </c>
      <c r="AM144" s="13" t="str">
        <f t="shared" si="153"/>
        <v>01153658</v>
      </c>
      <c r="AN144" s="15"/>
      <c r="AO144" s="51"/>
      <c r="AP144" s="13">
        <v>1</v>
      </c>
      <c r="AQ144" s="52" t="s">
        <v>49</v>
      </c>
      <c r="AR144" s="15"/>
      <c r="AS144" s="13"/>
      <c r="AT144" s="7" t="s">
        <v>400</v>
      </c>
      <c r="AU144" s="7"/>
      <c r="AV144" s="13">
        <f t="shared" si="154"/>
        <v>3658</v>
      </c>
      <c r="AW144" s="13" t="s">
        <v>767</v>
      </c>
      <c r="AX144" s="13" t="s">
        <v>420</v>
      </c>
      <c r="AY144" s="13" t="s">
        <v>421</v>
      </c>
      <c r="AZ144" s="15" t="s">
        <v>334</v>
      </c>
      <c r="BA144" s="14" t="s">
        <v>154</v>
      </c>
      <c r="BB144" s="21">
        <v>1</v>
      </c>
      <c r="BC144" s="20">
        <f t="shared" si="155"/>
        <v>3658</v>
      </c>
      <c r="BD144" s="16" t="s">
        <v>768</v>
      </c>
      <c r="BE144" s="16" t="s">
        <v>391</v>
      </c>
      <c r="BF144" s="16" t="s">
        <v>390</v>
      </c>
      <c r="BG144" s="20" t="s">
        <v>766</v>
      </c>
      <c r="BH144" s="20" t="str">
        <f t="shared" si="156"/>
        <v>3658_1</v>
      </c>
      <c r="BI144" s="21"/>
      <c r="BJ144" s="21" t="str">
        <f t="shared" si="157"/>
        <v>100000003658</v>
      </c>
      <c r="BK144" s="16" t="s">
        <v>51</v>
      </c>
      <c r="BL144" s="16" t="s">
        <v>54</v>
      </c>
      <c r="BM144" s="20" t="s">
        <v>769</v>
      </c>
      <c r="BN144" s="16" t="s">
        <v>51</v>
      </c>
      <c r="BO144" s="20" t="str">
        <f t="shared" si="158"/>
        <v>S05S3658</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GAS_ENQ_NO-3658</v>
      </c>
      <c r="CK144" s="7" t="s">
        <v>165</v>
      </c>
      <c r="CL144" s="7" t="s">
        <v>391</v>
      </c>
      <c r="CM144" s="7" t="s">
        <v>390</v>
      </c>
      <c r="CN144" s="6" t="s">
        <v>278</v>
      </c>
      <c r="CO144" s="6" t="str">
        <f t="shared" si="179"/>
        <v>GAS_JOB_ID-3658</v>
      </c>
      <c r="CP144" s="7"/>
      <c r="CQ144" s="6" t="str">
        <f t="shared" si="180"/>
        <v>100003658</v>
      </c>
      <c r="CR144" s="6" t="s">
        <v>154</v>
      </c>
      <c r="CS144" s="7" t="s">
        <v>51</v>
      </c>
      <c r="CT144" s="27" t="str">
        <f t="shared" si="181"/>
        <v>GMETER3658</v>
      </c>
      <c r="CU144" s="6" t="s">
        <v>161</v>
      </c>
      <c r="CV144" s="7" t="s">
        <v>165</v>
      </c>
      <c r="CW144" s="7" t="s">
        <v>772</v>
      </c>
      <c r="CX144" s="7"/>
      <c r="CY144" s="7"/>
      <c r="CZ144" s="7" t="s">
        <v>394</v>
      </c>
      <c r="DA144" s="7" t="s">
        <v>395</v>
      </c>
      <c r="DB144" s="6" t="str">
        <f t="shared" si="163"/>
        <v>GAS_INST_ID-3658</v>
      </c>
      <c r="DC144" s="7" t="s">
        <v>161</v>
      </c>
      <c r="DD144" s="7"/>
      <c r="DE144" s="7" t="s">
        <v>51</v>
      </c>
      <c r="DF144" s="7" t="s">
        <v>264</v>
      </c>
      <c r="DG144" s="7"/>
      <c r="DH144" s="7" t="s">
        <v>397</v>
      </c>
      <c r="DI144" s="7" t="s">
        <v>399</v>
      </c>
      <c r="DJ144" s="10" t="s">
        <v>267</v>
      </c>
      <c r="DK144" s="7" t="s">
        <v>140</v>
      </c>
      <c r="DL144" s="40"/>
      <c r="DM144" s="40"/>
      <c r="DN144" s="38" t="str">
        <f t="shared" si="164"/>
        <v>DS_Pass-3658</v>
      </c>
      <c r="DO144" s="40"/>
      <c r="DP144" s="40"/>
      <c r="DQ144" s="40"/>
      <c r="DR144" s="41"/>
      <c r="DS144" s="41"/>
      <c r="DT144" s="40"/>
      <c r="DU144" s="40"/>
      <c r="DV144" s="40"/>
      <c r="DW144" s="41"/>
      <c r="DX144" s="40"/>
      <c r="DY144" s="40"/>
      <c r="DZ144" s="37" t="s">
        <v>770</v>
      </c>
      <c r="EA144" s="39"/>
      <c r="EB144" s="37"/>
      <c r="EC144" s="37"/>
      <c r="ED144" s="16"/>
      <c r="EE144" s="1"/>
      <c r="EF144" s="54"/>
    </row>
    <row r="145" spans="1:136" x14ac:dyDescent="0.2">
      <c r="A145" s="209" t="s">
        <v>1077</v>
      </c>
      <c r="B145" s="209" t="s">
        <v>868</v>
      </c>
      <c r="C145" s="209" t="s">
        <v>865</v>
      </c>
      <c r="D145" s="13">
        <f>'Run Parameters'!$B$1 + ROW()-1</f>
        <v>3659</v>
      </c>
      <c r="E145" s="15" t="s">
        <v>47</v>
      </c>
      <c r="F145" s="18" t="s">
        <v>766</v>
      </c>
      <c r="G145" s="13" t="str">
        <f t="shared" si="142"/>
        <v>Access Dtls-3659</v>
      </c>
      <c r="H145" s="15" t="s">
        <v>275</v>
      </c>
      <c r="I145" s="13" t="str">
        <f>("MR. Test_136_EXCH3_"&amp;D145&amp;"")</f>
        <v>MR. Test_136_EXCH3_3659</v>
      </c>
      <c r="J145" s="18"/>
      <c r="K145" s="19" t="s">
        <v>425</v>
      </c>
      <c r="L145" s="13" t="str">
        <f t="shared" si="143"/>
        <v>Cust. Ref-3659</v>
      </c>
      <c r="M145" s="15" t="s">
        <v>48</v>
      </c>
      <c r="N145" s="15" t="s">
        <v>425</v>
      </c>
      <c r="O145" s="13"/>
      <c r="P145" s="13" t="str">
        <f t="shared" si="144"/>
        <v>SN-3659</v>
      </c>
      <c r="Q145" s="13" t="str">
        <f t="shared" si="145"/>
        <v>SI-3659</v>
      </c>
      <c r="R145" s="13" t="str">
        <f t="shared" si="146"/>
        <v>SE-3659</v>
      </c>
      <c r="S145" s="53" t="str">
        <f t="shared" si="147"/>
        <v>Prev_RA-3659</v>
      </c>
      <c r="T145" s="53" t="str">
        <f t="shared" si="148"/>
        <v>Prev_Comms-3659</v>
      </c>
      <c r="U145" s="17" t="s">
        <v>75</v>
      </c>
      <c r="V145" s="15" t="s">
        <v>401</v>
      </c>
      <c r="W145" s="17" t="s">
        <v>75</v>
      </c>
      <c r="X145" s="15" t="s">
        <v>396</v>
      </c>
      <c r="Y145" s="13" t="str">
        <f t="shared" si="149"/>
        <v>Forward Add-3659</v>
      </c>
      <c r="Z145" s="15" t="s">
        <v>401</v>
      </c>
      <c r="AA145" s="133" t="str">
        <f>'Run Parameters'!$B$2</f>
        <v>2019-04-26 08:00</v>
      </c>
      <c r="AB145" s="213" t="str">
        <f>'Run Parameters'!B$3</f>
        <v>2019-04-26 18:00</v>
      </c>
      <c r="AC145" s="26">
        <f>('Run Parameters'!$B$2) - 7</f>
        <v>43574.333333333336</v>
      </c>
      <c r="AD145" s="17" t="s">
        <v>75</v>
      </c>
      <c r="AE145" s="18" t="str">
        <f t="shared" si="150"/>
        <v>LAST_METER-3659</v>
      </c>
      <c r="AF145" s="133" t="str">
        <f>'Run Parameters'!$B$2</f>
        <v>2019-04-26 08:00</v>
      </c>
      <c r="AG145" s="13" t="str">
        <f>'Run Parameters'!B$4</f>
        <v>AUTOTEST2</v>
      </c>
      <c r="AH145" s="53" t="str">
        <f t="shared" si="151"/>
        <v>Site_Contact_3659</v>
      </c>
      <c r="AI145" s="133" t="str">
        <f>'Run Parameters'!B$2</f>
        <v>2019-04-26 08:00</v>
      </c>
      <c r="AJ145" s="213" t="str">
        <f>'Run Parameters'!B$3</f>
        <v>2019-04-26 18:00</v>
      </c>
      <c r="AK145" s="13" t="s">
        <v>396</v>
      </c>
      <c r="AL145" s="53" t="str">
        <f t="shared" si="152"/>
        <v>011593659</v>
      </c>
      <c r="AM145" s="13" t="str">
        <f t="shared" si="153"/>
        <v>01153659</v>
      </c>
      <c r="AN145" s="15"/>
      <c r="AO145" s="51"/>
      <c r="AP145" s="13">
        <v>1</v>
      </c>
      <c r="AQ145" s="52" t="s">
        <v>49</v>
      </c>
      <c r="AR145" s="15"/>
      <c r="AS145" s="13"/>
      <c r="AT145" s="7" t="s">
        <v>400</v>
      </c>
      <c r="AU145" s="7"/>
      <c r="AV145" s="13">
        <f t="shared" si="154"/>
        <v>3659</v>
      </c>
      <c r="AW145" s="13" t="s">
        <v>767</v>
      </c>
      <c r="AX145" s="13" t="s">
        <v>420</v>
      </c>
      <c r="AY145" s="13" t="s">
        <v>421</v>
      </c>
      <c r="AZ145" s="15" t="s">
        <v>334</v>
      </c>
      <c r="BA145" s="14" t="s">
        <v>154</v>
      </c>
      <c r="BB145" s="21">
        <v>1</v>
      </c>
      <c r="BC145" s="20">
        <f t="shared" si="155"/>
        <v>3659</v>
      </c>
      <c r="BD145" s="16" t="s">
        <v>768</v>
      </c>
      <c r="BE145" s="16" t="s">
        <v>391</v>
      </c>
      <c r="BF145" s="16" t="s">
        <v>390</v>
      </c>
      <c r="BG145" s="20" t="s">
        <v>766</v>
      </c>
      <c r="BH145" s="20" t="str">
        <f t="shared" si="156"/>
        <v>3659_1</v>
      </c>
      <c r="BI145" s="21"/>
      <c r="BJ145" s="21" t="str">
        <f t="shared" si="157"/>
        <v>100000003659</v>
      </c>
      <c r="BK145" s="16" t="s">
        <v>51</v>
      </c>
      <c r="BL145" s="16" t="s">
        <v>54</v>
      </c>
      <c r="BM145" s="20" t="s">
        <v>769</v>
      </c>
      <c r="BN145" s="16" t="s">
        <v>51</v>
      </c>
      <c r="BO145" s="20" t="str">
        <f t="shared" si="158"/>
        <v>S05S3659</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GAS_ENQ_NO-3659</v>
      </c>
      <c r="CK145" s="7" t="s">
        <v>165</v>
      </c>
      <c r="CL145" s="7" t="s">
        <v>391</v>
      </c>
      <c r="CM145" s="7" t="s">
        <v>390</v>
      </c>
      <c r="CN145" s="6" t="s">
        <v>278</v>
      </c>
      <c r="CO145" s="6" t="str">
        <f t="shared" si="179"/>
        <v>GAS_JOB_ID-3659</v>
      </c>
      <c r="CP145" s="7"/>
      <c r="CQ145" s="6" t="str">
        <f t="shared" si="180"/>
        <v>100003659</v>
      </c>
      <c r="CR145" s="6" t="s">
        <v>154</v>
      </c>
      <c r="CS145" s="7" t="s">
        <v>51</v>
      </c>
      <c r="CT145" s="27" t="str">
        <f t="shared" si="181"/>
        <v>GMETER3659</v>
      </c>
      <c r="CU145" s="6" t="s">
        <v>161</v>
      </c>
      <c r="CV145" s="7" t="s">
        <v>165</v>
      </c>
      <c r="CW145" s="7" t="s">
        <v>772</v>
      </c>
      <c r="CX145" s="7"/>
      <c r="CY145" s="7"/>
      <c r="CZ145" s="7" t="s">
        <v>394</v>
      </c>
      <c r="DA145" s="7" t="s">
        <v>395</v>
      </c>
      <c r="DB145" s="6" t="str">
        <f t="shared" si="163"/>
        <v>GAS_INST_ID-3659</v>
      </c>
      <c r="DC145" s="7" t="s">
        <v>161</v>
      </c>
      <c r="DD145" s="7"/>
      <c r="DE145" s="7" t="s">
        <v>51</v>
      </c>
      <c r="DF145" s="7" t="s">
        <v>264</v>
      </c>
      <c r="DG145" s="7"/>
      <c r="DH145" s="7" t="s">
        <v>397</v>
      </c>
      <c r="DI145" s="7" t="s">
        <v>399</v>
      </c>
      <c r="DJ145" s="10" t="s">
        <v>267</v>
      </c>
      <c r="DK145" s="7" t="s">
        <v>140</v>
      </c>
      <c r="DL145" s="40"/>
      <c r="DM145" s="40"/>
      <c r="DN145" s="38" t="str">
        <f t="shared" si="164"/>
        <v>DS_Pass-3659</v>
      </c>
      <c r="DO145" s="40"/>
      <c r="DP145" s="40"/>
      <c r="DQ145" s="40"/>
      <c r="DR145" s="41"/>
      <c r="DS145" s="41"/>
      <c r="DT145" s="40"/>
      <c r="DU145" s="40"/>
      <c r="DV145" s="40"/>
      <c r="DW145" s="41"/>
      <c r="DX145" s="40"/>
      <c r="DY145" s="40"/>
      <c r="DZ145" s="37" t="s">
        <v>770</v>
      </c>
      <c r="EA145" s="39"/>
      <c r="EB145" s="37"/>
      <c r="EC145" s="37"/>
      <c r="ED145" s="16"/>
      <c r="EE145" s="1"/>
      <c r="EF145" s="54"/>
    </row>
    <row r="146" spans="1:136" x14ac:dyDescent="0.2">
      <c r="A146" s="209" t="s">
        <v>1068</v>
      </c>
      <c r="B146" s="209" t="s">
        <v>892</v>
      </c>
      <c r="C146" s="209" t="s">
        <v>865</v>
      </c>
      <c r="D146" s="13">
        <f>'Run Parameters'!$B$1 + ROW()-1</f>
        <v>3660</v>
      </c>
      <c r="E146" s="15" t="s">
        <v>47</v>
      </c>
      <c r="F146" s="18" t="s">
        <v>766</v>
      </c>
      <c r="G146" s="13" t="str">
        <f t="shared" si="142"/>
        <v>Access Dtls-3660</v>
      </c>
      <c r="H146" s="15" t="s">
        <v>275</v>
      </c>
      <c r="I146" s="13" t="str">
        <f>("MR. Test_137_EXCH3_"&amp;D146&amp;"")</f>
        <v>MR. Test_137_EXCH3_3660</v>
      </c>
      <c r="J146" s="18"/>
      <c r="K146" s="19" t="s">
        <v>425</v>
      </c>
      <c r="L146" s="13" t="str">
        <f t="shared" si="143"/>
        <v>Cust. Ref-3660</v>
      </c>
      <c r="M146" s="15" t="s">
        <v>48</v>
      </c>
      <c r="N146" s="15" t="s">
        <v>425</v>
      </c>
      <c r="O146" s="13"/>
      <c r="P146" s="13" t="str">
        <f t="shared" si="144"/>
        <v>SN-3660</v>
      </c>
      <c r="Q146" s="13" t="str">
        <f>("SI-" &amp; D146)</f>
        <v>SI-3660</v>
      </c>
      <c r="R146" s="13" t="str">
        <f>("SE-" &amp; D146)</f>
        <v>SE-3660</v>
      </c>
      <c r="S146" s="53" t="str">
        <f>("Prev_RA-" &amp; D146)</f>
        <v>Prev_RA-3660</v>
      </c>
      <c r="T146" s="53" t="str">
        <f>("Prev_Comms-" &amp; D146)</f>
        <v>Prev_Comms-3660</v>
      </c>
      <c r="U146" s="17" t="s">
        <v>75</v>
      </c>
      <c r="V146" s="15" t="s">
        <v>401</v>
      </c>
      <c r="W146" s="17" t="s">
        <v>75</v>
      </c>
      <c r="X146" s="15" t="s">
        <v>396</v>
      </c>
      <c r="Y146" s="13" t="str">
        <f>("Forward Add-" &amp; D146)</f>
        <v>Forward Add-3660</v>
      </c>
      <c r="Z146" s="15" t="s">
        <v>401</v>
      </c>
      <c r="AA146" s="133" t="str">
        <f>'Run Parameters'!$B$2</f>
        <v>2019-04-26 08:00</v>
      </c>
      <c r="AB146" s="213" t="str">
        <f>'Run Parameters'!B$3</f>
        <v>2019-04-26 18:00</v>
      </c>
      <c r="AC146" s="26">
        <f>('Run Parameters'!$B$2) - 7</f>
        <v>43574.333333333336</v>
      </c>
      <c r="AD146" s="17" t="s">
        <v>75</v>
      </c>
      <c r="AE146" s="18" t="str">
        <f>("LAST_METER-" &amp; D146)</f>
        <v>LAST_METER-3660</v>
      </c>
      <c r="AF146" s="133" t="str">
        <f>'Run Parameters'!$B$2</f>
        <v>2019-04-26 08:00</v>
      </c>
      <c r="AG146" s="13" t="str">
        <f>'Run Parameters'!B$4</f>
        <v>AUTOTEST2</v>
      </c>
      <c r="AH146" s="53" t="str">
        <f>("Site_Contact_" &amp; D146)</f>
        <v>Site_Contact_3660</v>
      </c>
      <c r="AI146" s="133" t="str">
        <f>'Run Parameters'!B$2</f>
        <v>2019-04-26 08:00</v>
      </c>
      <c r="AJ146" s="213" t="str">
        <f>'Run Parameters'!B$3</f>
        <v>2019-04-26 18:00</v>
      </c>
      <c r="AK146" s="13" t="s">
        <v>396</v>
      </c>
      <c r="AL146" s="53" t="str">
        <f>"01159" &amp; D146</f>
        <v>011593660</v>
      </c>
      <c r="AM146" s="13" t="str">
        <f>("0115" &amp; D146)</f>
        <v>01153660</v>
      </c>
      <c r="AN146" s="15"/>
      <c r="AO146" s="51"/>
      <c r="AP146" s="13">
        <v>1</v>
      </c>
      <c r="AQ146" s="52" t="s">
        <v>49</v>
      </c>
      <c r="AR146" s="15"/>
      <c r="AS146" s="13"/>
      <c r="AT146" s="7" t="s">
        <v>400</v>
      </c>
      <c r="AU146" s="7"/>
      <c r="AV146" s="13">
        <f>D146</f>
        <v>3660</v>
      </c>
      <c r="AW146" s="13" t="s">
        <v>1072</v>
      </c>
      <c r="AX146" s="13" t="s">
        <v>420</v>
      </c>
      <c r="AY146" s="13" t="s">
        <v>421</v>
      </c>
      <c r="AZ146" s="15" t="s">
        <v>334</v>
      </c>
      <c r="BA146" s="14" t="s">
        <v>154</v>
      </c>
      <c r="BB146" s="21">
        <v>1</v>
      </c>
      <c r="BC146" s="20">
        <f t="shared" si="155"/>
        <v>3660</v>
      </c>
      <c r="BD146" s="16" t="s">
        <v>768</v>
      </c>
      <c r="BE146" s="16" t="s">
        <v>391</v>
      </c>
      <c r="BF146" s="16" t="s">
        <v>391</v>
      </c>
      <c r="BG146" s="20" t="s">
        <v>766</v>
      </c>
      <c r="BH146" s="20" t="str">
        <f>BC146&amp;"_"&amp;BB146</f>
        <v>3660_1</v>
      </c>
      <c r="BI146" s="21"/>
      <c r="BJ146" s="21" t="str">
        <f>"10000000" &amp; D146</f>
        <v>100000003660</v>
      </c>
      <c r="BK146" s="16" t="s">
        <v>51</v>
      </c>
      <c r="BL146" s="16" t="s">
        <v>54</v>
      </c>
      <c r="BM146" s="20" t="s">
        <v>769</v>
      </c>
      <c r="BN146" s="16" t="s">
        <v>51</v>
      </c>
      <c r="BO146" s="20" t="str">
        <f>"S05S" &amp; D146</f>
        <v>S05S3660</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GAS_ENQ_NO-3660</v>
      </c>
      <c r="CK146" s="7" t="s">
        <v>165</v>
      </c>
      <c r="CL146" s="7" t="s">
        <v>391</v>
      </c>
      <c r="CM146" s="7" t="s">
        <v>391</v>
      </c>
      <c r="CN146" s="6" t="s">
        <v>278</v>
      </c>
      <c r="CO146" s="6" t="str">
        <f>("GAS_JOB_ID-" &amp; D146)</f>
        <v>GAS_JOB_ID-3660</v>
      </c>
      <c r="CP146" s="7"/>
      <c r="CQ146" s="6" t="str">
        <f>"10000" &amp; D146</f>
        <v>100003660</v>
      </c>
      <c r="CR146" s="6" t="s">
        <v>154</v>
      </c>
      <c r="CS146" s="7" t="s">
        <v>51</v>
      </c>
      <c r="CT146" s="27" t="str">
        <f>"GMETER" &amp; D146</f>
        <v>GMETER3660</v>
      </c>
      <c r="CU146" s="6" t="s">
        <v>161</v>
      </c>
      <c r="CV146" s="7" t="s">
        <v>165</v>
      </c>
      <c r="CW146" s="7" t="s">
        <v>772</v>
      </c>
      <c r="CX146" s="7"/>
      <c r="CY146" s="7"/>
      <c r="CZ146" s="7" t="s">
        <v>394</v>
      </c>
      <c r="DA146" s="7" t="s">
        <v>395</v>
      </c>
      <c r="DB146" s="6" t="str">
        <f t="shared" si="163"/>
        <v>GAS_INST_ID-3660</v>
      </c>
      <c r="DC146" s="7" t="s">
        <v>161</v>
      </c>
      <c r="DD146" s="7"/>
      <c r="DE146" s="7" t="s">
        <v>51</v>
      </c>
      <c r="DF146" s="7" t="s">
        <v>264</v>
      </c>
      <c r="DG146" s="7"/>
      <c r="DH146" s="7" t="s">
        <v>397</v>
      </c>
      <c r="DI146" s="7" t="s">
        <v>399</v>
      </c>
      <c r="DJ146" s="10" t="s">
        <v>267</v>
      </c>
      <c r="DK146" s="7" t="s">
        <v>140</v>
      </c>
      <c r="DL146" s="40"/>
      <c r="DM146" s="40"/>
      <c r="DN146" s="38" t="str">
        <f t="shared" si="164"/>
        <v>DS_Pass-3660</v>
      </c>
      <c r="DO146" s="40"/>
      <c r="DP146" s="40"/>
      <c r="DQ146" s="40"/>
      <c r="DR146" s="41"/>
      <c r="DS146" s="41"/>
      <c r="DT146" s="40"/>
      <c r="DU146" s="40"/>
      <c r="DV146" s="40"/>
      <c r="DW146" s="41"/>
      <c r="DX146" s="40"/>
      <c r="DY146" s="40"/>
      <c r="DZ146" s="37" t="s">
        <v>770</v>
      </c>
      <c r="EA146" s="39"/>
      <c r="EB146" s="37"/>
      <c r="EC146" s="37"/>
      <c r="ED146" s="16"/>
      <c r="EE146" s="1"/>
      <c r="EF146" s="54"/>
    </row>
    <row r="147" spans="1:136" x14ac:dyDescent="0.2">
      <c r="A147" s="209" t="s">
        <v>1070</v>
      </c>
      <c r="B147" s="209" t="s">
        <v>868</v>
      </c>
      <c r="C147" s="209" t="s">
        <v>865</v>
      </c>
      <c r="D147" s="13">
        <f>'Run Parameters'!$B$1 + ROW()-1</f>
        <v>3661</v>
      </c>
      <c r="E147" s="15" t="s">
        <v>47</v>
      </c>
      <c r="F147" s="18" t="s">
        <v>766</v>
      </c>
      <c r="G147" s="13" t="str">
        <f t="shared" si="142"/>
        <v>Access Dtls-3661</v>
      </c>
      <c r="H147" s="15" t="s">
        <v>275</v>
      </c>
      <c r="I147" s="13" t="str">
        <f>("MR. Test_138_EXCH3_"&amp;D147&amp;"")</f>
        <v>MR. Test_138_EXCH3_3661</v>
      </c>
      <c r="J147" s="18"/>
      <c r="K147" s="19" t="s">
        <v>425</v>
      </c>
      <c r="L147" s="13" t="str">
        <f t="shared" si="143"/>
        <v>Cust. Ref-3661</v>
      </c>
      <c r="M147" s="15" t="s">
        <v>48</v>
      </c>
      <c r="N147" s="15" t="s">
        <v>425</v>
      </c>
      <c r="O147" s="13"/>
      <c r="P147" s="13" t="str">
        <f t="shared" si="144"/>
        <v>SN-3661</v>
      </c>
      <c r="Q147" s="13" t="str">
        <f>("SI-" &amp; D147)</f>
        <v>SI-3661</v>
      </c>
      <c r="R147" s="13" t="str">
        <f>("SE-" &amp; D147)</f>
        <v>SE-3661</v>
      </c>
      <c r="S147" s="53" t="str">
        <f>("Prev_RA-" &amp; D147)</f>
        <v>Prev_RA-3661</v>
      </c>
      <c r="T147" s="53" t="str">
        <f>("Prev_Comms-" &amp; D147)</f>
        <v>Prev_Comms-3661</v>
      </c>
      <c r="U147" s="17" t="s">
        <v>75</v>
      </c>
      <c r="V147" s="15" t="s">
        <v>401</v>
      </c>
      <c r="W147" s="17" t="s">
        <v>75</v>
      </c>
      <c r="X147" s="15" t="s">
        <v>396</v>
      </c>
      <c r="Y147" s="13" t="str">
        <f>("Forward Add-" &amp; D147)</f>
        <v>Forward Add-3661</v>
      </c>
      <c r="Z147" s="15" t="s">
        <v>401</v>
      </c>
      <c r="AA147" s="133" t="str">
        <f>'Run Parameters'!$B$2</f>
        <v>2019-04-26 08:00</v>
      </c>
      <c r="AB147" s="213" t="str">
        <f>'Run Parameters'!B$3</f>
        <v>2019-04-26 18:00</v>
      </c>
      <c r="AC147" s="26">
        <f>('Run Parameters'!$B$2) - 7</f>
        <v>43574.333333333336</v>
      </c>
      <c r="AD147" s="17" t="s">
        <v>75</v>
      </c>
      <c r="AE147" s="18" t="str">
        <f>("LAST_METER-" &amp; D147)</f>
        <v>LAST_METER-3661</v>
      </c>
      <c r="AF147" s="133" t="str">
        <f>'Run Parameters'!$B$2</f>
        <v>2019-04-26 08:00</v>
      </c>
      <c r="AG147" s="13" t="str">
        <f>'Run Parameters'!B$4</f>
        <v>AUTOTEST2</v>
      </c>
      <c r="AH147" s="53" t="str">
        <f>("Site_Contact_" &amp; D147)</f>
        <v>Site_Contact_3661</v>
      </c>
      <c r="AI147" s="133" t="str">
        <f>'Run Parameters'!B$2</f>
        <v>2019-04-26 08:00</v>
      </c>
      <c r="AJ147" s="213" t="str">
        <f>'Run Parameters'!B$3</f>
        <v>2019-04-26 18:00</v>
      </c>
      <c r="AK147" s="13" t="s">
        <v>396</v>
      </c>
      <c r="AL147" s="53" t="str">
        <f>"01159" &amp; D147</f>
        <v>011593661</v>
      </c>
      <c r="AM147" s="13" t="str">
        <f>("0115" &amp; D147)</f>
        <v>01153661</v>
      </c>
      <c r="AN147" s="15"/>
      <c r="AO147" s="51"/>
      <c r="AP147" s="13">
        <v>1</v>
      </c>
      <c r="AQ147" s="52" t="s">
        <v>49</v>
      </c>
      <c r="AR147" s="15"/>
      <c r="AS147" s="13"/>
      <c r="AT147" s="7" t="s">
        <v>400</v>
      </c>
      <c r="AU147" s="7"/>
      <c r="AV147" s="13">
        <f>D147</f>
        <v>3661</v>
      </c>
      <c r="AW147" s="13" t="s">
        <v>1072</v>
      </c>
      <c r="AX147" s="13" t="s">
        <v>420</v>
      </c>
      <c r="AY147" s="13" t="s">
        <v>421</v>
      </c>
      <c r="AZ147" s="15" t="s">
        <v>334</v>
      </c>
      <c r="BA147" s="14" t="s">
        <v>154</v>
      </c>
      <c r="BB147" s="21">
        <v>1</v>
      </c>
      <c r="BC147" s="20">
        <f t="shared" si="155"/>
        <v>3661</v>
      </c>
      <c r="BD147" s="16" t="s">
        <v>768</v>
      </c>
      <c r="BE147" s="16" t="s">
        <v>391</v>
      </c>
      <c r="BF147" s="16" t="s">
        <v>391</v>
      </c>
      <c r="BG147" s="20" t="s">
        <v>766</v>
      </c>
      <c r="BH147" s="20" t="str">
        <f>BC147&amp;"_"&amp;BB147</f>
        <v>3661_1</v>
      </c>
      <c r="BI147" s="21"/>
      <c r="BJ147" s="21" t="str">
        <f>"10000000" &amp; D147</f>
        <v>100000003661</v>
      </c>
      <c r="BK147" s="16" t="s">
        <v>51</v>
      </c>
      <c r="BL147" s="16" t="s">
        <v>54</v>
      </c>
      <c r="BM147" s="20" t="s">
        <v>769</v>
      </c>
      <c r="BN147" s="16" t="s">
        <v>51</v>
      </c>
      <c r="BO147" s="20" t="str">
        <f>"S05S" &amp; D147</f>
        <v>S05S3661</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GAS_ENQ_NO-3661</v>
      </c>
      <c r="CK147" s="7" t="s">
        <v>165</v>
      </c>
      <c r="CL147" s="7" t="s">
        <v>391</v>
      </c>
      <c r="CM147" s="7" t="s">
        <v>391</v>
      </c>
      <c r="CN147" s="6" t="s">
        <v>278</v>
      </c>
      <c r="CO147" s="6" t="str">
        <f>("GAS_JOB_ID-" &amp; D147)</f>
        <v>GAS_JOB_ID-3661</v>
      </c>
      <c r="CP147" s="7"/>
      <c r="CQ147" s="6" t="str">
        <f>"10000" &amp; D147</f>
        <v>100003661</v>
      </c>
      <c r="CR147" s="6" t="s">
        <v>154</v>
      </c>
      <c r="CS147" s="7" t="s">
        <v>51</v>
      </c>
      <c r="CT147" s="27" t="str">
        <f>"GMETER" &amp; D147</f>
        <v>GMETER3661</v>
      </c>
      <c r="CU147" s="6" t="s">
        <v>161</v>
      </c>
      <c r="CV147" s="7" t="s">
        <v>165</v>
      </c>
      <c r="CW147" s="7" t="s">
        <v>772</v>
      </c>
      <c r="CX147" s="7"/>
      <c r="CY147" s="7"/>
      <c r="CZ147" s="7" t="s">
        <v>394</v>
      </c>
      <c r="DA147" s="7" t="s">
        <v>395</v>
      </c>
      <c r="DB147" s="6" t="str">
        <f t="shared" si="163"/>
        <v>GAS_INST_ID-3661</v>
      </c>
      <c r="DC147" s="7" t="s">
        <v>161</v>
      </c>
      <c r="DD147" s="7"/>
      <c r="DE147" s="7" t="s">
        <v>51</v>
      </c>
      <c r="DF147" s="7" t="s">
        <v>264</v>
      </c>
      <c r="DG147" s="7"/>
      <c r="DH147" s="7" t="s">
        <v>397</v>
      </c>
      <c r="DI147" s="7" t="s">
        <v>399</v>
      </c>
      <c r="DJ147" s="10" t="s">
        <v>267</v>
      </c>
      <c r="DK147" s="7" t="s">
        <v>140</v>
      </c>
      <c r="DL147" s="40"/>
      <c r="DM147" s="40"/>
      <c r="DN147" s="38" t="str">
        <f t="shared" si="164"/>
        <v>DS_Pass-3661</v>
      </c>
      <c r="DO147" s="40"/>
      <c r="DP147" s="40"/>
      <c r="DQ147" s="40"/>
      <c r="DR147" s="41"/>
      <c r="DS147" s="41"/>
      <c r="DT147" s="40"/>
      <c r="DU147" s="40"/>
      <c r="DV147" s="40"/>
      <c r="DW147" s="41"/>
      <c r="DX147" s="40"/>
      <c r="DY147" s="40"/>
      <c r="DZ147" s="37" t="s">
        <v>770</v>
      </c>
      <c r="EA147" s="39"/>
      <c r="EB147" s="37"/>
      <c r="EC147" s="37"/>
      <c r="ED147" s="16"/>
      <c r="EE147" s="1"/>
      <c r="EF147" s="54"/>
    </row>
    <row r="148" spans="1:136" x14ac:dyDescent="0.2">
      <c r="A148" s="209" t="s">
        <v>1069</v>
      </c>
      <c r="B148" s="209" t="s">
        <v>892</v>
      </c>
      <c r="C148" s="209" t="s">
        <v>865</v>
      </c>
      <c r="D148" s="13">
        <f>'Run Parameters'!$B$1 + ROW()-1</f>
        <v>3662</v>
      </c>
      <c r="E148" s="15" t="s">
        <v>47</v>
      </c>
      <c r="F148" s="18" t="s">
        <v>766</v>
      </c>
      <c r="G148" s="13" t="str">
        <f t="shared" si="142"/>
        <v>Access Dtls-3662</v>
      </c>
      <c r="H148" s="15" t="s">
        <v>275</v>
      </c>
      <c r="I148" s="13" t="str">
        <f>("MR. Test_139_EXCH3_"&amp;D148&amp;"")</f>
        <v>MR. Test_139_EXCH3_3662</v>
      </c>
      <c r="J148" s="18"/>
      <c r="K148" s="19" t="s">
        <v>425</v>
      </c>
      <c r="L148" s="13" t="str">
        <f t="shared" si="143"/>
        <v>Cust. Ref-3662</v>
      </c>
      <c r="M148" s="15" t="s">
        <v>48</v>
      </c>
      <c r="N148" s="15" t="s">
        <v>425</v>
      </c>
      <c r="O148" s="13"/>
      <c r="P148" s="13" t="str">
        <f t="shared" si="144"/>
        <v>SN-3662</v>
      </c>
      <c r="Q148" s="13" t="str">
        <f>("SI-" &amp; D148)</f>
        <v>SI-3662</v>
      </c>
      <c r="R148" s="13" t="str">
        <f>("SE-" &amp; D148)</f>
        <v>SE-3662</v>
      </c>
      <c r="S148" s="53" t="str">
        <f>("Prev_RA-" &amp; D148)</f>
        <v>Prev_RA-3662</v>
      </c>
      <c r="T148" s="53" t="str">
        <f>("Prev_Comms-" &amp; D148)</f>
        <v>Prev_Comms-3662</v>
      </c>
      <c r="U148" s="17" t="s">
        <v>75</v>
      </c>
      <c r="V148" s="15" t="s">
        <v>401</v>
      </c>
      <c r="W148" s="17" t="s">
        <v>75</v>
      </c>
      <c r="X148" s="15" t="s">
        <v>396</v>
      </c>
      <c r="Y148" s="13" t="str">
        <f>("Forward Add-" &amp; D148)</f>
        <v>Forward Add-3662</v>
      </c>
      <c r="Z148" s="15" t="s">
        <v>401</v>
      </c>
      <c r="AA148" s="133" t="str">
        <f>'Run Parameters'!$B$2</f>
        <v>2019-04-26 08:00</v>
      </c>
      <c r="AB148" s="213" t="str">
        <f>'Run Parameters'!B$3</f>
        <v>2019-04-26 18:00</v>
      </c>
      <c r="AC148" s="26">
        <f>('Run Parameters'!$B$2) - 7</f>
        <v>43574.333333333336</v>
      </c>
      <c r="AD148" s="17" t="s">
        <v>75</v>
      </c>
      <c r="AE148" s="18" t="str">
        <f>("LAST_METER-" &amp; D148)</f>
        <v>LAST_METER-3662</v>
      </c>
      <c r="AF148" s="133" t="str">
        <f>'Run Parameters'!$B$2</f>
        <v>2019-04-26 08:00</v>
      </c>
      <c r="AG148" s="13" t="str">
        <f>'Run Parameters'!B$4</f>
        <v>AUTOTEST2</v>
      </c>
      <c r="AH148" s="53" t="str">
        <f>("Site_Contact_" &amp; D148)</f>
        <v>Site_Contact_3662</v>
      </c>
      <c r="AI148" s="133" t="str">
        <f>'Run Parameters'!B$2</f>
        <v>2019-04-26 08:00</v>
      </c>
      <c r="AJ148" s="213" t="str">
        <f>'Run Parameters'!B$3</f>
        <v>2019-04-26 18:00</v>
      </c>
      <c r="AK148" s="13" t="s">
        <v>396</v>
      </c>
      <c r="AL148" s="53" t="str">
        <f>"01159" &amp; D148</f>
        <v>011593662</v>
      </c>
      <c r="AM148" s="13" t="str">
        <f>("0115" &amp; D148)</f>
        <v>01153662</v>
      </c>
      <c r="AN148" s="15"/>
      <c r="AO148" s="51"/>
      <c r="AP148" s="13">
        <v>1</v>
      </c>
      <c r="AQ148" s="52" t="s">
        <v>49</v>
      </c>
      <c r="AR148" s="15"/>
      <c r="AS148" s="13"/>
      <c r="AT148" s="7" t="s">
        <v>400</v>
      </c>
      <c r="AU148" s="7"/>
      <c r="AV148" s="13">
        <f>D148</f>
        <v>3662</v>
      </c>
      <c r="AW148" s="13" t="s">
        <v>1072</v>
      </c>
      <c r="AX148" s="13" t="s">
        <v>420</v>
      </c>
      <c r="AY148" s="13" t="s">
        <v>421</v>
      </c>
      <c r="AZ148" s="15" t="s">
        <v>334</v>
      </c>
      <c r="BA148" s="14" t="s">
        <v>154</v>
      </c>
      <c r="BB148" s="21">
        <v>1</v>
      </c>
      <c r="BC148" s="20">
        <f t="shared" si="155"/>
        <v>3662</v>
      </c>
      <c r="BD148" s="16" t="s">
        <v>768</v>
      </c>
      <c r="BE148" s="16" t="s">
        <v>391</v>
      </c>
      <c r="BF148" s="16" t="s">
        <v>391</v>
      </c>
      <c r="BG148" s="20" t="s">
        <v>766</v>
      </c>
      <c r="BH148" s="20" t="str">
        <f>BC148&amp;"_"&amp;BB148</f>
        <v>3662_1</v>
      </c>
      <c r="BI148" s="21"/>
      <c r="BJ148" s="21" t="str">
        <f>"10000000" &amp; D148</f>
        <v>100000003662</v>
      </c>
      <c r="BK148" s="16" t="s">
        <v>51</v>
      </c>
      <c r="BL148" s="16" t="s">
        <v>54</v>
      </c>
      <c r="BM148" s="20" t="s">
        <v>769</v>
      </c>
      <c r="BN148" s="16" t="s">
        <v>51</v>
      </c>
      <c r="BO148" s="20" t="str">
        <f>"S05S" &amp; D148</f>
        <v>S05S3662</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GAS_ENQ_NO-3662</v>
      </c>
      <c r="CK148" s="7" t="s">
        <v>165</v>
      </c>
      <c r="CL148" s="7" t="s">
        <v>391</v>
      </c>
      <c r="CM148" s="7" t="s">
        <v>391</v>
      </c>
      <c r="CN148" s="6" t="s">
        <v>278</v>
      </c>
      <c r="CO148" s="6" t="str">
        <f>("GAS_JOB_ID-" &amp; D148)</f>
        <v>GAS_JOB_ID-3662</v>
      </c>
      <c r="CP148" s="7"/>
      <c r="CQ148" s="6" t="str">
        <f>"10000" &amp; D148</f>
        <v>100003662</v>
      </c>
      <c r="CR148" s="6" t="s">
        <v>154</v>
      </c>
      <c r="CS148" s="7" t="s">
        <v>51</v>
      </c>
      <c r="CT148" s="27" t="str">
        <f>"GMETER" &amp; D148</f>
        <v>GMETER3662</v>
      </c>
      <c r="CU148" s="6" t="s">
        <v>161</v>
      </c>
      <c r="CV148" s="7" t="s">
        <v>165</v>
      </c>
      <c r="CW148" s="7" t="s">
        <v>772</v>
      </c>
      <c r="CX148" s="7"/>
      <c r="CY148" s="7"/>
      <c r="CZ148" s="7" t="s">
        <v>394</v>
      </c>
      <c r="DA148" s="7" t="s">
        <v>395</v>
      </c>
      <c r="DB148" s="6" t="str">
        <f t="shared" si="163"/>
        <v>GAS_INST_ID-3662</v>
      </c>
      <c r="DC148" s="7" t="s">
        <v>161</v>
      </c>
      <c r="DD148" s="7"/>
      <c r="DE148" s="7" t="s">
        <v>51</v>
      </c>
      <c r="DF148" s="7" t="s">
        <v>264</v>
      </c>
      <c r="DG148" s="7"/>
      <c r="DH148" s="7" t="s">
        <v>397</v>
      </c>
      <c r="DI148" s="7" t="s">
        <v>399</v>
      </c>
      <c r="DJ148" s="10" t="s">
        <v>267</v>
      </c>
      <c r="DK148" s="7" t="s">
        <v>140</v>
      </c>
      <c r="DL148" s="40"/>
      <c r="DM148" s="40"/>
      <c r="DN148" s="38" t="str">
        <f t="shared" si="164"/>
        <v>DS_Pass-3662</v>
      </c>
      <c r="DO148" s="40"/>
      <c r="DP148" s="40"/>
      <c r="DQ148" s="40"/>
      <c r="DR148" s="41"/>
      <c r="DS148" s="41"/>
      <c r="DT148" s="40"/>
      <c r="DU148" s="40"/>
      <c r="DV148" s="40"/>
      <c r="DW148" s="41"/>
      <c r="DX148" s="40"/>
      <c r="DY148" s="40"/>
      <c r="DZ148" s="37" t="s">
        <v>770</v>
      </c>
      <c r="EA148" s="39"/>
      <c r="EB148" s="37"/>
      <c r="EC148" s="37"/>
      <c r="ED148" s="16"/>
      <c r="EE148" s="1"/>
      <c r="EF148" s="54"/>
    </row>
    <row r="149" spans="1:136" x14ac:dyDescent="0.2">
      <c r="A149" s="209" t="s">
        <v>1071</v>
      </c>
      <c r="B149" s="209" t="s">
        <v>868</v>
      </c>
      <c r="C149" s="209" t="s">
        <v>865</v>
      </c>
      <c r="D149" s="13">
        <f>'Run Parameters'!$B$1 + ROW()-1</f>
        <v>3663</v>
      </c>
      <c r="E149" s="15" t="s">
        <v>47</v>
      </c>
      <c r="F149" s="18" t="s">
        <v>766</v>
      </c>
      <c r="G149" s="13" t="str">
        <f t="shared" si="142"/>
        <v>Access Dtls-3663</v>
      </c>
      <c r="H149" s="15" t="s">
        <v>275</v>
      </c>
      <c r="I149" s="13" t="str">
        <f>("MR. Test_140_EXCH3_"&amp;D149&amp;"")</f>
        <v>MR. Test_140_EXCH3_3663</v>
      </c>
      <c r="J149" s="18"/>
      <c r="K149" s="19" t="s">
        <v>425</v>
      </c>
      <c r="L149" s="13" t="str">
        <f t="shared" si="143"/>
        <v>Cust. Ref-3663</v>
      </c>
      <c r="M149" s="15" t="s">
        <v>48</v>
      </c>
      <c r="N149" s="15" t="s">
        <v>425</v>
      </c>
      <c r="O149" s="13"/>
      <c r="P149" s="13" t="str">
        <f t="shared" si="144"/>
        <v>SN-3663</v>
      </c>
      <c r="Q149" s="13" t="str">
        <f>("SI-" &amp; D149)</f>
        <v>SI-3663</v>
      </c>
      <c r="R149" s="13" t="str">
        <f>("SE-" &amp; D149)</f>
        <v>SE-3663</v>
      </c>
      <c r="S149" s="53" t="str">
        <f>("Prev_RA-" &amp; D149)</f>
        <v>Prev_RA-3663</v>
      </c>
      <c r="T149" s="53" t="str">
        <f>("Prev_Comms-" &amp; D149)</f>
        <v>Prev_Comms-3663</v>
      </c>
      <c r="U149" s="17" t="s">
        <v>75</v>
      </c>
      <c r="V149" s="15" t="s">
        <v>401</v>
      </c>
      <c r="W149" s="17" t="s">
        <v>75</v>
      </c>
      <c r="X149" s="15" t="s">
        <v>396</v>
      </c>
      <c r="Y149" s="13" t="str">
        <f>("Forward Add-" &amp; D149)</f>
        <v>Forward Add-3663</v>
      </c>
      <c r="Z149" s="15" t="s">
        <v>401</v>
      </c>
      <c r="AA149" s="133" t="str">
        <f>'Run Parameters'!$B$2</f>
        <v>2019-04-26 08:00</v>
      </c>
      <c r="AB149" s="213" t="str">
        <f>'Run Parameters'!B$3</f>
        <v>2019-04-26 18:00</v>
      </c>
      <c r="AC149" s="26">
        <f>('Run Parameters'!$B$2) - 7</f>
        <v>43574.333333333336</v>
      </c>
      <c r="AD149" s="17" t="s">
        <v>75</v>
      </c>
      <c r="AE149" s="18" t="str">
        <f>("LAST_METER-" &amp; D149)</f>
        <v>LAST_METER-3663</v>
      </c>
      <c r="AF149" s="133" t="str">
        <f>'Run Parameters'!$B$2</f>
        <v>2019-04-26 08:00</v>
      </c>
      <c r="AG149" s="13" t="str">
        <f>'Run Parameters'!B$4</f>
        <v>AUTOTEST2</v>
      </c>
      <c r="AH149" s="53" t="str">
        <f>("Site_Contact_" &amp; D149)</f>
        <v>Site_Contact_3663</v>
      </c>
      <c r="AI149" s="133" t="str">
        <f>'Run Parameters'!B$2</f>
        <v>2019-04-26 08:00</v>
      </c>
      <c r="AJ149" s="213" t="str">
        <f>'Run Parameters'!B$3</f>
        <v>2019-04-26 18:00</v>
      </c>
      <c r="AK149" s="13" t="s">
        <v>396</v>
      </c>
      <c r="AL149" s="53" t="str">
        <f>"01159" &amp; D149</f>
        <v>011593663</v>
      </c>
      <c r="AM149" s="13" t="str">
        <f>("0115" &amp; D149)</f>
        <v>01153663</v>
      </c>
      <c r="AN149" s="15"/>
      <c r="AO149" s="51"/>
      <c r="AP149" s="13">
        <v>1</v>
      </c>
      <c r="AQ149" s="52" t="s">
        <v>49</v>
      </c>
      <c r="AR149" s="15"/>
      <c r="AS149" s="13"/>
      <c r="AT149" s="7" t="s">
        <v>400</v>
      </c>
      <c r="AU149" s="7"/>
      <c r="AV149" s="13">
        <f>D149</f>
        <v>3663</v>
      </c>
      <c r="AW149" s="13" t="s">
        <v>1072</v>
      </c>
      <c r="AX149" s="13" t="s">
        <v>420</v>
      </c>
      <c r="AY149" s="13" t="s">
        <v>421</v>
      </c>
      <c r="AZ149" s="15" t="s">
        <v>334</v>
      </c>
      <c r="BA149" s="14" t="s">
        <v>154</v>
      </c>
      <c r="BB149" s="21">
        <v>1</v>
      </c>
      <c r="BC149" s="20">
        <f t="shared" si="155"/>
        <v>3663</v>
      </c>
      <c r="BD149" s="16" t="s">
        <v>768</v>
      </c>
      <c r="BE149" s="16" t="s">
        <v>391</v>
      </c>
      <c r="BF149" s="16" t="s">
        <v>391</v>
      </c>
      <c r="BG149" s="20" t="s">
        <v>766</v>
      </c>
      <c r="BH149" s="20" t="str">
        <f>BC149&amp;"_"&amp;BB149</f>
        <v>3663_1</v>
      </c>
      <c r="BI149" s="21"/>
      <c r="BJ149" s="21" t="str">
        <f>"10000000" &amp; D149</f>
        <v>100000003663</v>
      </c>
      <c r="BK149" s="16" t="s">
        <v>51</v>
      </c>
      <c r="BL149" s="16" t="s">
        <v>54</v>
      </c>
      <c r="BM149" s="20" t="s">
        <v>769</v>
      </c>
      <c r="BN149" s="16" t="s">
        <v>51</v>
      </c>
      <c r="BO149" s="20" t="str">
        <f>"S05S" &amp; D149</f>
        <v>S05S3663</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GAS_ENQ_NO-3663</v>
      </c>
      <c r="CK149" s="7" t="s">
        <v>165</v>
      </c>
      <c r="CL149" s="7" t="s">
        <v>391</v>
      </c>
      <c r="CM149" s="7" t="s">
        <v>391</v>
      </c>
      <c r="CN149" s="6" t="s">
        <v>278</v>
      </c>
      <c r="CO149" s="6" t="str">
        <f>("GAS_JOB_ID-" &amp; D149)</f>
        <v>GAS_JOB_ID-3663</v>
      </c>
      <c r="CP149" s="7"/>
      <c r="CQ149" s="6" t="str">
        <f>"10000" &amp; D149</f>
        <v>100003663</v>
      </c>
      <c r="CR149" s="6" t="s">
        <v>154</v>
      </c>
      <c r="CS149" s="7" t="s">
        <v>51</v>
      </c>
      <c r="CT149" s="27" t="str">
        <f>"GMETER" &amp; D149</f>
        <v>GMETER3663</v>
      </c>
      <c r="CU149" s="6" t="s">
        <v>161</v>
      </c>
      <c r="CV149" s="7" t="s">
        <v>165</v>
      </c>
      <c r="CW149" s="7" t="s">
        <v>772</v>
      </c>
      <c r="CX149" s="7"/>
      <c r="CY149" s="7"/>
      <c r="CZ149" s="7" t="s">
        <v>394</v>
      </c>
      <c r="DA149" s="7" t="s">
        <v>395</v>
      </c>
      <c r="DB149" s="6" t="str">
        <f t="shared" si="163"/>
        <v>GAS_INST_ID-3663</v>
      </c>
      <c r="DC149" s="7" t="s">
        <v>161</v>
      </c>
      <c r="DD149" s="7"/>
      <c r="DE149" s="7" t="s">
        <v>51</v>
      </c>
      <c r="DF149" s="7" t="s">
        <v>264</v>
      </c>
      <c r="DG149" s="7"/>
      <c r="DH149" s="7" t="s">
        <v>397</v>
      </c>
      <c r="DI149" s="7" t="s">
        <v>399</v>
      </c>
      <c r="DJ149" s="10" t="s">
        <v>267</v>
      </c>
      <c r="DK149" s="7" t="s">
        <v>140</v>
      </c>
      <c r="DL149" s="40"/>
      <c r="DM149" s="40"/>
      <c r="DN149" s="38" t="str">
        <f t="shared" si="164"/>
        <v>DS_Pass-3663</v>
      </c>
      <c r="DO149" s="40"/>
      <c r="DP149" s="40"/>
      <c r="DQ149" s="40"/>
      <c r="DR149" s="41"/>
      <c r="DS149" s="41"/>
      <c r="DT149" s="40"/>
      <c r="DU149" s="40"/>
      <c r="DV149" s="40"/>
      <c r="DW149" s="41"/>
      <c r="DX149" s="40"/>
      <c r="DY149" s="40"/>
      <c r="DZ149" s="37" t="s">
        <v>770</v>
      </c>
      <c r="EA149" s="39"/>
      <c r="EB149" s="37"/>
      <c r="EC149" s="37"/>
      <c r="ED149" s="16"/>
      <c r="EE149" s="1"/>
      <c r="EF149" s="54"/>
    </row>
    <row r="150" spans="1:136" x14ac:dyDescent="0.2">
      <c r="A150" s="209" t="s">
        <v>920</v>
      </c>
      <c r="B150" s="209" t="s">
        <v>892</v>
      </c>
      <c r="C150" s="209" t="s">
        <v>865</v>
      </c>
      <c r="D150" s="13">
        <f>'Run Parameters'!$B$1 + ROW()-1</f>
        <v>3664</v>
      </c>
      <c r="E150" s="15" t="s">
        <v>47</v>
      </c>
      <c r="F150" s="18" t="s">
        <v>816</v>
      </c>
      <c r="G150" s="13" t="str">
        <f t="shared" si="142"/>
        <v>Access Dtls-3664</v>
      </c>
      <c r="H150" s="15" t="s">
        <v>275</v>
      </c>
      <c r="I150" s="13" t="str">
        <f>("MR. Test_141_FLTY17_"&amp;D150&amp;"")</f>
        <v>MR. Test_141_FLTY17_3664</v>
      </c>
      <c r="J150" s="18"/>
      <c r="K150" s="19" t="s">
        <v>425</v>
      </c>
      <c r="L150" s="13" t="str">
        <f t="shared" si="143"/>
        <v>Cust. Ref-3664</v>
      </c>
      <c r="M150" s="15" t="s">
        <v>48</v>
      </c>
      <c r="N150" s="15" t="s">
        <v>425</v>
      </c>
      <c r="O150" s="13"/>
      <c r="P150" s="13" t="str">
        <f t="shared" si="144"/>
        <v>SN-3664</v>
      </c>
      <c r="Q150" s="13" t="str">
        <f t="shared" si="145"/>
        <v>SI-3664</v>
      </c>
      <c r="R150" s="13" t="str">
        <f t="shared" si="146"/>
        <v>SE-3664</v>
      </c>
      <c r="S150" s="53" t="str">
        <f t="shared" si="147"/>
        <v>Prev_RA-3664</v>
      </c>
      <c r="T150" s="53" t="str">
        <f t="shared" si="148"/>
        <v>Prev_Comms-3664</v>
      </c>
      <c r="U150" s="17" t="s">
        <v>75</v>
      </c>
      <c r="V150" s="15" t="s">
        <v>401</v>
      </c>
      <c r="W150" s="17" t="s">
        <v>75</v>
      </c>
      <c r="X150" s="15" t="s">
        <v>396</v>
      </c>
      <c r="Y150" s="13" t="str">
        <f t="shared" si="149"/>
        <v>Forward Add-3664</v>
      </c>
      <c r="Z150" s="15" t="s">
        <v>401</v>
      </c>
      <c r="AA150" s="133" t="str">
        <f>'Run Parameters'!$B$2</f>
        <v>2019-04-26 08:00</v>
      </c>
      <c r="AB150" s="213" t="str">
        <f>'Run Parameters'!B$3</f>
        <v>2019-04-26 18:00</v>
      </c>
      <c r="AC150" s="26">
        <f>('Run Parameters'!$B$2) - 7</f>
        <v>43574.333333333336</v>
      </c>
      <c r="AD150" s="17" t="s">
        <v>75</v>
      </c>
      <c r="AE150" s="18" t="str">
        <f t="shared" si="150"/>
        <v>LAST_METER-3664</v>
      </c>
      <c r="AF150" s="133" t="str">
        <f>'Run Parameters'!$B$2</f>
        <v>2019-04-26 08:00</v>
      </c>
      <c r="AG150" s="13" t="str">
        <f>'Run Parameters'!B$4</f>
        <v>AUTOTEST2</v>
      </c>
      <c r="AH150" s="53" t="str">
        <f t="shared" si="151"/>
        <v>Site_Contact_3664</v>
      </c>
      <c r="AI150" s="133" t="str">
        <f>'Run Parameters'!B$2</f>
        <v>2019-04-26 08:00</v>
      </c>
      <c r="AJ150" s="213" t="str">
        <f>'Run Parameters'!B$3</f>
        <v>2019-04-26 18:00</v>
      </c>
      <c r="AK150" s="13" t="s">
        <v>396</v>
      </c>
      <c r="AL150" s="53" t="str">
        <f t="shared" si="152"/>
        <v>011593664</v>
      </c>
      <c r="AM150" s="13" t="str">
        <f t="shared" si="153"/>
        <v>01153664</v>
      </c>
      <c r="AN150" s="15"/>
      <c r="AO150" s="51"/>
      <c r="AP150" s="13">
        <v>1</v>
      </c>
      <c r="AQ150" s="52" t="s">
        <v>49</v>
      </c>
      <c r="AR150" s="15"/>
      <c r="AS150" s="13"/>
      <c r="AT150" s="7" t="s">
        <v>774</v>
      </c>
      <c r="AU150" s="7"/>
      <c r="AV150" s="13">
        <f t="shared" si="154"/>
        <v>3664</v>
      </c>
      <c r="AW150" s="13" t="s">
        <v>775</v>
      </c>
      <c r="AX150" s="13" t="s">
        <v>420</v>
      </c>
      <c r="AY150" s="13" t="s">
        <v>421</v>
      </c>
      <c r="AZ150" s="15" t="s">
        <v>334</v>
      </c>
      <c r="BA150" s="14" t="s">
        <v>154</v>
      </c>
      <c r="BB150" s="21">
        <v>1</v>
      </c>
      <c r="BC150" s="20">
        <f t="shared" si="155"/>
        <v>3664</v>
      </c>
      <c r="BD150" s="16" t="s">
        <v>776</v>
      </c>
      <c r="BE150" s="16" t="s">
        <v>391</v>
      </c>
      <c r="BF150" s="16" t="s">
        <v>391</v>
      </c>
      <c r="BG150" s="20" t="s">
        <v>773</v>
      </c>
      <c r="BH150" s="20" t="str">
        <f t="shared" si="156"/>
        <v>3664_1</v>
      </c>
      <c r="BI150" s="21"/>
      <c r="BJ150" s="21" t="str">
        <f t="shared" si="157"/>
        <v>100000003664</v>
      </c>
      <c r="BK150" s="16" t="s">
        <v>51</v>
      </c>
      <c r="BL150" s="16" t="s">
        <v>54</v>
      </c>
      <c r="BM150" s="20" t="s">
        <v>769</v>
      </c>
      <c r="BN150" s="16" t="s">
        <v>51</v>
      </c>
      <c r="BO150" s="20" t="str">
        <f t="shared" si="158"/>
        <v>S05S3664</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GAS_ENQ_NO-3664</v>
      </c>
      <c r="CK150" s="7" t="s">
        <v>779</v>
      </c>
      <c r="CL150" s="7" t="s">
        <v>391</v>
      </c>
      <c r="CM150" s="7" t="s">
        <v>391</v>
      </c>
      <c r="CN150" s="6" t="s">
        <v>780</v>
      </c>
      <c r="CO150" s="6" t="str">
        <f t="shared" si="179"/>
        <v>GAS_JOB_ID-3664</v>
      </c>
      <c r="CP150" s="7"/>
      <c r="CQ150" s="6" t="str">
        <f t="shared" si="180"/>
        <v>100003664</v>
      </c>
      <c r="CR150" s="6" t="s">
        <v>154</v>
      </c>
      <c r="CS150" s="7" t="s">
        <v>51</v>
      </c>
      <c r="CT150" s="27" t="str">
        <f t="shared" si="181"/>
        <v>GMETER3664</v>
      </c>
      <c r="CU150" s="6" t="s">
        <v>161</v>
      </c>
      <c r="CV150" s="7" t="s">
        <v>165</v>
      </c>
      <c r="CW150" s="7" t="s">
        <v>772</v>
      </c>
      <c r="CX150" s="7"/>
      <c r="CY150" s="7"/>
      <c r="CZ150" s="7" t="s">
        <v>394</v>
      </c>
      <c r="DA150" s="7" t="s">
        <v>395</v>
      </c>
      <c r="DB150" s="6" t="str">
        <f t="shared" si="163"/>
        <v>GAS_INST_ID-3664</v>
      </c>
      <c r="DC150" s="7" t="s">
        <v>161</v>
      </c>
      <c r="DD150" s="7"/>
      <c r="DE150" s="7" t="s">
        <v>51</v>
      </c>
      <c r="DF150" s="7" t="s">
        <v>264</v>
      </c>
      <c r="DG150" s="7"/>
      <c r="DH150" s="7" t="s">
        <v>397</v>
      </c>
      <c r="DI150" s="7" t="s">
        <v>399</v>
      </c>
      <c r="DJ150" s="10" t="s">
        <v>778</v>
      </c>
      <c r="DK150" s="7" t="s">
        <v>140</v>
      </c>
      <c r="DL150" s="40"/>
      <c r="DM150" s="40"/>
      <c r="DN150" s="38" t="str">
        <f t="shared" si="164"/>
        <v>DS_Pass-3664</v>
      </c>
      <c r="DO150" s="40"/>
      <c r="DP150" s="40"/>
      <c r="DQ150" s="40"/>
      <c r="DR150" s="41"/>
      <c r="DS150" s="41"/>
      <c r="DT150" s="40"/>
      <c r="DU150" s="40"/>
      <c r="DV150" s="40"/>
      <c r="DW150" s="41"/>
      <c r="DX150" s="40"/>
      <c r="DY150" s="40"/>
      <c r="DZ150" s="37" t="s">
        <v>777</v>
      </c>
      <c r="EA150" s="39"/>
      <c r="EB150" s="37"/>
      <c r="EC150" s="37"/>
      <c r="ED150" s="16"/>
      <c r="EE150" s="1"/>
      <c r="EF150" s="54"/>
    </row>
    <row r="151" spans="1:136" x14ac:dyDescent="0.2">
      <c r="A151" s="209" t="s">
        <v>921</v>
      </c>
      <c r="B151" s="209" t="s">
        <v>868</v>
      </c>
      <c r="C151" s="209" t="s">
        <v>865</v>
      </c>
      <c r="D151" s="13">
        <f>'Run Parameters'!$B$1 + ROW()-1</f>
        <v>3665</v>
      </c>
      <c r="E151" s="15" t="s">
        <v>47</v>
      </c>
      <c r="F151" s="18" t="s">
        <v>816</v>
      </c>
      <c r="G151" s="13" t="str">
        <f t="shared" ref="G151:G173" si="182">("Access Dtls-" &amp; D151)</f>
        <v>Access Dtls-3665</v>
      </c>
      <c r="H151" s="15" t="s">
        <v>275</v>
      </c>
      <c r="I151" s="13" t="str">
        <f>("MR. Test_142_FLTY17_"&amp;D151&amp;"")</f>
        <v>MR. Test_142_FLTY17_3665</v>
      </c>
      <c r="J151" s="18"/>
      <c r="K151" s="19" t="s">
        <v>425</v>
      </c>
      <c r="L151" s="13" t="str">
        <f t="shared" ref="L151:L173" si="183">("Cust. Ref-" &amp; D151)</f>
        <v>Cust. Ref-3665</v>
      </c>
      <c r="M151" s="15" t="s">
        <v>48</v>
      </c>
      <c r="N151" s="15" t="s">
        <v>425</v>
      </c>
      <c r="O151" s="13"/>
      <c r="P151" s="13" t="str">
        <f t="shared" ref="P151:P173" si="184">("SN-" &amp; D151)</f>
        <v>SN-3665</v>
      </c>
      <c r="Q151" s="13" t="str">
        <f t="shared" ref="Q151:Q173" si="185">("SI-" &amp; D151)</f>
        <v>SI-3665</v>
      </c>
      <c r="R151" s="13" t="str">
        <f t="shared" ref="R151:R173" si="186">("SE-" &amp; D151)</f>
        <v>SE-3665</v>
      </c>
      <c r="S151" s="53" t="str">
        <f t="shared" ref="S151:S173" si="187">("Prev_RA-" &amp; D151)</f>
        <v>Prev_RA-3665</v>
      </c>
      <c r="T151" s="53" t="str">
        <f t="shared" ref="T151:T173" si="188">("Prev_Comms-" &amp; D151)</f>
        <v>Prev_Comms-3665</v>
      </c>
      <c r="U151" s="17" t="s">
        <v>75</v>
      </c>
      <c r="V151" s="15" t="s">
        <v>401</v>
      </c>
      <c r="W151" s="17" t="s">
        <v>75</v>
      </c>
      <c r="X151" s="15" t="s">
        <v>396</v>
      </c>
      <c r="Y151" s="13" t="str">
        <f t="shared" ref="Y151:Y173" si="189">("Forward Add-" &amp; D151)</f>
        <v>Forward Add-3665</v>
      </c>
      <c r="Z151" s="15" t="s">
        <v>401</v>
      </c>
      <c r="AA151" s="133" t="str">
        <f>'Run Parameters'!$B$2</f>
        <v>2019-04-26 08:00</v>
      </c>
      <c r="AB151" s="213" t="str">
        <f>'Run Parameters'!B$3</f>
        <v>2019-04-26 18:00</v>
      </c>
      <c r="AC151" s="26">
        <f>('Run Parameters'!$B$2) - 7</f>
        <v>43574.333333333336</v>
      </c>
      <c r="AD151" s="17" t="s">
        <v>75</v>
      </c>
      <c r="AE151" s="18" t="str">
        <f t="shared" ref="AE151:AE173" si="190">("LAST_METER-" &amp; D151)</f>
        <v>LAST_METER-3665</v>
      </c>
      <c r="AF151" s="133" t="str">
        <f>'Run Parameters'!$B$2</f>
        <v>2019-04-26 08:00</v>
      </c>
      <c r="AG151" s="13" t="str">
        <f>'Run Parameters'!B$4</f>
        <v>AUTOTEST2</v>
      </c>
      <c r="AH151" s="53" t="str">
        <f t="shared" ref="AH151:AH173" si="191">("Site_Contact_" &amp; D151)</f>
        <v>Site_Contact_3665</v>
      </c>
      <c r="AI151" s="133" t="str">
        <f>'Run Parameters'!B$2</f>
        <v>2019-04-26 08:00</v>
      </c>
      <c r="AJ151" s="213" t="str">
        <f>'Run Parameters'!B$3</f>
        <v>2019-04-26 18:00</v>
      </c>
      <c r="AK151" s="13" t="s">
        <v>396</v>
      </c>
      <c r="AL151" s="53" t="str">
        <f t="shared" ref="AL151:AL173" si="192">"01159" &amp; D151</f>
        <v>011593665</v>
      </c>
      <c r="AM151" s="13" t="str">
        <f t="shared" ref="AM151:AM173" si="193">("0115" &amp; D151)</f>
        <v>01153665</v>
      </c>
      <c r="AN151" s="15"/>
      <c r="AO151" s="51"/>
      <c r="AP151" s="13">
        <v>1</v>
      </c>
      <c r="AQ151" s="52" t="s">
        <v>49</v>
      </c>
      <c r="AR151" s="15"/>
      <c r="AS151" s="13"/>
      <c r="AT151" s="7" t="s">
        <v>774</v>
      </c>
      <c r="AU151" s="7"/>
      <c r="AV151" s="13">
        <f t="shared" ref="AV151:AV173" si="194">D151</f>
        <v>3665</v>
      </c>
      <c r="AW151" s="13" t="s">
        <v>775</v>
      </c>
      <c r="AX151" s="13" t="s">
        <v>420</v>
      </c>
      <c r="AY151" s="13" t="s">
        <v>421</v>
      </c>
      <c r="AZ151" s="15" t="s">
        <v>334</v>
      </c>
      <c r="BA151" s="14" t="s">
        <v>154</v>
      </c>
      <c r="BB151" s="21">
        <v>1</v>
      </c>
      <c r="BC151" s="20">
        <f t="shared" ref="BC151:BC173" si="195">D151</f>
        <v>3665</v>
      </c>
      <c r="BD151" s="16" t="s">
        <v>776</v>
      </c>
      <c r="BE151" s="16" t="s">
        <v>391</v>
      </c>
      <c r="BF151" s="16" t="s">
        <v>391</v>
      </c>
      <c r="BG151" s="20" t="s">
        <v>773</v>
      </c>
      <c r="BH151" s="20" t="str">
        <f t="shared" ref="BH151:BH173" si="196">BC151&amp;"_"&amp;BB151</f>
        <v>3665_1</v>
      </c>
      <c r="BI151" s="21"/>
      <c r="BJ151" s="21" t="str">
        <f t="shared" ref="BJ151:BJ173" si="197">"10000000" &amp; D151</f>
        <v>100000003665</v>
      </c>
      <c r="BK151" s="16" t="s">
        <v>51</v>
      </c>
      <c r="BL151" s="16" t="s">
        <v>54</v>
      </c>
      <c r="BM151" s="20" t="s">
        <v>769</v>
      </c>
      <c r="BN151" s="16" t="s">
        <v>51</v>
      </c>
      <c r="BO151" s="20" t="str">
        <f t="shared" ref="BO151:BO173" si="198">"S05S" &amp; D151</f>
        <v>S05S3665</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GAS_ENQ_NO-3665</v>
      </c>
      <c r="CK151" s="7" t="s">
        <v>779</v>
      </c>
      <c r="CL151" s="7" t="s">
        <v>391</v>
      </c>
      <c r="CM151" s="7" t="s">
        <v>391</v>
      </c>
      <c r="CN151" s="6" t="s">
        <v>780</v>
      </c>
      <c r="CO151" s="6" t="str">
        <f t="shared" ref="CO151:CO173" si="200">("GAS_JOB_ID-" &amp; D151)</f>
        <v>GAS_JOB_ID-3665</v>
      </c>
      <c r="CP151" s="7"/>
      <c r="CQ151" s="6" t="str">
        <f t="shared" ref="CQ151:CQ173" si="201">"10000" &amp; D151</f>
        <v>100003665</v>
      </c>
      <c r="CR151" s="6" t="s">
        <v>154</v>
      </c>
      <c r="CS151" s="7" t="s">
        <v>51</v>
      </c>
      <c r="CT151" s="27" t="str">
        <f t="shared" ref="CT151:CT173" si="202">"GMETER" &amp; D151</f>
        <v>GMETER3665</v>
      </c>
      <c r="CU151" s="6" t="s">
        <v>161</v>
      </c>
      <c r="CV151" s="7" t="s">
        <v>165</v>
      </c>
      <c r="CW151" s="7" t="s">
        <v>772</v>
      </c>
      <c r="CX151" s="7"/>
      <c r="CY151" s="7"/>
      <c r="CZ151" s="7" t="s">
        <v>394</v>
      </c>
      <c r="DA151" s="7" t="s">
        <v>395</v>
      </c>
      <c r="DB151" s="6" t="str">
        <f t="shared" si="163"/>
        <v>GAS_INST_ID-3665</v>
      </c>
      <c r="DC151" s="7" t="s">
        <v>161</v>
      </c>
      <c r="DD151" s="7"/>
      <c r="DE151" s="7" t="s">
        <v>51</v>
      </c>
      <c r="DF151" s="7" t="s">
        <v>264</v>
      </c>
      <c r="DG151" s="7"/>
      <c r="DH151" s="7" t="s">
        <v>397</v>
      </c>
      <c r="DI151" s="7" t="s">
        <v>399</v>
      </c>
      <c r="DJ151" s="10" t="s">
        <v>778</v>
      </c>
      <c r="DK151" s="7" t="s">
        <v>140</v>
      </c>
      <c r="DL151" s="40"/>
      <c r="DM151" s="40"/>
      <c r="DN151" s="38" t="str">
        <f t="shared" si="164"/>
        <v>DS_Pass-3665</v>
      </c>
      <c r="DO151" s="40"/>
      <c r="DP151" s="40"/>
      <c r="DQ151" s="40"/>
      <c r="DR151" s="41"/>
      <c r="DS151" s="41"/>
      <c r="DT151" s="40"/>
      <c r="DU151" s="40"/>
      <c r="DV151" s="40"/>
      <c r="DW151" s="41"/>
      <c r="DX151" s="40"/>
      <c r="DY151" s="40"/>
      <c r="DZ151" s="37" t="s">
        <v>777</v>
      </c>
      <c r="EA151" s="39"/>
      <c r="EB151" s="37"/>
      <c r="EC151" s="37"/>
      <c r="ED151" s="16"/>
      <c r="EE151" s="1"/>
      <c r="EF151" s="54"/>
    </row>
    <row r="152" spans="1:136" x14ac:dyDescent="0.2">
      <c r="A152" s="209" t="s">
        <v>922</v>
      </c>
      <c r="B152" s="209" t="s">
        <v>892</v>
      </c>
      <c r="C152" s="209" t="s">
        <v>865</v>
      </c>
      <c r="D152" s="13">
        <f>'Run Parameters'!$B$1 + ROW()-1</f>
        <v>3666</v>
      </c>
      <c r="E152" s="15" t="s">
        <v>47</v>
      </c>
      <c r="F152" s="18" t="s">
        <v>816</v>
      </c>
      <c r="G152" s="13" t="str">
        <f t="shared" si="182"/>
        <v>Access Dtls-3666</v>
      </c>
      <c r="H152" s="15" t="s">
        <v>275</v>
      </c>
      <c r="I152" s="13" t="str">
        <f>("MR. Test_143_FLTY17_"&amp;D152&amp;"")</f>
        <v>MR. Test_143_FLTY17_3666</v>
      </c>
      <c r="J152" s="18"/>
      <c r="K152" s="19" t="s">
        <v>425</v>
      </c>
      <c r="L152" s="13" t="str">
        <f t="shared" si="183"/>
        <v>Cust. Ref-3666</v>
      </c>
      <c r="M152" s="15" t="s">
        <v>48</v>
      </c>
      <c r="N152" s="15" t="s">
        <v>425</v>
      </c>
      <c r="O152" s="13"/>
      <c r="P152" s="13" t="str">
        <f t="shared" si="184"/>
        <v>SN-3666</v>
      </c>
      <c r="Q152" s="13" t="str">
        <f t="shared" si="185"/>
        <v>SI-3666</v>
      </c>
      <c r="R152" s="13" t="str">
        <f t="shared" si="186"/>
        <v>SE-3666</v>
      </c>
      <c r="S152" s="53" t="str">
        <f t="shared" si="187"/>
        <v>Prev_RA-3666</v>
      </c>
      <c r="T152" s="53" t="str">
        <f t="shared" si="188"/>
        <v>Prev_Comms-3666</v>
      </c>
      <c r="U152" s="17" t="s">
        <v>75</v>
      </c>
      <c r="V152" s="15" t="s">
        <v>401</v>
      </c>
      <c r="W152" s="17" t="s">
        <v>75</v>
      </c>
      <c r="X152" s="15" t="s">
        <v>396</v>
      </c>
      <c r="Y152" s="13" t="str">
        <f t="shared" si="189"/>
        <v>Forward Add-3666</v>
      </c>
      <c r="Z152" s="15" t="s">
        <v>401</v>
      </c>
      <c r="AA152" s="133" t="str">
        <f>'Run Parameters'!$B$2</f>
        <v>2019-04-26 08:00</v>
      </c>
      <c r="AB152" s="213" t="str">
        <f>'Run Parameters'!B$3</f>
        <v>2019-04-26 18:00</v>
      </c>
      <c r="AC152" s="26">
        <f>('Run Parameters'!$B$2) - 7</f>
        <v>43574.333333333336</v>
      </c>
      <c r="AD152" s="17" t="s">
        <v>75</v>
      </c>
      <c r="AE152" s="18" t="str">
        <f t="shared" si="190"/>
        <v>LAST_METER-3666</v>
      </c>
      <c r="AF152" s="133" t="str">
        <f>'Run Parameters'!$B$2</f>
        <v>2019-04-26 08:00</v>
      </c>
      <c r="AG152" s="13" t="str">
        <f>'Run Parameters'!B$4</f>
        <v>AUTOTEST2</v>
      </c>
      <c r="AH152" s="53" t="str">
        <f t="shared" si="191"/>
        <v>Site_Contact_3666</v>
      </c>
      <c r="AI152" s="133" t="str">
        <f>'Run Parameters'!B$2</f>
        <v>2019-04-26 08:00</v>
      </c>
      <c r="AJ152" s="213" t="str">
        <f>'Run Parameters'!B$3</f>
        <v>2019-04-26 18:00</v>
      </c>
      <c r="AK152" s="13" t="s">
        <v>396</v>
      </c>
      <c r="AL152" s="53" t="str">
        <f t="shared" si="192"/>
        <v>011593666</v>
      </c>
      <c r="AM152" s="13" t="str">
        <f t="shared" si="193"/>
        <v>01153666</v>
      </c>
      <c r="AN152" s="15"/>
      <c r="AO152" s="51"/>
      <c r="AP152" s="13">
        <v>1</v>
      </c>
      <c r="AQ152" s="52" t="s">
        <v>49</v>
      </c>
      <c r="AR152" s="15"/>
      <c r="AS152" s="13"/>
      <c r="AT152" s="7" t="s">
        <v>774</v>
      </c>
      <c r="AU152" s="7"/>
      <c r="AV152" s="13">
        <f t="shared" si="194"/>
        <v>3666</v>
      </c>
      <c r="AW152" s="13" t="s">
        <v>775</v>
      </c>
      <c r="AX152" s="13" t="s">
        <v>420</v>
      </c>
      <c r="AY152" s="13" t="s">
        <v>421</v>
      </c>
      <c r="AZ152" s="15" t="s">
        <v>334</v>
      </c>
      <c r="BA152" s="14" t="s">
        <v>154</v>
      </c>
      <c r="BB152" s="21">
        <v>1</v>
      </c>
      <c r="BC152" s="20">
        <f t="shared" si="195"/>
        <v>3666</v>
      </c>
      <c r="BD152" s="16" t="s">
        <v>776</v>
      </c>
      <c r="BE152" s="16" t="s">
        <v>391</v>
      </c>
      <c r="BF152" s="16" t="s">
        <v>391</v>
      </c>
      <c r="BG152" s="20" t="s">
        <v>773</v>
      </c>
      <c r="BH152" s="20" t="str">
        <f t="shared" si="196"/>
        <v>3666_1</v>
      </c>
      <c r="BI152" s="21"/>
      <c r="BJ152" s="21" t="str">
        <f t="shared" si="197"/>
        <v>100000003666</v>
      </c>
      <c r="BK152" s="16" t="s">
        <v>51</v>
      </c>
      <c r="BL152" s="16" t="s">
        <v>54</v>
      </c>
      <c r="BM152" s="20" t="s">
        <v>769</v>
      </c>
      <c r="BN152" s="16" t="s">
        <v>51</v>
      </c>
      <c r="BO152" s="20" t="str">
        <f t="shared" si="198"/>
        <v>S05S3666</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GAS_ENQ_NO-3666</v>
      </c>
      <c r="CK152" s="7" t="s">
        <v>779</v>
      </c>
      <c r="CL152" s="7" t="s">
        <v>391</v>
      </c>
      <c r="CM152" s="7" t="s">
        <v>391</v>
      </c>
      <c r="CN152" s="6" t="s">
        <v>780</v>
      </c>
      <c r="CO152" s="6" t="str">
        <f t="shared" si="200"/>
        <v>GAS_JOB_ID-3666</v>
      </c>
      <c r="CP152" s="7"/>
      <c r="CQ152" s="6" t="str">
        <f t="shared" si="201"/>
        <v>100003666</v>
      </c>
      <c r="CR152" s="6" t="s">
        <v>154</v>
      </c>
      <c r="CS152" s="7" t="s">
        <v>51</v>
      </c>
      <c r="CT152" s="27" t="str">
        <f t="shared" si="202"/>
        <v>GMETER3666</v>
      </c>
      <c r="CU152" s="6" t="s">
        <v>161</v>
      </c>
      <c r="CV152" s="7" t="s">
        <v>165</v>
      </c>
      <c r="CW152" s="7" t="s">
        <v>772</v>
      </c>
      <c r="CX152" s="7"/>
      <c r="CY152" s="7"/>
      <c r="CZ152" s="7" t="s">
        <v>394</v>
      </c>
      <c r="DA152" s="7" t="s">
        <v>395</v>
      </c>
      <c r="DB152" s="6" t="str">
        <f t="shared" si="163"/>
        <v>GAS_INST_ID-3666</v>
      </c>
      <c r="DC152" s="7" t="s">
        <v>161</v>
      </c>
      <c r="DD152" s="7"/>
      <c r="DE152" s="7" t="s">
        <v>51</v>
      </c>
      <c r="DF152" s="7" t="s">
        <v>264</v>
      </c>
      <c r="DG152" s="7"/>
      <c r="DH152" s="7" t="s">
        <v>397</v>
      </c>
      <c r="DI152" s="7" t="s">
        <v>399</v>
      </c>
      <c r="DJ152" s="10" t="s">
        <v>778</v>
      </c>
      <c r="DK152" s="7" t="s">
        <v>140</v>
      </c>
      <c r="DL152" s="40"/>
      <c r="DM152" s="40"/>
      <c r="DN152" s="38" t="str">
        <f t="shared" si="164"/>
        <v>DS_Pass-3666</v>
      </c>
      <c r="DO152" s="40"/>
      <c r="DP152" s="40"/>
      <c r="DQ152" s="40"/>
      <c r="DR152" s="41"/>
      <c r="DS152" s="41"/>
      <c r="DT152" s="40"/>
      <c r="DU152" s="40"/>
      <c r="DV152" s="40"/>
      <c r="DW152" s="41"/>
      <c r="DX152" s="40"/>
      <c r="DY152" s="40"/>
      <c r="DZ152" s="37" t="s">
        <v>777</v>
      </c>
      <c r="EA152" s="39"/>
      <c r="EB152" s="37"/>
      <c r="EC152" s="37"/>
      <c r="ED152" s="16"/>
      <c r="EE152" s="1"/>
      <c r="EF152" s="54"/>
    </row>
    <row r="153" spans="1:136" x14ac:dyDescent="0.2">
      <c r="A153" s="209" t="s">
        <v>923</v>
      </c>
      <c r="B153" s="209" t="s">
        <v>868</v>
      </c>
      <c r="C153" s="209" t="s">
        <v>865</v>
      </c>
      <c r="D153" s="13">
        <f>'Run Parameters'!$B$1 + ROW()-1</f>
        <v>3667</v>
      </c>
      <c r="E153" s="15" t="s">
        <v>47</v>
      </c>
      <c r="F153" s="18" t="s">
        <v>816</v>
      </c>
      <c r="G153" s="13" t="str">
        <f t="shared" si="182"/>
        <v>Access Dtls-3667</v>
      </c>
      <c r="H153" s="15" t="s">
        <v>275</v>
      </c>
      <c r="I153" s="13" t="str">
        <f>("MR. Test_144_FLTY17_"&amp;D153&amp;"")</f>
        <v>MR. Test_144_FLTY17_3667</v>
      </c>
      <c r="J153" s="18"/>
      <c r="K153" s="19" t="s">
        <v>425</v>
      </c>
      <c r="L153" s="13" t="str">
        <f t="shared" si="183"/>
        <v>Cust. Ref-3667</v>
      </c>
      <c r="M153" s="15" t="s">
        <v>48</v>
      </c>
      <c r="N153" s="15" t="s">
        <v>425</v>
      </c>
      <c r="O153" s="13"/>
      <c r="P153" s="13" t="str">
        <f t="shared" si="184"/>
        <v>SN-3667</v>
      </c>
      <c r="Q153" s="13" t="str">
        <f t="shared" si="185"/>
        <v>SI-3667</v>
      </c>
      <c r="R153" s="13" t="str">
        <f t="shared" si="186"/>
        <v>SE-3667</v>
      </c>
      <c r="S153" s="53" t="str">
        <f t="shared" si="187"/>
        <v>Prev_RA-3667</v>
      </c>
      <c r="T153" s="53" t="str">
        <f t="shared" si="188"/>
        <v>Prev_Comms-3667</v>
      </c>
      <c r="U153" s="17" t="s">
        <v>75</v>
      </c>
      <c r="V153" s="15" t="s">
        <v>401</v>
      </c>
      <c r="W153" s="17" t="s">
        <v>75</v>
      </c>
      <c r="X153" s="15" t="s">
        <v>396</v>
      </c>
      <c r="Y153" s="13" t="str">
        <f t="shared" si="189"/>
        <v>Forward Add-3667</v>
      </c>
      <c r="Z153" s="15" t="s">
        <v>401</v>
      </c>
      <c r="AA153" s="133" t="str">
        <f>'Run Parameters'!$B$2</f>
        <v>2019-04-26 08:00</v>
      </c>
      <c r="AB153" s="213" t="str">
        <f>'Run Parameters'!B$3</f>
        <v>2019-04-26 18:00</v>
      </c>
      <c r="AC153" s="26">
        <f>('Run Parameters'!$B$2) - 7</f>
        <v>43574.333333333336</v>
      </c>
      <c r="AD153" s="17" t="s">
        <v>75</v>
      </c>
      <c r="AE153" s="18" t="str">
        <f t="shared" si="190"/>
        <v>LAST_METER-3667</v>
      </c>
      <c r="AF153" s="133" t="str">
        <f>'Run Parameters'!$B$2</f>
        <v>2019-04-26 08:00</v>
      </c>
      <c r="AG153" s="13" t="str">
        <f>'Run Parameters'!B$4</f>
        <v>AUTOTEST2</v>
      </c>
      <c r="AH153" s="53" t="str">
        <f t="shared" si="191"/>
        <v>Site_Contact_3667</v>
      </c>
      <c r="AI153" s="133" t="str">
        <f>'Run Parameters'!B$2</f>
        <v>2019-04-26 08:00</v>
      </c>
      <c r="AJ153" s="213" t="str">
        <f>'Run Parameters'!B$3</f>
        <v>2019-04-26 18:00</v>
      </c>
      <c r="AK153" s="13" t="s">
        <v>396</v>
      </c>
      <c r="AL153" s="53" t="str">
        <f t="shared" si="192"/>
        <v>011593667</v>
      </c>
      <c r="AM153" s="13" t="str">
        <f t="shared" si="193"/>
        <v>01153667</v>
      </c>
      <c r="AN153" s="15"/>
      <c r="AO153" s="51"/>
      <c r="AP153" s="13">
        <v>1</v>
      </c>
      <c r="AQ153" s="52" t="s">
        <v>49</v>
      </c>
      <c r="AR153" s="15"/>
      <c r="AS153" s="13"/>
      <c r="AT153" s="7" t="s">
        <v>774</v>
      </c>
      <c r="AU153" s="7"/>
      <c r="AV153" s="13">
        <f t="shared" si="194"/>
        <v>3667</v>
      </c>
      <c r="AW153" s="13" t="s">
        <v>775</v>
      </c>
      <c r="AX153" s="13" t="s">
        <v>420</v>
      </c>
      <c r="AY153" s="13" t="s">
        <v>421</v>
      </c>
      <c r="AZ153" s="15" t="s">
        <v>334</v>
      </c>
      <c r="BA153" s="14" t="s">
        <v>154</v>
      </c>
      <c r="BB153" s="21">
        <v>1</v>
      </c>
      <c r="BC153" s="20">
        <f t="shared" si="195"/>
        <v>3667</v>
      </c>
      <c r="BD153" s="16" t="s">
        <v>776</v>
      </c>
      <c r="BE153" s="16" t="s">
        <v>391</v>
      </c>
      <c r="BF153" s="16" t="s">
        <v>391</v>
      </c>
      <c r="BG153" s="20" t="s">
        <v>773</v>
      </c>
      <c r="BH153" s="20" t="str">
        <f t="shared" si="196"/>
        <v>3667_1</v>
      </c>
      <c r="BI153" s="21"/>
      <c r="BJ153" s="21" t="str">
        <f t="shared" si="197"/>
        <v>100000003667</v>
      </c>
      <c r="BK153" s="16" t="s">
        <v>51</v>
      </c>
      <c r="BL153" s="16" t="s">
        <v>54</v>
      </c>
      <c r="BM153" s="20" t="s">
        <v>769</v>
      </c>
      <c r="BN153" s="16" t="s">
        <v>51</v>
      </c>
      <c r="BO153" s="20" t="str">
        <f t="shared" si="198"/>
        <v>S05S3667</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GAS_ENQ_NO-3667</v>
      </c>
      <c r="CK153" s="7" t="s">
        <v>779</v>
      </c>
      <c r="CL153" s="7" t="s">
        <v>391</v>
      </c>
      <c r="CM153" s="7" t="s">
        <v>391</v>
      </c>
      <c r="CN153" s="6" t="s">
        <v>780</v>
      </c>
      <c r="CO153" s="6" t="str">
        <f t="shared" si="200"/>
        <v>GAS_JOB_ID-3667</v>
      </c>
      <c r="CP153" s="7"/>
      <c r="CQ153" s="6" t="str">
        <f t="shared" si="201"/>
        <v>100003667</v>
      </c>
      <c r="CR153" s="6" t="s">
        <v>154</v>
      </c>
      <c r="CS153" s="7" t="s">
        <v>51</v>
      </c>
      <c r="CT153" s="27" t="str">
        <f t="shared" si="202"/>
        <v>GMETER3667</v>
      </c>
      <c r="CU153" s="6" t="s">
        <v>161</v>
      </c>
      <c r="CV153" s="7" t="s">
        <v>165</v>
      </c>
      <c r="CW153" s="7" t="s">
        <v>772</v>
      </c>
      <c r="CX153" s="7"/>
      <c r="CY153" s="7"/>
      <c r="CZ153" s="7" t="s">
        <v>394</v>
      </c>
      <c r="DA153" s="7" t="s">
        <v>395</v>
      </c>
      <c r="DB153" s="6" t="str">
        <f t="shared" si="163"/>
        <v>GAS_INST_ID-3667</v>
      </c>
      <c r="DC153" s="7" t="s">
        <v>161</v>
      </c>
      <c r="DD153" s="7"/>
      <c r="DE153" s="7" t="s">
        <v>51</v>
      </c>
      <c r="DF153" s="7" t="s">
        <v>264</v>
      </c>
      <c r="DG153" s="7"/>
      <c r="DH153" s="7" t="s">
        <v>397</v>
      </c>
      <c r="DI153" s="7" t="s">
        <v>399</v>
      </c>
      <c r="DJ153" s="10" t="s">
        <v>778</v>
      </c>
      <c r="DK153" s="7" t="s">
        <v>140</v>
      </c>
      <c r="DL153" s="40"/>
      <c r="DM153" s="40"/>
      <c r="DN153" s="38" t="str">
        <f t="shared" si="164"/>
        <v>DS_Pass-3667</v>
      </c>
      <c r="DO153" s="40"/>
      <c r="DP153" s="40"/>
      <c r="DQ153" s="40"/>
      <c r="DR153" s="41"/>
      <c r="DS153" s="41"/>
      <c r="DT153" s="40"/>
      <c r="DU153" s="40"/>
      <c r="DV153" s="40"/>
      <c r="DW153" s="41"/>
      <c r="DX153" s="40"/>
      <c r="DY153" s="40"/>
      <c r="DZ153" s="37" t="s">
        <v>777</v>
      </c>
      <c r="EA153" s="39"/>
      <c r="EB153" s="37"/>
      <c r="EC153" s="37"/>
      <c r="ED153" s="16"/>
      <c r="EE153" s="1"/>
      <c r="EF153" s="54"/>
    </row>
    <row r="154" spans="1:136" x14ac:dyDescent="0.2">
      <c r="A154" s="209" t="s">
        <v>924</v>
      </c>
      <c r="B154" s="209" t="s">
        <v>892</v>
      </c>
      <c r="C154" s="209" t="s">
        <v>865</v>
      </c>
      <c r="D154" s="13">
        <f>'Run Parameters'!$B$1 + ROW()-1</f>
        <v>3668</v>
      </c>
      <c r="E154" s="15" t="s">
        <v>47</v>
      </c>
      <c r="F154" s="18" t="s">
        <v>816</v>
      </c>
      <c r="G154" s="13" t="str">
        <f t="shared" si="182"/>
        <v>Access Dtls-3668</v>
      </c>
      <c r="H154" s="15" t="s">
        <v>275</v>
      </c>
      <c r="I154" s="13" t="str">
        <f>("MR. Test_145_FLTY17_"&amp;D154&amp;"")</f>
        <v>MR. Test_145_FLTY17_3668</v>
      </c>
      <c r="J154" s="18"/>
      <c r="K154" s="19" t="s">
        <v>425</v>
      </c>
      <c r="L154" s="13" t="str">
        <f t="shared" si="183"/>
        <v>Cust. Ref-3668</v>
      </c>
      <c r="M154" s="15" t="s">
        <v>48</v>
      </c>
      <c r="N154" s="15" t="s">
        <v>425</v>
      </c>
      <c r="O154" s="13"/>
      <c r="P154" s="13" t="str">
        <f t="shared" si="184"/>
        <v>SN-3668</v>
      </c>
      <c r="Q154" s="13" t="str">
        <f t="shared" si="185"/>
        <v>SI-3668</v>
      </c>
      <c r="R154" s="13" t="str">
        <f t="shared" si="186"/>
        <v>SE-3668</v>
      </c>
      <c r="S154" s="53" t="str">
        <f t="shared" si="187"/>
        <v>Prev_RA-3668</v>
      </c>
      <c r="T154" s="53" t="str">
        <f t="shared" si="188"/>
        <v>Prev_Comms-3668</v>
      </c>
      <c r="U154" s="17" t="s">
        <v>75</v>
      </c>
      <c r="V154" s="15" t="s">
        <v>401</v>
      </c>
      <c r="W154" s="17" t="s">
        <v>75</v>
      </c>
      <c r="X154" s="15" t="s">
        <v>396</v>
      </c>
      <c r="Y154" s="13" t="str">
        <f t="shared" si="189"/>
        <v>Forward Add-3668</v>
      </c>
      <c r="Z154" s="15" t="s">
        <v>401</v>
      </c>
      <c r="AA154" s="133" t="str">
        <f>'Run Parameters'!$B$2</f>
        <v>2019-04-26 08:00</v>
      </c>
      <c r="AB154" s="213" t="str">
        <f>'Run Parameters'!B$3</f>
        <v>2019-04-26 18:00</v>
      </c>
      <c r="AC154" s="26">
        <f>('Run Parameters'!$B$2) - 7</f>
        <v>43574.333333333336</v>
      </c>
      <c r="AD154" s="17" t="s">
        <v>75</v>
      </c>
      <c r="AE154" s="18" t="str">
        <f t="shared" si="190"/>
        <v>LAST_METER-3668</v>
      </c>
      <c r="AF154" s="133" t="str">
        <f>'Run Parameters'!$B$2</f>
        <v>2019-04-26 08:00</v>
      </c>
      <c r="AG154" s="13" t="str">
        <f>'Run Parameters'!B$4</f>
        <v>AUTOTEST2</v>
      </c>
      <c r="AH154" s="53" t="str">
        <f t="shared" si="191"/>
        <v>Site_Contact_3668</v>
      </c>
      <c r="AI154" s="133" t="str">
        <f>'Run Parameters'!B$2</f>
        <v>2019-04-26 08:00</v>
      </c>
      <c r="AJ154" s="213" t="str">
        <f>'Run Parameters'!B$3</f>
        <v>2019-04-26 18:00</v>
      </c>
      <c r="AK154" s="13" t="s">
        <v>396</v>
      </c>
      <c r="AL154" s="53" t="str">
        <f t="shared" si="192"/>
        <v>011593668</v>
      </c>
      <c r="AM154" s="13" t="str">
        <f t="shared" si="193"/>
        <v>01153668</v>
      </c>
      <c r="AN154" s="15"/>
      <c r="AO154" s="51"/>
      <c r="AP154" s="13">
        <v>1</v>
      </c>
      <c r="AQ154" s="52" t="s">
        <v>49</v>
      </c>
      <c r="AR154" s="15"/>
      <c r="AS154" s="13"/>
      <c r="AT154" s="7" t="s">
        <v>774</v>
      </c>
      <c r="AU154" s="7"/>
      <c r="AV154" s="13">
        <f t="shared" si="194"/>
        <v>3668</v>
      </c>
      <c r="AW154" s="13" t="s">
        <v>775</v>
      </c>
      <c r="AX154" s="13" t="s">
        <v>420</v>
      </c>
      <c r="AY154" s="13" t="s">
        <v>421</v>
      </c>
      <c r="AZ154" s="15" t="s">
        <v>334</v>
      </c>
      <c r="BA154" s="14" t="s">
        <v>154</v>
      </c>
      <c r="BB154" s="21">
        <v>1</v>
      </c>
      <c r="BC154" s="20">
        <f t="shared" si="195"/>
        <v>3668</v>
      </c>
      <c r="BD154" s="16" t="s">
        <v>776</v>
      </c>
      <c r="BE154" s="16" t="s">
        <v>391</v>
      </c>
      <c r="BF154" s="16" t="s">
        <v>391</v>
      </c>
      <c r="BG154" s="20" t="s">
        <v>773</v>
      </c>
      <c r="BH154" s="20" t="str">
        <f t="shared" si="196"/>
        <v>3668_1</v>
      </c>
      <c r="BI154" s="21"/>
      <c r="BJ154" s="21" t="str">
        <f t="shared" si="197"/>
        <v>100000003668</v>
      </c>
      <c r="BK154" s="16" t="s">
        <v>51</v>
      </c>
      <c r="BL154" s="16" t="s">
        <v>54</v>
      </c>
      <c r="BM154" s="20" t="s">
        <v>769</v>
      </c>
      <c r="BN154" s="16" t="s">
        <v>51</v>
      </c>
      <c r="BO154" s="20" t="str">
        <f t="shared" si="198"/>
        <v>S05S3668</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GAS_ENQ_NO-3668</v>
      </c>
      <c r="CK154" s="7" t="s">
        <v>779</v>
      </c>
      <c r="CL154" s="7" t="s">
        <v>391</v>
      </c>
      <c r="CM154" s="7" t="s">
        <v>391</v>
      </c>
      <c r="CN154" s="6" t="s">
        <v>780</v>
      </c>
      <c r="CO154" s="6" t="str">
        <f t="shared" si="200"/>
        <v>GAS_JOB_ID-3668</v>
      </c>
      <c r="CP154" s="7"/>
      <c r="CQ154" s="6" t="str">
        <f t="shared" si="201"/>
        <v>100003668</v>
      </c>
      <c r="CR154" s="6" t="s">
        <v>154</v>
      </c>
      <c r="CS154" s="7" t="s">
        <v>51</v>
      </c>
      <c r="CT154" s="27" t="str">
        <f t="shared" si="202"/>
        <v>GMETER3668</v>
      </c>
      <c r="CU154" s="6" t="s">
        <v>161</v>
      </c>
      <c r="CV154" s="7" t="s">
        <v>165</v>
      </c>
      <c r="CW154" s="7" t="s">
        <v>772</v>
      </c>
      <c r="CX154" s="7"/>
      <c r="CY154" s="7"/>
      <c r="CZ154" s="7" t="s">
        <v>394</v>
      </c>
      <c r="DA154" s="7" t="s">
        <v>395</v>
      </c>
      <c r="DB154" s="6" t="str">
        <f t="shared" si="163"/>
        <v>GAS_INST_ID-3668</v>
      </c>
      <c r="DC154" s="7" t="s">
        <v>161</v>
      </c>
      <c r="DD154" s="7"/>
      <c r="DE154" s="7" t="s">
        <v>51</v>
      </c>
      <c r="DF154" s="7" t="s">
        <v>264</v>
      </c>
      <c r="DG154" s="7"/>
      <c r="DH154" s="7" t="s">
        <v>397</v>
      </c>
      <c r="DI154" s="7" t="s">
        <v>399</v>
      </c>
      <c r="DJ154" s="10" t="s">
        <v>778</v>
      </c>
      <c r="DK154" s="7" t="s">
        <v>140</v>
      </c>
      <c r="DL154" s="40"/>
      <c r="DM154" s="40"/>
      <c r="DN154" s="38" t="str">
        <f t="shared" si="164"/>
        <v>DS_Pass-3668</v>
      </c>
      <c r="DO154" s="40"/>
      <c r="DP154" s="40"/>
      <c r="DQ154" s="40"/>
      <c r="DR154" s="41"/>
      <c r="DS154" s="41"/>
      <c r="DT154" s="40"/>
      <c r="DU154" s="40"/>
      <c r="DV154" s="40"/>
      <c r="DW154" s="41"/>
      <c r="DX154" s="40"/>
      <c r="DY154" s="40"/>
      <c r="DZ154" s="37" t="s">
        <v>777</v>
      </c>
      <c r="EA154" s="39"/>
      <c r="EB154" s="37"/>
      <c r="EC154" s="37"/>
      <c r="ED154" s="16"/>
      <c r="EE154" s="1"/>
      <c r="EF154" s="54"/>
    </row>
    <row r="155" spans="1:136" x14ac:dyDescent="0.2">
      <c r="A155" s="209" t="s">
        <v>925</v>
      </c>
      <c r="B155" s="209" t="s">
        <v>868</v>
      </c>
      <c r="C155" s="209" t="s">
        <v>865</v>
      </c>
      <c r="D155" s="13">
        <f>'Run Parameters'!$B$1 + ROW()-1</f>
        <v>3669</v>
      </c>
      <c r="E155" s="15" t="s">
        <v>47</v>
      </c>
      <c r="F155" s="18" t="s">
        <v>816</v>
      </c>
      <c r="G155" s="13" t="str">
        <f t="shared" si="182"/>
        <v>Access Dtls-3669</v>
      </c>
      <c r="H155" s="15" t="s">
        <v>275</v>
      </c>
      <c r="I155" s="13" t="str">
        <f>("MR. Test_146_FLTY17_"&amp;D155&amp;"")</f>
        <v>MR. Test_146_FLTY17_3669</v>
      </c>
      <c r="J155" s="18"/>
      <c r="K155" s="19" t="s">
        <v>425</v>
      </c>
      <c r="L155" s="13" t="str">
        <f t="shared" si="183"/>
        <v>Cust. Ref-3669</v>
      </c>
      <c r="M155" s="15" t="s">
        <v>48</v>
      </c>
      <c r="N155" s="15" t="s">
        <v>425</v>
      </c>
      <c r="O155" s="13"/>
      <c r="P155" s="13" t="str">
        <f t="shared" si="184"/>
        <v>SN-3669</v>
      </c>
      <c r="Q155" s="13" t="str">
        <f t="shared" si="185"/>
        <v>SI-3669</v>
      </c>
      <c r="R155" s="13" t="str">
        <f t="shared" si="186"/>
        <v>SE-3669</v>
      </c>
      <c r="S155" s="53" t="str">
        <f t="shared" si="187"/>
        <v>Prev_RA-3669</v>
      </c>
      <c r="T155" s="53" t="str">
        <f t="shared" si="188"/>
        <v>Prev_Comms-3669</v>
      </c>
      <c r="U155" s="17" t="s">
        <v>75</v>
      </c>
      <c r="V155" s="15" t="s">
        <v>401</v>
      </c>
      <c r="W155" s="17" t="s">
        <v>75</v>
      </c>
      <c r="X155" s="15" t="s">
        <v>396</v>
      </c>
      <c r="Y155" s="13" t="str">
        <f t="shared" si="189"/>
        <v>Forward Add-3669</v>
      </c>
      <c r="Z155" s="15" t="s">
        <v>401</v>
      </c>
      <c r="AA155" s="133" t="str">
        <f>'Run Parameters'!$B$2</f>
        <v>2019-04-26 08:00</v>
      </c>
      <c r="AB155" s="213" t="str">
        <f>'Run Parameters'!B$3</f>
        <v>2019-04-26 18:00</v>
      </c>
      <c r="AC155" s="26">
        <f>('Run Parameters'!$B$2) - 7</f>
        <v>43574.333333333336</v>
      </c>
      <c r="AD155" s="17" t="s">
        <v>75</v>
      </c>
      <c r="AE155" s="18" t="str">
        <f t="shared" si="190"/>
        <v>LAST_METER-3669</v>
      </c>
      <c r="AF155" s="133" t="str">
        <f>'Run Parameters'!$B$2</f>
        <v>2019-04-26 08:00</v>
      </c>
      <c r="AG155" s="13" t="str">
        <f>'Run Parameters'!B$4</f>
        <v>AUTOTEST2</v>
      </c>
      <c r="AH155" s="53" t="str">
        <f t="shared" si="191"/>
        <v>Site_Contact_3669</v>
      </c>
      <c r="AI155" s="133" t="str">
        <f>'Run Parameters'!B$2</f>
        <v>2019-04-26 08:00</v>
      </c>
      <c r="AJ155" s="213" t="str">
        <f>'Run Parameters'!B$3</f>
        <v>2019-04-26 18:00</v>
      </c>
      <c r="AK155" s="13" t="s">
        <v>396</v>
      </c>
      <c r="AL155" s="53" t="str">
        <f t="shared" si="192"/>
        <v>011593669</v>
      </c>
      <c r="AM155" s="13" t="str">
        <f t="shared" si="193"/>
        <v>01153669</v>
      </c>
      <c r="AN155" s="15"/>
      <c r="AO155" s="51"/>
      <c r="AP155" s="13">
        <v>1</v>
      </c>
      <c r="AQ155" s="52" t="s">
        <v>49</v>
      </c>
      <c r="AR155" s="15"/>
      <c r="AS155" s="13"/>
      <c r="AT155" s="7" t="s">
        <v>774</v>
      </c>
      <c r="AU155" s="7"/>
      <c r="AV155" s="13">
        <f t="shared" si="194"/>
        <v>3669</v>
      </c>
      <c r="AW155" s="13" t="s">
        <v>775</v>
      </c>
      <c r="AX155" s="13" t="s">
        <v>420</v>
      </c>
      <c r="AY155" s="13" t="s">
        <v>421</v>
      </c>
      <c r="AZ155" s="15" t="s">
        <v>334</v>
      </c>
      <c r="BA155" s="14" t="s">
        <v>154</v>
      </c>
      <c r="BB155" s="21">
        <v>1</v>
      </c>
      <c r="BC155" s="20">
        <f t="shared" si="195"/>
        <v>3669</v>
      </c>
      <c r="BD155" s="16" t="s">
        <v>776</v>
      </c>
      <c r="BE155" s="16" t="s">
        <v>391</v>
      </c>
      <c r="BF155" s="16" t="s">
        <v>391</v>
      </c>
      <c r="BG155" s="20" t="s">
        <v>773</v>
      </c>
      <c r="BH155" s="20" t="str">
        <f t="shared" si="196"/>
        <v>3669_1</v>
      </c>
      <c r="BI155" s="21"/>
      <c r="BJ155" s="21" t="str">
        <f t="shared" si="197"/>
        <v>100000003669</v>
      </c>
      <c r="BK155" s="16" t="s">
        <v>51</v>
      </c>
      <c r="BL155" s="16" t="s">
        <v>54</v>
      </c>
      <c r="BM155" s="20" t="s">
        <v>769</v>
      </c>
      <c r="BN155" s="16" t="s">
        <v>51</v>
      </c>
      <c r="BO155" s="20" t="str">
        <f t="shared" si="198"/>
        <v>S05S3669</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GAS_ENQ_NO-3669</v>
      </c>
      <c r="CK155" s="7" t="s">
        <v>779</v>
      </c>
      <c r="CL155" s="7" t="s">
        <v>391</v>
      </c>
      <c r="CM155" s="7" t="s">
        <v>391</v>
      </c>
      <c r="CN155" s="6" t="s">
        <v>780</v>
      </c>
      <c r="CO155" s="6" t="str">
        <f t="shared" si="200"/>
        <v>GAS_JOB_ID-3669</v>
      </c>
      <c r="CP155" s="7"/>
      <c r="CQ155" s="6" t="str">
        <f t="shared" si="201"/>
        <v>100003669</v>
      </c>
      <c r="CR155" s="6" t="s">
        <v>154</v>
      </c>
      <c r="CS155" s="7" t="s">
        <v>51</v>
      </c>
      <c r="CT155" s="27" t="str">
        <f t="shared" si="202"/>
        <v>GMETER3669</v>
      </c>
      <c r="CU155" s="6" t="s">
        <v>161</v>
      </c>
      <c r="CV155" s="7" t="s">
        <v>165</v>
      </c>
      <c r="CW155" s="7" t="s">
        <v>772</v>
      </c>
      <c r="CX155" s="7"/>
      <c r="CY155" s="7"/>
      <c r="CZ155" s="7" t="s">
        <v>394</v>
      </c>
      <c r="DA155" s="7" t="s">
        <v>395</v>
      </c>
      <c r="DB155" s="6" t="str">
        <f t="shared" si="163"/>
        <v>GAS_INST_ID-3669</v>
      </c>
      <c r="DC155" s="7" t="s">
        <v>161</v>
      </c>
      <c r="DD155" s="7"/>
      <c r="DE155" s="7" t="s">
        <v>51</v>
      </c>
      <c r="DF155" s="7" t="s">
        <v>264</v>
      </c>
      <c r="DG155" s="7"/>
      <c r="DH155" s="7" t="s">
        <v>397</v>
      </c>
      <c r="DI155" s="7" t="s">
        <v>399</v>
      </c>
      <c r="DJ155" s="10" t="s">
        <v>778</v>
      </c>
      <c r="DK155" s="7" t="s">
        <v>140</v>
      </c>
      <c r="DL155" s="40"/>
      <c r="DM155" s="40"/>
      <c r="DN155" s="38" t="str">
        <f t="shared" si="164"/>
        <v>DS_Pass-3669</v>
      </c>
      <c r="DO155" s="40"/>
      <c r="DP155" s="40"/>
      <c r="DQ155" s="40"/>
      <c r="DR155" s="41"/>
      <c r="DS155" s="41"/>
      <c r="DT155" s="40"/>
      <c r="DU155" s="40"/>
      <c r="DV155" s="40"/>
      <c r="DW155" s="41"/>
      <c r="DX155" s="40"/>
      <c r="DY155" s="40"/>
      <c r="DZ155" s="37" t="s">
        <v>777</v>
      </c>
      <c r="EA155" s="39"/>
      <c r="EB155" s="37"/>
      <c r="EC155" s="37"/>
      <c r="ED155" s="16"/>
      <c r="EE155" s="1"/>
      <c r="EF155" s="54"/>
    </row>
    <row r="156" spans="1:136" x14ac:dyDescent="0.2">
      <c r="A156" s="209" t="s">
        <v>926</v>
      </c>
      <c r="B156" s="209" t="s">
        <v>892</v>
      </c>
      <c r="C156" s="209" t="s">
        <v>865</v>
      </c>
      <c r="D156" s="13">
        <f>'Run Parameters'!$B$1 + ROW()-1</f>
        <v>3670</v>
      </c>
      <c r="E156" s="15" t="s">
        <v>47</v>
      </c>
      <c r="F156" s="18" t="s">
        <v>816</v>
      </c>
      <c r="G156" s="13" t="str">
        <f t="shared" si="182"/>
        <v>Access Dtls-3670</v>
      </c>
      <c r="H156" s="15" t="s">
        <v>275</v>
      </c>
      <c r="I156" s="13" t="str">
        <f>("MR. Test_147_FLTY17_"&amp;D156&amp;"")</f>
        <v>MR. Test_147_FLTY17_3670</v>
      </c>
      <c r="J156" s="18"/>
      <c r="K156" s="19" t="s">
        <v>425</v>
      </c>
      <c r="L156" s="13" t="str">
        <f t="shared" si="183"/>
        <v>Cust. Ref-3670</v>
      </c>
      <c r="M156" s="15" t="s">
        <v>48</v>
      </c>
      <c r="N156" s="15" t="s">
        <v>425</v>
      </c>
      <c r="O156" s="13"/>
      <c r="P156" s="13" t="str">
        <f t="shared" si="184"/>
        <v>SN-3670</v>
      </c>
      <c r="Q156" s="13" t="str">
        <f t="shared" si="185"/>
        <v>SI-3670</v>
      </c>
      <c r="R156" s="13" t="str">
        <f t="shared" si="186"/>
        <v>SE-3670</v>
      </c>
      <c r="S156" s="53" t="str">
        <f t="shared" si="187"/>
        <v>Prev_RA-3670</v>
      </c>
      <c r="T156" s="53" t="str">
        <f t="shared" si="188"/>
        <v>Prev_Comms-3670</v>
      </c>
      <c r="U156" s="17" t="s">
        <v>75</v>
      </c>
      <c r="V156" s="15" t="s">
        <v>401</v>
      </c>
      <c r="W156" s="17" t="s">
        <v>75</v>
      </c>
      <c r="X156" s="15" t="s">
        <v>396</v>
      </c>
      <c r="Y156" s="13" t="str">
        <f t="shared" si="189"/>
        <v>Forward Add-3670</v>
      </c>
      <c r="Z156" s="15" t="s">
        <v>401</v>
      </c>
      <c r="AA156" s="133" t="str">
        <f>'Run Parameters'!$B$2</f>
        <v>2019-04-26 08:00</v>
      </c>
      <c r="AB156" s="213" t="str">
        <f>'Run Parameters'!B$3</f>
        <v>2019-04-26 18:00</v>
      </c>
      <c r="AC156" s="26">
        <f>('Run Parameters'!$B$2) - 7</f>
        <v>43574.333333333336</v>
      </c>
      <c r="AD156" s="17" t="s">
        <v>75</v>
      </c>
      <c r="AE156" s="18" t="str">
        <f t="shared" si="190"/>
        <v>LAST_METER-3670</v>
      </c>
      <c r="AF156" s="133" t="str">
        <f>'Run Parameters'!$B$2</f>
        <v>2019-04-26 08:00</v>
      </c>
      <c r="AG156" s="13" t="str">
        <f>'Run Parameters'!B$4</f>
        <v>AUTOTEST2</v>
      </c>
      <c r="AH156" s="53" t="str">
        <f t="shared" si="191"/>
        <v>Site_Contact_3670</v>
      </c>
      <c r="AI156" s="133" t="str">
        <f>'Run Parameters'!B$2</f>
        <v>2019-04-26 08:00</v>
      </c>
      <c r="AJ156" s="213" t="str">
        <f>'Run Parameters'!B$3</f>
        <v>2019-04-26 18:00</v>
      </c>
      <c r="AK156" s="13" t="s">
        <v>396</v>
      </c>
      <c r="AL156" s="53" t="str">
        <f t="shared" si="192"/>
        <v>011593670</v>
      </c>
      <c r="AM156" s="13" t="str">
        <f t="shared" si="193"/>
        <v>01153670</v>
      </c>
      <c r="AN156" s="15"/>
      <c r="AO156" s="51"/>
      <c r="AP156" s="13">
        <v>1</v>
      </c>
      <c r="AQ156" s="52" t="s">
        <v>49</v>
      </c>
      <c r="AR156" s="15"/>
      <c r="AS156" s="13"/>
      <c r="AT156" s="7" t="s">
        <v>774</v>
      </c>
      <c r="AU156" s="7"/>
      <c r="AV156" s="13">
        <f t="shared" si="194"/>
        <v>3670</v>
      </c>
      <c r="AW156" s="13" t="s">
        <v>775</v>
      </c>
      <c r="AX156" s="13" t="s">
        <v>420</v>
      </c>
      <c r="AY156" s="13" t="s">
        <v>421</v>
      </c>
      <c r="AZ156" s="15" t="s">
        <v>334</v>
      </c>
      <c r="BA156" s="14" t="s">
        <v>154</v>
      </c>
      <c r="BB156" s="21">
        <v>1</v>
      </c>
      <c r="BC156" s="20">
        <f t="shared" si="195"/>
        <v>3670</v>
      </c>
      <c r="BD156" s="16" t="s">
        <v>776</v>
      </c>
      <c r="BE156" s="16" t="s">
        <v>391</v>
      </c>
      <c r="BF156" s="16" t="s">
        <v>391</v>
      </c>
      <c r="BG156" s="20" t="s">
        <v>773</v>
      </c>
      <c r="BH156" s="20" t="str">
        <f t="shared" si="196"/>
        <v>3670_1</v>
      </c>
      <c r="BI156" s="21"/>
      <c r="BJ156" s="21" t="str">
        <f t="shared" si="197"/>
        <v>100000003670</v>
      </c>
      <c r="BK156" s="16" t="s">
        <v>51</v>
      </c>
      <c r="BL156" s="16" t="s">
        <v>54</v>
      </c>
      <c r="BM156" s="20" t="s">
        <v>769</v>
      </c>
      <c r="BN156" s="16" t="s">
        <v>51</v>
      </c>
      <c r="BO156" s="20" t="str">
        <f t="shared" si="198"/>
        <v>S05S3670</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GAS_ENQ_NO-3670</v>
      </c>
      <c r="CK156" s="7" t="s">
        <v>779</v>
      </c>
      <c r="CL156" s="7" t="s">
        <v>391</v>
      </c>
      <c r="CM156" s="7" t="s">
        <v>391</v>
      </c>
      <c r="CN156" s="6" t="s">
        <v>780</v>
      </c>
      <c r="CO156" s="6" t="str">
        <f t="shared" si="200"/>
        <v>GAS_JOB_ID-3670</v>
      </c>
      <c r="CP156" s="7"/>
      <c r="CQ156" s="6" t="str">
        <f t="shared" si="201"/>
        <v>100003670</v>
      </c>
      <c r="CR156" s="6" t="s">
        <v>154</v>
      </c>
      <c r="CS156" s="7" t="s">
        <v>51</v>
      </c>
      <c r="CT156" s="27" t="str">
        <f t="shared" si="202"/>
        <v>GMETER3670</v>
      </c>
      <c r="CU156" s="6" t="s">
        <v>161</v>
      </c>
      <c r="CV156" s="7" t="s">
        <v>165</v>
      </c>
      <c r="CW156" s="7" t="s">
        <v>772</v>
      </c>
      <c r="CX156" s="7"/>
      <c r="CY156" s="7"/>
      <c r="CZ156" s="7" t="s">
        <v>394</v>
      </c>
      <c r="DA156" s="7" t="s">
        <v>395</v>
      </c>
      <c r="DB156" s="6" t="str">
        <f t="shared" si="163"/>
        <v>GAS_INST_ID-3670</v>
      </c>
      <c r="DC156" s="7" t="s">
        <v>161</v>
      </c>
      <c r="DD156" s="7"/>
      <c r="DE156" s="7" t="s">
        <v>51</v>
      </c>
      <c r="DF156" s="7" t="s">
        <v>264</v>
      </c>
      <c r="DG156" s="7"/>
      <c r="DH156" s="7" t="s">
        <v>397</v>
      </c>
      <c r="DI156" s="7" t="s">
        <v>399</v>
      </c>
      <c r="DJ156" s="10" t="s">
        <v>778</v>
      </c>
      <c r="DK156" s="7" t="s">
        <v>140</v>
      </c>
      <c r="DL156" s="40"/>
      <c r="DM156" s="40"/>
      <c r="DN156" s="38" t="str">
        <f t="shared" si="164"/>
        <v>DS_Pass-3670</v>
      </c>
      <c r="DO156" s="40"/>
      <c r="DP156" s="40"/>
      <c r="DQ156" s="40"/>
      <c r="DR156" s="41"/>
      <c r="DS156" s="41"/>
      <c r="DT156" s="40"/>
      <c r="DU156" s="40"/>
      <c r="DV156" s="40"/>
      <c r="DW156" s="41"/>
      <c r="DX156" s="40"/>
      <c r="DY156" s="40"/>
      <c r="DZ156" s="37" t="s">
        <v>777</v>
      </c>
      <c r="EA156" s="39"/>
      <c r="EB156" s="37"/>
      <c r="EC156" s="37"/>
      <c r="ED156" s="16"/>
      <c r="EE156" s="1"/>
      <c r="EF156" s="54"/>
    </row>
    <row r="157" spans="1:136" x14ac:dyDescent="0.2">
      <c r="A157" s="209" t="s">
        <v>927</v>
      </c>
      <c r="B157" s="209" t="s">
        <v>868</v>
      </c>
      <c r="C157" s="209" t="s">
        <v>865</v>
      </c>
      <c r="D157" s="13">
        <f>'Run Parameters'!$B$1 + ROW()-1</f>
        <v>3671</v>
      </c>
      <c r="E157" s="15" t="s">
        <v>47</v>
      </c>
      <c r="F157" s="18" t="s">
        <v>816</v>
      </c>
      <c r="G157" s="13" t="str">
        <f t="shared" si="182"/>
        <v>Access Dtls-3671</v>
      </c>
      <c r="H157" s="15" t="s">
        <v>275</v>
      </c>
      <c r="I157" s="13" t="str">
        <f>("MR. Test_148_FLTY17_"&amp;D157&amp;"")</f>
        <v>MR. Test_148_FLTY17_3671</v>
      </c>
      <c r="J157" s="18"/>
      <c r="K157" s="19" t="s">
        <v>425</v>
      </c>
      <c r="L157" s="13" t="str">
        <f t="shared" si="183"/>
        <v>Cust. Ref-3671</v>
      </c>
      <c r="M157" s="15" t="s">
        <v>48</v>
      </c>
      <c r="N157" s="15" t="s">
        <v>425</v>
      </c>
      <c r="O157" s="13"/>
      <c r="P157" s="13" t="str">
        <f t="shared" si="184"/>
        <v>SN-3671</v>
      </c>
      <c r="Q157" s="13" t="str">
        <f t="shared" si="185"/>
        <v>SI-3671</v>
      </c>
      <c r="R157" s="13" t="str">
        <f t="shared" si="186"/>
        <v>SE-3671</v>
      </c>
      <c r="S157" s="53" t="str">
        <f t="shared" si="187"/>
        <v>Prev_RA-3671</v>
      </c>
      <c r="T157" s="53" t="str">
        <f t="shared" si="188"/>
        <v>Prev_Comms-3671</v>
      </c>
      <c r="U157" s="17" t="s">
        <v>75</v>
      </c>
      <c r="V157" s="15" t="s">
        <v>401</v>
      </c>
      <c r="W157" s="17" t="s">
        <v>75</v>
      </c>
      <c r="X157" s="15" t="s">
        <v>396</v>
      </c>
      <c r="Y157" s="13" t="str">
        <f t="shared" si="189"/>
        <v>Forward Add-3671</v>
      </c>
      <c r="Z157" s="15" t="s">
        <v>401</v>
      </c>
      <c r="AA157" s="133" t="str">
        <f>'Run Parameters'!$B$2</f>
        <v>2019-04-26 08:00</v>
      </c>
      <c r="AB157" s="213" t="str">
        <f>'Run Parameters'!B$3</f>
        <v>2019-04-26 18:00</v>
      </c>
      <c r="AC157" s="26">
        <f>('Run Parameters'!$B$2) - 7</f>
        <v>43574.333333333336</v>
      </c>
      <c r="AD157" s="17" t="s">
        <v>75</v>
      </c>
      <c r="AE157" s="18" t="str">
        <f t="shared" si="190"/>
        <v>LAST_METER-3671</v>
      </c>
      <c r="AF157" s="133" t="str">
        <f>'Run Parameters'!$B$2</f>
        <v>2019-04-26 08:00</v>
      </c>
      <c r="AG157" s="13" t="str">
        <f>'Run Parameters'!B$4</f>
        <v>AUTOTEST2</v>
      </c>
      <c r="AH157" s="53" t="str">
        <f t="shared" si="191"/>
        <v>Site_Contact_3671</v>
      </c>
      <c r="AI157" s="133" t="str">
        <f>'Run Parameters'!B$2</f>
        <v>2019-04-26 08:00</v>
      </c>
      <c r="AJ157" s="213" t="str">
        <f>'Run Parameters'!B$3</f>
        <v>2019-04-26 18:00</v>
      </c>
      <c r="AK157" s="13" t="s">
        <v>396</v>
      </c>
      <c r="AL157" s="53" t="str">
        <f t="shared" si="192"/>
        <v>011593671</v>
      </c>
      <c r="AM157" s="13" t="str">
        <f t="shared" si="193"/>
        <v>01153671</v>
      </c>
      <c r="AN157" s="15"/>
      <c r="AO157" s="51"/>
      <c r="AP157" s="13">
        <v>1</v>
      </c>
      <c r="AQ157" s="52" t="s">
        <v>49</v>
      </c>
      <c r="AR157" s="15"/>
      <c r="AS157" s="13"/>
      <c r="AT157" s="7" t="s">
        <v>774</v>
      </c>
      <c r="AU157" s="7"/>
      <c r="AV157" s="13">
        <f t="shared" si="194"/>
        <v>3671</v>
      </c>
      <c r="AW157" s="13" t="s">
        <v>775</v>
      </c>
      <c r="AX157" s="13" t="s">
        <v>420</v>
      </c>
      <c r="AY157" s="13" t="s">
        <v>421</v>
      </c>
      <c r="AZ157" s="15" t="s">
        <v>334</v>
      </c>
      <c r="BA157" s="14" t="s">
        <v>154</v>
      </c>
      <c r="BB157" s="21">
        <v>1</v>
      </c>
      <c r="BC157" s="20">
        <f t="shared" si="195"/>
        <v>3671</v>
      </c>
      <c r="BD157" s="16" t="s">
        <v>776</v>
      </c>
      <c r="BE157" s="16" t="s">
        <v>391</v>
      </c>
      <c r="BF157" s="16" t="s">
        <v>391</v>
      </c>
      <c r="BG157" s="20" t="s">
        <v>773</v>
      </c>
      <c r="BH157" s="20" t="str">
        <f t="shared" si="196"/>
        <v>3671_1</v>
      </c>
      <c r="BI157" s="21"/>
      <c r="BJ157" s="21" t="str">
        <f t="shared" si="197"/>
        <v>100000003671</v>
      </c>
      <c r="BK157" s="16" t="s">
        <v>51</v>
      </c>
      <c r="BL157" s="16" t="s">
        <v>54</v>
      </c>
      <c r="BM157" s="20" t="s">
        <v>769</v>
      </c>
      <c r="BN157" s="16" t="s">
        <v>51</v>
      </c>
      <c r="BO157" s="20" t="str">
        <f t="shared" si="198"/>
        <v>S05S3671</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GAS_ENQ_NO-3671</v>
      </c>
      <c r="CK157" s="7" t="s">
        <v>779</v>
      </c>
      <c r="CL157" s="7" t="s">
        <v>391</v>
      </c>
      <c r="CM157" s="7" t="s">
        <v>391</v>
      </c>
      <c r="CN157" s="6" t="s">
        <v>780</v>
      </c>
      <c r="CO157" s="6" t="str">
        <f t="shared" si="200"/>
        <v>GAS_JOB_ID-3671</v>
      </c>
      <c r="CP157" s="7"/>
      <c r="CQ157" s="6" t="str">
        <f t="shared" si="201"/>
        <v>100003671</v>
      </c>
      <c r="CR157" s="6" t="s">
        <v>154</v>
      </c>
      <c r="CS157" s="7" t="s">
        <v>51</v>
      </c>
      <c r="CT157" s="27" t="str">
        <f t="shared" si="202"/>
        <v>GMETER3671</v>
      </c>
      <c r="CU157" s="6" t="s">
        <v>161</v>
      </c>
      <c r="CV157" s="7" t="s">
        <v>165</v>
      </c>
      <c r="CW157" s="7" t="s">
        <v>772</v>
      </c>
      <c r="CX157" s="7"/>
      <c r="CY157" s="7"/>
      <c r="CZ157" s="7" t="s">
        <v>394</v>
      </c>
      <c r="DA157" s="7" t="s">
        <v>395</v>
      </c>
      <c r="DB157" s="6" t="str">
        <f t="shared" si="163"/>
        <v>GAS_INST_ID-3671</v>
      </c>
      <c r="DC157" s="7" t="s">
        <v>161</v>
      </c>
      <c r="DD157" s="7"/>
      <c r="DE157" s="7" t="s">
        <v>51</v>
      </c>
      <c r="DF157" s="7" t="s">
        <v>264</v>
      </c>
      <c r="DG157" s="7"/>
      <c r="DH157" s="7" t="s">
        <v>397</v>
      </c>
      <c r="DI157" s="7" t="s">
        <v>399</v>
      </c>
      <c r="DJ157" s="10" t="s">
        <v>778</v>
      </c>
      <c r="DK157" s="7" t="s">
        <v>140</v>
      </c>
      <c r="DL157" s="40"/>
      <c r="DM157" s="40"/>
      <c r="DN157" s="38" t="str">
        <f t="shared" si="164"/>
        <v>DS_Pass-3671</v>
      </c>
      <c r="DO157" s="40"/>
      <c r="DP157" s="40"/>
      <c r="DQ157" s="40"/>
      <c r="DR157" s="41"/>
      <c r="DS157" s="41"/>
      <c r="DT157" s="40"/>
      <c r="DU157" s="40"/>
      <c r="DV157" s="40"/>
      <c r="DW157" s="41"/>
      <c r="DX157" s="40"/>
      <c r="DY157" s="40"/>
      <c r="DZ157" s="37" t="s">
        <v>777</v>
      </c>
      <c r="EA157" s="39"/>
      <c r="EB157" s="37"/>
      <c r="EC157" s="37"/>
      <c r="ED157" s="16"/>
      <c r="EE157" s="1"/>
      <c r="EF157" s="54"/>
    </row>
    <row r="158" spans="1:136" x14ac:dyDescent="0.2">
      <c r="A158" s="209" t="s">
        <v>928</v>
      </c>
      <c r="B158" s="209" t="s">
        <v>892</v>
      </c>
      <c r="C158" s="209" t="s">
        <v>865</v>
      </c>
      <c r="D158" s="13">
        <f>'Run Parameters'!$B$1 + ROW()-1</f>
        <v>3672</v>
      </c>
      <c r="E158" s="15" t="s">
        <v>47</v>
      </c>
      <c r="F158" s="18" t="s">
        <v>816</v>
      </c>
      <c r="G158" s="13" t="str">
        <f t="shared" si="182"/>
        <v>Access Dtls-3672</v>
      </c>
      <c r="H158" s="15" t="s">
        <v>275</v>
      </c>
      <c r="I158" s="13" t="str">
        <f>("MR. Test_149_FLTY17_"&amp;D158&amp;"")</f>
        <v>MR. Test_149_FLTY17_3672</v>
      </c>
      <c r="J158" s="18"/>
      <c r="K158" s="19" t="s">
        <v>425</v>
      </c>
      <c r="L158" s="13" t="str">
        <f t="shared" si="183"/>
        <v>Cust. Ref-3672</v>
      </c>
      <c r="M158" s="15" t="s">
        <v>48</v>
      </c>
      <c r="N158" s="15" t="s">
        <v>425</v>
      </c>
      <c r="O158" s="13"/>
      <c r="P158" s="13" t="str">
        <f t="shared" si="184"/>
        <v>SN-3672</v>
      </c>
      <c r="Q158" s="13" t="str">
        <f t="shared" si="185"/>
        <v>SI-3672</v>
      </c>
      <c r="R158" s="13" t="str">
        <f t="shared" si="186"/>
        <v>SE-3672</v>
      </c>
      <c r="S158" s="53" t="str">
        <f t="shared" si="187"/>
        <v>Prev_RA-3672</v>
      </c>
      <c r="T158" s="53" t="str">
        <f t="shared" si="188"/>
        <v>Prev_Comms-3672</v>
      </c>
      <c r="U158" s="17" t="s">
        <v>75</v>
      </c>
      <c r="V158" s="15" t="s">
        <v>401</v>
      </c>
      <c r="W158" s="17" t="s">
        <v>75</v>
      </c>
      <c r="X158" s="15" t="s">
        <v>396</v>
      </c>
      <c r="Y158" s="13" t="str">
        <f t="shared" si="189"/>
        <v>Forward Add-3672</v>
      </c>
      <c r="Z158" s="15" t="s">
        <v>401</v>
      </c>
      <c r="AA158" s="133" t="str">
        <f>'Run Parameters'!$B$2</f>
        <v>2019-04-26 08:00</v>
      </c>
      <c r="AB158" s="213" t="str">
        <f>'Run Parameters'!B$3</f>
        <v>2019-04-26 18:00</v>
      </c>
      <c r="AC158" s="26">
        <f>('Run Parameters'!$B$2) - 7</f>
        <v>43574.333333333336</v>
      </c>
      <c r="AD158" s="17" t="s">
        <v>75</v>
      </c>
      <c r="AE158" s="18" t="str">
        <f t="shared" si="190"/>
        <v>LAST_METER-3672</v>
      </c>
      <c r="AF158" s="133" t="str">
        <f>'Run Parameters'!$B$2</f>
        <v>2019-04-26 08:00</v>
      </c>
      <c r="AG158" s="13" t="str">
        <f>'Run Parameters'!B$4</f>
        <v>AUTOTEST2</v>
      </c>
      <c r="AH158" s="53" t="str">
        <f t="shared" si="191"/>
        <v>Site_Contact_3672</v>
      </c>
      <c r="AI158" s="133" t="str">
        <f>'Run Parameters'!B$2</f>
        <v>2019-04-26 08:00</v>
      </c>
      <c r="AJ158" s="213" t="str">
        <f>'Run Parameters'!B$3</f>
        <v>2019-04-26 18:00</v>
      </c>
      <c r="AK158" s="13" t="s">
        <v>396</v>
      </c>
      <c r="AL158" s="53" t="str">
        <f t="shared" si="192"/>
        <v>011593672</v>
      </c>
      <c r="AM158" s="13" t="str">
        <f t="shared" si="193"/>
        <v>01153672</v>
      </c>
      <c r="AN158" s="15"/>
      <c r="AO158" s="51"/>
      <c r="AP158" s="13">
        <v>1</v>
      </c>
      <c r="AQ158" s="52" t="s">
        <v>49</v>
      </c>
      <c r="AR158" s="15"/>
      <c r="AS158" s="13"/>
      <c r="AT158" s="7" t="s">
        <v>774</v>
      </c>
      <c r="AU158" s="7"/>
      <c r="AV158" s="13">
        <f t="shared" si="194"/>
        <v>3672</v>
      </c>
      <c r="AW158" s="13" t="s">
        <v>775</v>
      </c>
      <c r="AX158" s="13" t="s">
        <v>420</v>
      </c>
      <c r="AY158" s="13" t="s">
        <v>421</v>
      </c>
      <c r="AZ158" s="15" t="s">
        <v>334</v>
      </c>
      <c r="BA158" s="14" t="s">
        <v>154</v>
      </c>
      <c r="BB158" s="21">
        <v>1</v>
      </c>
      <c r="BC158" s="20">
        <f t="shared" si="195"/>
        <v>3672</v>
      </c>
      <c r="BD158" s="16" t="s">
        <v>776</v>
      </c>
      <c r="BE158" s="16" t="s">
        <v>391</v>
      </c>
      <c r="BF158" s="16" t="s">
        <v>391</v>
      </c>
      <c r="BG158" s="20" t="s">
        <v>773</v>
      </c>
      <c r="BH158" s="20" t="str">
        <f t="shared" si="196"/>
        <v>3672_1</v>
      </c>
      <c r="BI158" s="21"/>
      <c r="BJ158" s="21" t="str">
        <f t="shared" si="197"/>
        <v>100000003672</v>
      </c>
      <c r="BK158" s="16" t="s">
        <v>51</v>
      </c>
      <c r="BL158" s="16" t="s">
        <v>54</v>
      </c>
      <c r="BM158" s="20" t="s">
        <v>769</v>
      </c>
      <c r="BN158" s="16" t="s">
        <v>51</v>
      </c>
      <c r="BO158" s="20" t="str">
        <f t="shared" si="198"/>
        <v>S05S3672</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GAS_ENQ_NO-3672</v>
      </c>
      <c r="CK158" s="7" t="s">
        <v>779</v>
      </c>
      <c r="CL158" s="7" t="s">
        <v>391</v>
      </c>
      <c r="CM158" s="7" t="s">
        <v>391</v>
      </c>
      <c r="CN158" s="6" t="s">
        <v>780</v>
      </c>
      <c r="CO158" s="6" t="str">
        <f t="shared" si="200"/>
        <v>GAS_JOB_ID-3672</v>
      </c>
      <c r="CP158" s="7"/>
      <c r="CQ158" s="6" t="str">
        <f t="shared" si="201"/>
        <v>100003672</v>
      </c>
      <c r="CR158" s="6" t="s">
        <v>154</v>
      </c>
      <c r="CS158" s="7" t="s">
        <v>51</v>
      </c>
      <c r="CT158" s="27" t="str">
        <f t="shared" si="202"/>
        <v>GMETER3672</v>
      </c>
      <c r="CU158" s="6" t="s">
        <v>161</v>
      </c>
      <c r="CV158" s="7" t="s">
        <v>165</v>
      </c>
      <c r="CW158" s="7" t="s">
        <v>772</v>
      </c>
      <c r="CX158" s="7"/>
      <c r="CY158" s="7"/>
      <c r="CZ158" s="7" t="s">
        <v>394</v>
      </c>
      <c r="DA158" s="7" t="s">
        <v>395</v>
      </c>
      <c r="DB158" s="6" t="str">
        <f t="shared" si="163"/>
        <v>GAS_INST_ID-3672</v>
      </c>
      <c r="DC158" s="7" t="s">
        <v>161</v>
      </c>
      <c r="DD158" s="7"/>
      <c r="DE158" s="7" t="s">
        <v>51</v>
      </c>
      <c r="DF158" s="7" t="s">
        <v>264</v>
      </c>
      <c r="DG158" s="7"/>
      <c r="DH158" s="7" t="s">
        <v>397</v>
      </c>
      <c r="DI158" s="7" t="s">
        <v>399</v>
      </c>
      <c r="DJ158" s="10" t="s">
        <v>778</v>
      </c>
      <c r="DK158" s="7" t="s">
        <v>140</v>
      </c>
      <c r="DL158" s="40"/>
      <c r="DM158" s="40"/>
      <c r="DN158" s="38" t="str">
        <f t="shared" si="164"/>
        <v>DS_Pass-3672</v>
      </c>
      <c r="DO158" s="40"/>
      <c r="DP158" s="40"/>
      <c r="DQ158" s="40"/>
      <c r="DR158" s="41"/>
      <c r="DS158" s="41"/>
      <c r="DT158" s="40"/>
      <c r="DU158" s="40"/>
      <c r="DV158" s="40"/>
      <c r="DW158" s="41"/>
      <c r="DX158" s="40"/>
      <c r="DY158" s="40"/>
      <c r="DZ158" s="37" t="s">
        <v>777</v>
      </c>
      <c r="EA158" s="39"/>
      <c r="EB158" s="37"/>
      <c r="EC158" s="37"/>
      <c r="ED158" s="16"/>
      <c r="EE158" s="1"/>
      <c r="EF158" s="54"/>
    </row>
    <row r="159" spans="1:136" x14ac:dyDescent="0.2">
      <c r="A159" s="209" t="s">
        <v>929</v>
      </c>
      <c r="B159" s="209" t="s">
        <v>868</v>
      </c>
      <c r="C159" s="209" t="s">
        <v>865</v>
      </c>
      <c r="D159" s="13">
        <f>'Run Parameters'!$B$1 + ROW()-1</f>
        <v>3673</v>
      </c>
      <c r="E159" s="15" t="s">
        <v>47</v>
      </c>
      <c r="F159" s="18" t="s">
        <v>816</v>
      </c>
      <c r="G159" s="13" t="str">
        <f t="shared" si="182"/>
        <v>Access Dtls-3673</v>
      </c>
      <c r="H159" s="15" t="s">
        <v>275</v>
      </c>
      <c r="I159" s="13" t="str">
        <f>("MR. Test_150_FLTY17_"&amp;D159&amp;"")</f>
        <v>MR. Test_150_FLTY17_3673</v>
      </c>
      <c r="J159" s="18"/>
      <c r="K159" s="19" t="s">
        <v>425</v>
      </c>
      <c r="L159" s="13" t="str">
        <f t="shared" si="183"/>
        <v>Cust. Ref-3673</v>
      </c>
      <c r="M159" s="15" t="s">
        <v>48</v>
      </c>
      <c r="N159" s="15" t="s">
        <v>425</v>
      </c>
      <c r="O159" s="13"/>
      <c r="P159" s="13" t="str">
        <f t="shared" si="184"/>
        <v>SN-3673</v>
      </c>
      <c r="Q159" s="13" t="str">
        <f t="shared" si="185"/>
        <v>SI-3673</v>
      </c>
      <c r="R159" s="13" t="str">
        <f t="shared" si="186"/>
        <v>SE-3673</v>
      </c>
      <c r="S159" s="53" t="str">
        <f t="shared" si="187"/>
        <v>Prev_RA-3673</v>
      </c>
      <c r="T159" s="53" t="str">
        <f t="shared" si="188"/>
        <v>Prev_Comms-3673</v>
      </c>
      <c r="U159" s="17" t="s">
        <v>75</v>
      </c>
      <c r="V159" s="15" t="s">
        <v>401</v>
      </c>
      <c r="W159" s="17" t="s">
        <v>75</v>
      </c>
      <c r="X159" s="15" t="s">
        <v>396</v>
      </c>
      <c r="Y159" s="13" t="str">
        <f t="shared" si="189"/>
        <v>Forward Add-3673</v>
      </c>
      <c r="Z159" s="15" t="s">
        <v>401</v>
      </c>
      <c r="AA159" s="133" t="str">
        <f>'Run Parameters'!$B$2</f>
        <v>2019-04-26 08:00</v>
      </c>
      <c r="AB159" s="213" t="str">
        <f>'Run Parameters'!B$3</f>
        <v>2019-04-26 18:00</v>
      </c>
      <c r="AC159" s="26">
        <f>('Run Parameters'!$B$2) - 7</f>
        <v>43574.333333333336</v>
      </c>
      <c r="AD159" s="17" t="s">
        <v>75</v>
      </c>
      <c r="AE159" s="18" t="str">
        <f t="shared" si="190"/>
        <v>LAST_METER-3673</v>
      </c>
      <c r="AF159" s="133" t="str">
        <f>'Run Parameters'!$B$2</f>
        <v>2019-04-26 08:00</v>
      </c>
      <c r="AG159" s="13" t="str">
        <f>'Run Parameters'!B$4</f>
        <v>AUTOTEST2</v>
      </c>
      <c r="AH159" s="53" t="str">
        <f t="shared" si="191"/>
        <v>Site_Contact_3673</v>
      </c>
      <c r="AI159" s="133" t="str">
        <f>'Run Parameters'!B$2</f>
        <v>2019-04-26 08:00</v>
      </c>
      <c r="AJ159" s="213" t="str">
        <f>'Run Parameters'!B$3</f>
        <v>2019-04-26 18:00</v>
      </c>
      <c r="AK159" s="13" t="s">
        <v>396</v>
      </c>
      <c r="AL159" s="53" t="str">
        <f t="shared" si="192"/>
        <v>011593673</v>
      </c>
      <c r="AM159" s="13" t="str">
        <f t="shared" si="193"/>
        <v>01153673</v>
      </c>
      <c r="AN159" s="15"/>
      <c r="AO159" s="51"/>
      <c r="AP159" s="13">
        <v>1</v>
      </c>
      <c r="AQ159" s="52" t="s">
        <v>49</v>
      </c>
      <c r="AR159" s="15"/>
      <c r="AS159" s="13"/>
      <c r="AT159" s="7" t="s">
        <v>774</v>
      </c>
      <c r="AU159" s="7"/>
      <c r="AV159" s="13">
        <f t="shared" si="194"/>
        <v>3673</v>
      </c>
      <c r="AW159" s="13" t="s">
        <v>775</v>
      </c>
      <c r="AX159" s="13" t="s">
        <v>420</v>
      </c>
      <c r="AY159" s="13" t="s">
        <v>421</v>
      </c>
      <c r="AZ159" s="15" t="s">
        <v>334</v>
      </c>
      <c r="BA159" s="14" t="s">
        <v>154</v>
      </c>
      <c r="BB159" s="21">
        <v>1</v>
      </c>
      <c r="BC159" s="20">
        <f t="shared" si="195"/>
        <v>3673</v>
      </c>
      <c r="BD159" s="16" t="s">
        <v>776</v>
      </c>
      <c r="BE159" s="16" t="s">
        <v>391</v>
      </c>
      <c r="BF159" s="16" t="s">
        <v>391</v>
      </c>
      <c r="BG159" s="20" t="s">
        <v>773</v>
      </c>
      <c r="BH159" s="20" t="str">
        <f t="shared" si="196"/>
        <v>3673_1</v>
      </c>
      <c r="BI159" s="21"/>
      <c r="BJ159" s="21" t="str">
        <f t="shared" si="197"/>
        <v>100000003673</v>
      </c>
      <c r="BK159" s="16" t="s">
        <v>51</v>
      </c>
      <c r="BL159" s="16" t="s">
        <v>54</v>
      </c>
      <c r="BM159" s="20" t="s">
        <v>769</v>
      </c>
      <c r="BN159" s="16" t="s">
        <v>51</v>
      </c>
      <c r="BO159" s="20" t="str">
        <f t="shared" si="198"/>
        <v>S05S3673</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GAS_ENQ_NO-3673</v>
      </c>
      <c r="CK159" s="7" t="s">
        <v>779</v>
      </c>
      <c r="CL159" s="7" t="s">
        <v>391</v>
      </c>
      <c r="CM159" s="7" t="s">
        <v>391</v>
      </c>
      <c r="CN159" s="6" t="s">
        <v>780</v>
      </c>
      <c r="CO159" s="6" t="str">
        <f t="shared" si="200"/>
        <v>GAS_JOB_ID-3673</v>
      </c>
      <c r="CP159" s="7"/>
      <c r="CQ159" s="6" t="str">
        <f t="shared" si="201"/>
        <v>100003673</v>
      </c>
      <c r="CR159" s="6" t="s">
        <v>154</v>
      </c>
      <c r="CS159" s="7" t="s">
        <v>51</v>
      </c>
      <c r="CT159" s="27" t="str">
        <f t="shared" si="202"/>
        <v>GMETER3673</v>
      </c>
      <c r="CU159" s="6" t="s">
        <v>161</v>
      </c>
      <c r="CV159" s="7" t="s">
        <v>165</v>
      </c>
      <c r="CW159" s="7" t="s">
        <v>772</v>
      </c>
      <c r="CX159" s="7"/>
      <c r="CY159" s="7"/>
      <c r="CZ159" s="7" t="s">
        <v>394</v>
      </c>
      <c r="DA159" s="7" t="s">
        <v>395</v>
      </c>
      <c r="DB159" s="6" t="str">
        <f t="shared" si="163"/>
        <v>GAS_INST_ID-3673</v>
      </c>
      <c r="DC159" s="7" t="s">
        <v>161</v>
      </c>
      <c r="DD159" s="7"/>
      <c r="DE159" s="7" t="s">
        <v>51</v>
      </c>
      <c r="DF159" s="7" t="s">
        <v>264</v>
      </c>
      <c r="DG159" s="7"/>
      <c r="DH159" s="7" t="s">
        <v>397</v>
      </c>
      <c r="DI159" s="7" t="s">
        <v>399</v>
      </c>
      <c r="DJ159" s="10" t="s">
        <v>778</v>
      </c>
      <c r="DK159" s="7" t="s">
        <v>140</v>
      </c>
      <c r="DL159" s="40"/>
      <c r="DM159" s="40"/>
      <c r="DN159" s="38" t="str">
        <f t="shared" si="164"/>
        <v>DS_Pass-3673</v>
      </c>
      <c r="DO159" s="40"/>
      <c r="DP159" s="40"/>
      <c r="DQ159" s="40"/>
      <c r="DR159" s="41"/>
      <c r="DS159" s="41"/>
      <c r="DT159" s="40"/>
      <c r="DU159" s="40"/>
      <c r="DV159" s="40"/>
      <c r="DW159" s="41"/>
      <c r="DX159" s="40"/>
      <c r="DY159" s="40"/>
      <c r="DZ159" s="37" t="s">
        <v>777</v>
      </c>
      <c r="EA159" s="39"/>
      <c r="EB159" s="37"/>
      <c r="EC159" s="37"/>
      <c r="ED159" s="16"/>
      <c r="EE159" s="1"/>
      <c r="EF159" s="54"/>
    </row>
    <row r="160" spans="1:136" x14ac:dyDescent="0.2">
      <c r="A160" s="209" t="s">
        <v>930</v>
      </c>
      <c r="B160" s="209" t="s">
        <v>892</v>
      </c>
      <c r="C160" s="209" t="s">
        <v>865</v>
      </c>
      <c r="D160" s="13">
        <f>'Run Parameters'!$B$1 + ROW()-1</f>
        <v>3674</v>
      </c>
      <c r="E160" s="15" t="s">
        <v>47</v>
      </c>
      <c r="F160" s="18" t="s">
        <v>816</v>
      </c>
      <c r="G160" s="13" t="str">
        <f t="shared" si="182"/>
        <v>Access Dtls-3674</v>
      </c>
      <c r="H160" s="15" t="s">
        <v>275</v>
      </c>
      <c r="I160" s="13" t="str">
        <f>("MR. Test_151_FLTY17_"&amp;D160&amp;"")</f>
        <v>MR. Test_151_FLTY17_3674</v>
      </c>
      <c r="J160" s="18"/>
      <c r="K160" s="19" t="s">
        <v>425</v>
      </c>
      <c r="L160" s="13" t="str">
        <f t="shared" si="183"/>
        <v>Cust. Ref-3674</v>
      </c>
      <c r="M160" s="15" t="s">
        <v>48</v>
      </c>
      <c r="N160" s="15" t="s">
        <v>425</v>
      </c>
      <c r="O160" s="13"/>
      <c r="P160" s="13" t="str">
        <f t="shared" si="184"/>
        <v>SN-3674</v>
      </c>
      <c r="Q160" s="13" t="str">
        <f t="shared" si="185"/>
        <v>SI-3674</v>
      </c>
      <c r="R160" s="13" t="str">
        <f t="shared" si="186"/>
        <v>SE-3674</v>
      </c>
      <c r="S160" s="53" t="str">
        <f t="shared" si="187"/>
        <v>Prev_RA-3674</v>
      </c>
      <c r="T160" s="53" t="str">
        <f t="shared" si="188"/>
        <v>Prev_Comms-3674</v>
      </c>
      <c r="U160" s="17" t="s">
        <v>75</v>
      </c>
      <c r="V160" s="15" t="s">
        <v>401</v>
      </c>
      <c r="W160" s="17" t="s">
        <v>75</v>
      </c>
      <c r="X160" s="15" t="s">
        <v>396</v>
      </c>
      <c r="Y160" s="13" t="str">
        <f t="shared" si="189"/>
        <v>Forward Add-3674</v>
      </c>
      <c r="Z160" s="15" t="s">
        <v>401</v>
      </c>
      <c r="AA160" s="133" t="str">
        <f>'Run Parameters'!$B$2</f>
        <v>2019-04-26 08:00</v>
      </c>
      <c r="AB160" s="213" t="str">
        <f>'Run Parameters'!B$3</f>
        <v>2019-04-26 18:00</v>
      </c>
      <c r="AC160" s="26">
        <f>('Run Parameters'!$B$2) - 7</f>
        <v>43574.333333333336</v>
      </c>
      <c r="AD160" s="17" t="s">
        <v>75</v>
      </c>
      <c r="AE160" s="18" t="str">
        <f t="shared" si="190"/>
        <v>LAST_METER-3674</v>
      </c>
      <c r="AF160" s="133" t="str">
        <f>'Run Parameters'!$B$2</f>
        <v>2019-04-26 08:00</v>
      </c>
      <c r="AG160" s="13" t="str">
        <f>'Run Parameters'!B$4</f>
        <v>AUTOTEST2</v>
      </c>
      <c r="AH160" s="53" t="str">
        <f t="shared" si="191"/>
        <v>Site_Contact_3674</v>
      </c>
      <c r="AI160" s="133" t="str">
        <f>'Run Parameters'!B$2</f>
        <v>2019-04-26 08:00</v>
      </c>
      <c r="AJ160" s="213" t="str">
        <f>'Run Parameters'!B$3</f>
        <v>2019-04-26 18:00</v>
      </c>
      <c r="AK160" s="13" t="s">
        <v>396</v>
      </c>
      <c r="AL160" s="53" t="str">
        <f t="shared" si="192"/>
        <v>011593674</v>
      </c>
      <c r="AM160" s="13" t="str">
        <f t="shared" si="193"/>
        <v>01153674</v>
      </c>
      <c r="AN160" s="15"/>
      <c r="AO160" s="51"/>
      <c r="AP160" s="13">
        <v>1</v>
      </c>
      <c r="AQ160" s="52" t="s">
        <v>49</v>
      </c>
      <c r="AR160" s="15"/>
      <c r="AS160" s="13"/>
      <c r="AT160" s="7" t="s">
        <v>774</v>
      </c>
      <c r="AU160" s="7"/>
      <c r="AV160" s="13">
        <f t="shared" si="194"/>
        <v>3674</v>
      </c>
      <c r="AW160" s="13" t="s">
        <v>775</v>
      </c>
      <c r="AX160" s="13" t="s">
        <v>420</v>
      </c>
      <c r="AY160" s="13" t="s">
        <v>421</v>
      </c>
      <c r="AZ160" s="15" t="s">
        <v>334</v>
      </c>
      <c r="BA160" s="14" t="s">
        <v>154</v>
      </c>
      <c r="BB160" s="21">
        <v>1</v>
      </c>
      <c r="BC160" s="20">
        <f t="shared" si="195"/>
        <v>3674</v>
      </c>
      <c r="BD160" s="16" t="s">
        <v>776</v>
      </c>
      <c r="BE160" s="16" t="s">
        <v>391</v>
      </c>
      <c r="BF160" s="16" t="s">
        <v>391</v>
      </c>
      <c r="BG160" s="20" t="s">
        <v>773</v>
      </c>
      <c r="BH160" s="20" t="str">
        <f t="shared" si="196"/>
        <v>3674_1</v>
      </c>
      <c r="BI160" s="21"/>
      <c r="BJ160" s="21" t="str">
        <f t="shared" si="197"/>
        <v>100000003674</v>
      </c>
      <c r="BK160" s="16" t="s">
        <v>51</v>
      </c>
      <c r="BL160" s="16" t="s">
        <v>54</v>
      </c>
      <c r="BM160" s="20" t="s">
        <v>769</v>
      </c>
      <c r="BN160" s="16" t="s">
        <v>51</v>
      </c>
      <c r="BO160" s="20" t="str">
        <f t="shared" si="198"/>
        <v>S05S3674</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GAS_ENQ_NO-3674</v>
      </c>
      <c r="CK160" s="7" t="s">
        <v>779</v>
      </c>
      <c r="CL160" s="7" t="s">
        <v>391</v>
      </c>
      <c r="CM160" s="7" t="s">
        <v>391</v>
      </c>
      <c r="CN160" s="6" t="s">
        <v>780</v>
      </c>
      <c r="CO160" s="6" t="str">
        <f t="shared" si="200"/>
        <v>GAS_JOB_ID-3674</v>
      </c>
      <c r="CP160" s="7"/>
      <c r="CQ160" s="6" t="str">
        <f t="shared" si="201"/>
        <v>100003674</v>
      </c>
      <c r="CR160" s="6" t="s">
        <v>154</v>
      </c>
      <c r="CS160" s="7" t="s">
        <v>51</v>
      </c>
      <c r="CT160" s="27" t="str">
        <f t="shared" si="202"/>
        <v>GMETER3674</v>
      </c>
      <c r="CU160" s="6" t="s">
        <v>161</v>
      </c>
      <c r="CV160" s="7" t="s">
        <v>165</v>
      </c>
      <c r="CW160" s="7" t="s">
        <v>772</v>
      </c>
      <c r="CX160" s="7"/>
      <c r="CY160" s="7"/>
      <c r="CZ160" s="7" t="s">
        <v>394</v>
      </c>
      <c r="DA160" s="7" t="s">
        <v>395</v>
      </c>
      <c r="DB160" s="6" t="str">
        <f t="shared" si="163"/>
        <v>GAS_INST_ID-3674</v>
      </c>
      <c r="DC160" s="7" t="s">
        <v>161</v>
      </c>
      <c r="DD160" s="7"/>
      <c r="DE160" s="7" t="s">
        <v>51</v>
      </c>
      <c r="DF160" s="7" t="s">
        <v>264</v>
      </c>
      <c r="DG160" s="7"/>
      <c r="DH160" s="7" t="s">
        <v>397</v>
      </c>
      <c r="DI160" s="7" t="s">
        <v>399</v>
      </c>
      <c r="DJ160" s="10" t="s">
        <v>778</v>
      </c>
      <c r="DK160" s="7" t="s">
        <v>140</v>
      </c>
      <c r="DL160" s="40"/>
      <c r="DM160" s="40"/>
      <c r="DN160" s="38" t="str">
        <f t="shared" si="164"/>
        <v>DS_Pass-3674</v>
      </c>
      <c r="DO160" s="40"/>
      <c r="DP160" s="40"/>
      <c r="DQ160" s="40"/>
      <c r="DR160" s="41"/>
      <c r="DS160" s="41"/>
      <c r="DT160" s="40"/>
      <c r="DU160" s="40"/>
      <c r="DV160" s="40"/>
      <c r="DW160" s="41"/>
      <c r="DX160" s="40"/>
      <c r="DY160" s="40"/>
      <c r="DZ160" s="37" t="s">
        <v>777</v>
      </c>
      <c r="EA160" s="39"/>
      <c r="EB160" s="37"/>
      <c r="EC160" s="37"/>
      <c r="ED160" s="16"/>
      <c r="EE160" s="1"/>
      <c r="EF160" s="54"/>
    </row>
    <row r="161" spans="1:136" x14ac:dyDescent="0.2">
      <c r="A161" s="209" t="s">
        <v>931</v>
      </c>
      <c r="B161" s="209" t="s">
        <v>868</v>
      </c>
      <c r="C161" s="209" t="s">
        <v>865</v>
      </c>
      <c r="D161" s="13">
        <f>'Run Parameters'!$B$1 + ROW()-1</f>
        <v>3675</v>
      </c>
      <c r="E161" s="15" t="s">
        <v>47</v>
      </c>
      <c r="F161" s="18" t="s">
        <v>816</v>
      </c>
      <c r="G161" s="13" t="str">
        <f t="shared" si="182"/>
        <v>Access Dtls-3675</v>
      </c>
      <c r="H161" s="15" t="s">
        <v>275</v>
      </c>
      <c r="I161" s="13" t="str">
        <f>("MR. Test_152_FLTY17_"&amp;D161&amp;"")</f>
        <v>MR. Test_152_FLTY17_3675</v>
      </c>
      <c r="J161" s="18"/>
      <c r="K161" s="19" t="s">
        <v>425</v>
      </c>
      <c r="L161" s="13" t="str">
        <f t="shared" si="183"/>
        <v>Cust. Ref-3675</v>
      </c>
      <c r="M161" s="15" t="s">
        <v>48</v>
      </c>
      <c r="N161" s="15" t="s">
        <v>425</v>
      </c>
      <c r="O161" s="13"/>
      <c r="P161" s="13" t="str">
        <f t="shared" si="184"/>
        <v>SN-3675</v>
      </c>
      <c r="Q161" s="13" t="str">
        <f t="shared" si="185"/>
        <v>SI-3675</v>
      </c>
      <c r="R161" s="13" t="str">
        <f t="shared" si="186"/>
        <v>SE-3675</v>
      </c>
      <c r="S161" s="53" t="str">
        <f t="shared" si="187"/>
        <v>Prev_RA-3675</v>
      </c>
      <c r="T161" s="53" t="str">
        <f t="shared" si="188"/>
        <v>Prev_Comms-3675</v>
      </c>
      <c r="U161" s="17" t="s">
        <v>75</v>
      </c>
      <c r="V161" s="15" t="s">
        <v>401</v>
      </c>
      <c r="W161" s="17" t="s">
        <v>75</v>
      </c>
      <c r="X161" s="15" t="s">
        <v>396</v>
      </c>
      <c r="Y161" s="13" t="str">
        <f t="shared" si="189"/>
        <v>Forward Add-3675</v>
      </c>
      <c r="Z161" s="15" t="s">
        <v>401</v>
      </c>
      <c r="AA161" s="133" t="str">
        <f>'Run Parameters'!$B$2</f>
        <v>2019-04-26 08:00</v>
      </c>
      <c r="AB161" s="213" t="str">
        <f>'Run Parameters'!B$3</f>
        <v>2019-04-26 18:00</v>
      </c>
      <c r="AC161" s="26">
        <f>('Run Parameters'!$B$2) - 7</f>
        <v>43574.333333333336</v>
      </c>
      <c r="AD161" s="17" t="s">
        <v>75</v>
      </c>
      <c r="AE161" s="18" t="str">
        <f t="shared" si="190"/>
        <v>LAST_METER-3675</v>
      </c>
      <c r="AF161" s="133" t="str">
        <f>'Run Parameters'!$B$2</f>
        <v>2019-04-26 08:00</v>
      </c>
      <c r="AG161" s="13" t="str">
        <f>'Run Parameters'!B$4</f>
        <v>AUTOTEST2</v>
      </c>
      <c r="AH161" s="53" t="str">
        <f t="shared" si="191"/>
        <v>Site_Contact_3675</v>
      </c>
      <c r="AI161" s="133" t="str">
        <f>'Run Parameters'!B$2</f>
        <v>2019-04-26 08:00</v>
      </c>
      <c r="AJ161" s="213" t="str">
        <f>'Run Parameters'!B$3</f>
        <v>2019-04-26 18:00</v>
      </c>
      <c r="AK161" s="13" t="s">
        <v>396</v>
      </c>
      <c r="AL161" s="53" t="str">
        <f t="shared" si="192"/>
        <v>011593675</v>
      </c>
      <c r="AM161" s="13" t="str">
        <f t="shared" si="193"/>
        <v>01153675</v>
      </c>
      <c r="AN161" s="15"/>
      <c r="AO161" s="51"/>
      <c r="AP161" s="13">
        <v>1</v>
      </c>
      <c r="AQ161" s="52" t="s">
        <v>49</v>
      </c>
      <c r="AR161" s="15"/>
      <c r="AS161" s="13"/>
      <c r="AT161" s="7" t="s">
        <v>774</v>
      </c>
      <c r="AU161" s="7"/>
      <c r="AV161" s="13">
        <f t="shared" si="194"/>
        <v>3675</v>
      </c>
      <c r="AW161" s="13" t="s">
        <v>775</v>
      </c>
      <c r="AX161" s="13" t="s">
        <v>420</v>
      </c>
      <c r="AY161" s="13" t="s">
        <v>421</v>
      </c>
      <c r="AZ161" s="15" t="s">
        <v>334</v>
      </c>
      <c r="BA161" s="14" t="s">
        <v>154</v>
      </c>
      <c r="BB161" s="21">
        <v>1</v>
      </c>
      <c r="BC161" s="20">
        <f t="shared" si="195"/>
        <v>3675</v>
      </c>
      <c r="BD161" s="16" t="s">
        <v>776</v>
      </c>
      <c r="BE161" s="16" t="s">
        <v>391</v>
      </c>
      <c r="BF161" s="16" t="s">
        <v>391</v>
      </c>
      <c r="BG161" s="20" t="s">
        <v>773</v>
      </c>
      <c r="BH161" s="20" t="str">
        <f t="shared" si="196"/>
        <v>3675_1</v>
      </c>
      <c r="BI161" s="21"/>
      <c r="BJ161" s="21" t="str">
        <f t="shared" si="197"/>
        <v>100000003675</v>
      </c>
      <c r="BK161" s="16" t="s">
        <v>51</v>
      </c>
      <c r="BL161" s="16" t="s">
        <v>54</v>
      </c>
      <c r="BM161" s="20" t="s">
        <v>769</v>
      </c>
      <c r="BN161" s="16" t="s">
        <v>51</v>
      </c>
      <c r="BO161" s="20" t="str">
        <f t="shared" si="198"/>
        <v>S05S3675</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GAS_ENQ_NO-3675</v>
      </c>
      <c r="CK161" s="7" t="s">
        <v>779</v>
      </c>
      <c r="CL161" s="7" t="s">
        <v>391</v>
      </c>
      <c r="CM161" s="7" t="s">
        <v>391</v>
      </c>
      <c r="CN161" s="6" t="s">
        <v>780</v>
      </c>
      <c r="CO161" s="6" t="str">
        <f t="shared" si="200"/>
        <v>GAS_JOB_ID-3675</v>
      </c>
      <c r="CP161" s="7"/>
      <c r="CQ161" s="6" t="str">
        <f t="shared" si="201"/>
        <v>100003675</v>
      </c>
      <c r="CR161" s="6" t="s">
        <v>154</v>
      </c>
      <c r="CS161" s="7" t="s">
        <v>51</v>
      </c>
      <c r="CT161" s="27" t="str">
        <f t="shared" si="202"/>
        <v>GMETER3675</v>
      </c>
      <c r="CU161" s="6" t="s">
        <v>161</v>
      </c>
      <c r="CV161" s="7" t="s">
        <v>165</v>
      </c>
      <c r="CW161" s="7" t="s">
        <v>772</v>
      </c>
      <c r="CX161" s="7"/>
      <c r="CY161" s="7"/>
      <c r="CZ161" s="7" t="s">
        <v>394</v>
      </c>
      <c r="DA161" s="7" t="s">
        <v>395</v>
      </c>
      <c r="DB161" s="6" t="str">
        <f t="shared" si="163"/>
        <v>GAS_INST_ID-3675</v>
      </c>
      <c r="DC161" s="7" t="s">
        <v>161</v>
      </c>
      <c r="DD161" s="7"/>
      <c r="DE161" s="7" t="s">
        <v>51</v>
      </c>
      <c r="DF161" s="7" t="s">
        <v>264</v>
      </c>
      <c r="DG161" s="7"/>
      <c r="DH161" s="7" t="s">
        <v>397</v>
      </c>
      <c r="DI161" s="7" t="s">
        <v>399</v>
      </c>
      <c r="DJ161" s="10" t="s">
        <v>778</v>
      </c>
      <c r="DK161" s="7" t="s">
        <v>140</v>
      </c>
      <c r="DL161" s="40"/>
      <c r="DM161" s="40"/>
      <c r="DN161" s="38" t="str">
        <f t="shared" si="164"/>
        <v>DS_Pass-3675</v>
      </c>
      <c r="DO161" s="40"/>
      <c r="DP161" s="40"/>
      <c r="DQ161" s="40"/>
      <c r="DR161" s="41"/>
      <c r="DS161" s="41"/>
      <c r="DT161" s="40"/>
      <c r="DU161" s="40"/>
      <c r="DV161" s="40"/>
      <c r="DW161" s="41"/>
      <c r="DX161" s="40"/>
      <c r="DY161" s="40"/>
      <c r="DZ161" s="37" t="s">
        <v>777</v>
      </c>
      <c r="EA161" s="39"/>
      <c r="EB161" s="37"/>
      <c r="EC161" s="37"/>
      <c r="ED161" s="16"/>
      <c r="EE161" s="1"/>
      <c r="EF161" s="54"/>
    </row>
    <row r="162" spans="1:136" x14ac:dyDescent="0.2">
      <c r="A162" s="209" t="s">
        <v>932</v>
      </c>
      <c r="B162" s="209" t="s">
        <v>892</v>
      </c>
      <c r="C162" s="209" t="s">
        <v>865</v>
      </c>
      <c r="D162" s="13">
        <f>'Run Parameters'!$B$1 + ROW()-1</f>
        <v>3676</v>
      </c>
      <c r="E162" s="15" t="s">
        <v>47</v>
      </c>
      <c r="F162" s="18" t="s">
        <v>816</v>
      </c>
      <c r="G162" s="13" t="str">
        <f t="shared" si="182"/>
        <v>Access Dtls-3676</v>
      </c>
      <c r="H162" s="15" t="s">
        <v>275</v>
      </c>
      <c r="I162" s="13" t="str">
        <f>("MR. Test_153_FLTY17_"&amp;D162&amp;"")</f>
        <v>MR. Test_153_FLTY17_3676</v>
      </c>
      <c r="J162" s="18"/>
      <c r="K162" s="19" t="s">
        <v>425</v>
      </c>
      <c r="L162" s="13" t="str">
        <f t="shared" si="183"/>
        <v>Cust. Ref-3676</v>
      </c>
      <c r="M162" s="15" t="s">
        <v>48</v>
      </c>
      <c r="N162" s="15" t="s">
        <v>425</v>
      </c>
      <c r="O162" s="13"/>
      <c r="P162" s="13" t="str">
        <f t="shared" si="184"/>
        <v>SN-3676</v>
      </c>
      <c r="Q162" s="13" t="str">
        <f t="shared" si="185"/>
        <v>SI-3676</v>
      </c>
      <c r="R162" s="13" t="str">
        <f t="shared" si="186"/>
        <v>SE-3676</v>
      </c>
      <c r="S162" s="53" t="str">
        <f t="shared" si="187"/>
        <v>Prev_RA-3676</v>
      </c>
      <c r="T162" s="53" t="str">
        <f t="shared" si="188"/>
        <v>Prev_Comms-3676</v>
      </c>
      <c r="U162" s="17" t="s">
        <v>75</v>
      </c>
      <c r="V162" s="15" t="s">
        <v>401</v>
      </c>
      <c r="W162" s="17" t="s">
        <v>75</v>
      </c>
      <c r="X162" s="15" t="s">
        <v>396</v>
      </c>
      <c r="Y162" s="13" t="str">
        <f t="shared" si="189"/>
        <v>Forward Add-3676</v>
      </c>
      <c r="Z162" s="15" t="s">
        <v>401</v>
      </c>
      <c r="AA162" s="133" t="str">
        <f>'Run Parameters'!$B$2</f>
        <v>2019-04-26 08:00</v>
      </c>
      <c r="AB162" s="213" t="str">
        <f>'Run Parameters'!B$3</f>
        <v>2019-04-26 18:00</v>
      </c>
      <c r="AC162" s="26">
        <f>('Run Parameters'!$B$2) - 7</f>
        <v>43574.333333333336</v>
      </c>
      <c r="AD162" s="17" t="s">
        <v>75</v>
      </c>
      <c r="AE162" s="18" t="str">
        <f t="shared" si="190"/>
        <v>LAST_METER-3676</v>
      </c>
      <c r="AF162" s="133" t="str">
        <f>'Run Parameters'!$B$2</f>
        <v>2019-04-26 08:00</v>
      </c>
      <c r="AG162" s="13" t="str">
        <f>'Run Parameters'!B$4</f>
        <v>AUTOTEST2</v>
      </c>
      <c r="AH162" s="53" t="str">
        <f t="shared" si="191"/>
        <v>Site_Contact_3676</v>
      </c>
      <c r="AI162" s="133" t="str">
        <f>'Run Parameters'!B$2</f>
        <v>2019-04-26 08:00</v>
      </c>
      <c r="AJ162" s="213" t="str">
        <f>'Run Parameters'!B$3</f>
        <v>2019-04-26 18:00</v>
      </c>
      <c r="AK162" s="13" t="s">
        <v>396</v>
      </c>
      <c r="AL162" s="53" t="str">
        <f t="shared" si="192"/>
        <v>011593676</v>
      </c>
      <c r="AM162" s="13" t="str">
        <f t="shared" si="193"/>
        <v>01153676</v>
      </c>
      <c r="AN162" s="15"/>
      <c r="AO162" s="51"/>
      <c r="AP162" s="13">
        <v>1</v>
      </c>
      <c r="AQ162" s="52" t="s">
        <v>49</v>
      </c>
      <c r="AR162" s="15"/>
      <c r="AS162" s="13"/>
      <c r="AT162" s="7" t="s">
        <v>774</v>
      </c>
      <c r="AU162" s="7"/>
      <c r="AV162" s="13">
        <f t="shared" si="194"/>
        <v>3676</v>
      </c>
      <c r="AW162" s="13" t="s">
        <v>775</v>
      </c>
      <c r="AX162" s="13" t="s">
        <v>420</v>
      </c>
      <c r="AY162" s="13" t="s">
        <v>421</v>
      </c>
      <c r="AZ162" s="15" t="s">
        <v>334</v>
      </c>
      <c r="BA162" s="14" t="s">
        <v>154</v>
      </c>
      <c r="BB162" s="21">
        <v>1</v>
      </c>
      <c r="BC162" s="20">
        <f t="shared" si="195"/>
        <v>3676</v>
      </c>
      <c r="BD162" s="16" t="s">
        <v>776</v>
      </c>
      <c r="BE162" s="16" t="s">
        <v>391</v>
      </c>
      <c r="BF162" s="16" t="s">
        <v>391</v>
      </c>
      <c r="BG162" s="20" t="s">
        <v>773</v>
      </c>
      <c r="BH162" s="20" t="str">
        <f t="shared" si="196"/>
        <v>3676_1</v>
      </c>
      <c r="BI162" s="21"/>
      <c r="BJ162" s="21" t="str">
        <f t="shared" si="197"/>
        <v>100000003676</v>
      </c>
      <c r="BK162" s="16" t="s">
        <v>51</v>
      </c>
      <c r="BL162" s="16" t="s">
        <v>54</v>
      </c>
      <c r="BM162" s="20" t="s">
        <v>769</v>
      </c>
      <c r="BN162" s="16" t="s">
        <v>51</v>
      </c>
      <c r="BO162" s="20" t="str">
        <f t="shared" si="198"/>
        <v>S05S3676</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GAS_ENQ_NO-3676</v>
      </c>
      <c r="CK162" s="7" t="s">
        <v>779</v>
      </c>
      <c r="CL162" s="7" t="s">
        <v>391</v>
      </c>
      <c r="CM162" s="7" t="s">
        <v>391</v>
      </c>
      <c r="CN162" s="6" t="s">
        <v>780</v>
      </c>
      <c r="CO162" s="6" t="str">
        <f t="shared" si="200"/>
        <v>GAS_JOB_ID-3676</v>
      </c>
      <c r="CP162" s="7"/>
      <c r="CQ162" s="6" t="str">
        <f t="shared" si="201"/>
        <v>100003676</v>
      </c>
      <c r="CR162" s="6" t="s">
        <v>154</v>
      </c>
      <c r="CS162" s="7" t="s">
        <v>51</v>
      </c>
      <c r="CT162" s="27" t="str">
        <f t="shared" si="202"/>
        <v>GMETER3676</v>
      </c>
      <c r="CU162" s="6" t="s">
        <v>161</v>
      </c>
      <c r="CV162" s="7" t="s">
        <v>165</v>
      </c>
      <c r="CW162" s="7" t="s">
        <v>772</v>
      </c>
      <c r="CX162" s="7"/>
      <c r="CY162" s="7"/>
      <c r="CZ162" s="7" t="s">
        <v>394</v>
      </c>
      <c r="DA162" s="7" t="s">
        <v>395</v>
      </c>
      <c r="DB162" s="6" t="str">
        <f t="shared" si="163"/>
        <v>GAS_INST_ID-3676</v>
      </c>
      <c r="DC162" s="7" t="s">
        <v>161</v>
      </c>
      <c r="DD162" s="7"/>
      <c r="DE162" s="7" t="s">
        <v>51</v>
      </c>
      <c r="DF162" s="7" t="s">
        <v>264</v>
      </c>
      <c r="DG162" s="7"/>
      <c r="DH162" s="7" t="s">
        <v>397</v>
      </c>
      <c r="DI162" s="7" t="s">
        <v>399</v>
      </c>
      <c r="DJ162" s="10" t="s">
        <v>778</v>
      </c>
      <c r="DK162" s="7" t="s">
        <v>140</v>
      </c>
      <c r="DL162" s="40"/>
      <c r="DM162" s="40"/>
      <c r="DN162" s="38" t="str">
        <f t="shared" si="164"/>
        <v>DS_Pass-3676</v>
      </c>
      <c r="DO162" s="40"/>
      <c r="DP162" s="40"/>
      <c r="DQ162" s="40"/>
      <c r="DR162" s="41"/>
      <c r="DS162" s="41"/>
      <c r="DT162" s="40"/>
      <c r="DU162" s="40"/>
      <c r="DV162" s="40"/>
      <c r="DW162" s="41"/>
      <c r="DX162" s="40"/>
      <c r="DY162" s="40"/>
      <c r="DZ162" s="37" t="s">
        <v>777</v>
      </c>
      <c r="EA162" s="39"/>
      <c r="EB162" s="37"/>
      <c r="EC162" s="37"/>
      <c r="ED162" s="16"/>
      <c r="EE162" s="1"/>
      <c r="EF162" s="54"/>
    </row>
    <row r="163" spans="1:136" x14ac:dyDescent="0.2">
      <c r="A163" s="209" t="s">
        <v>1094</v>
      </c>
      <c r="B163" s="209" t="s">
        <v>892</v>
      </c>
      <c r="C163" s="209" t="s">
        <v>865</v>
      </c>
      <c r="D163" s="13">
        <f>'Run Parameters'!$B$1 + ROW()-1</f>
        <v>3677</v>
      </c>
      <c r="E163" s="15" t="s">
        <v>47</v>
      </c>
      <c r="F163" s="18" t="s">
        <v>816</v>
      </c>
      <c r="G163" s="13" t="str">
        <f t="shared" si="182"/>
        <v>Access Dtls-3677</v>
      </c>
      <c r="H163" s="15" t="s">
        <v>275</v>
      </c>
      <c r="I163" s="13" t="str">
        <f>("MR. Test_154_FLTY17_"&amp;D163&amp;"")</f>
        <v>MR. Test_154_FLTY17_3677</v>
      </c>
      <c r="J163" s="18"/>
      <c r="K163" s="19" t="s">
        <v>425</v>
      </c>
      <c r="L163" s="13" t="str">
        <f t="shared" si="183"/>
        <v>Cust. Ref-3677</v>
      </c>
      <c r="M163" s="15" t="s">
        <v>48</v>
      </c>
      <c r="N163" s="15" t="s">
        <v>425</v>
      </c>
      <c r="O163" s="13"/>
      <c r="P163" s="13" t="str">
        <f t="shared" si="184"/>
        <v>SN-3677</v>
      </c>
      <c r="Q163" s="13" t="str">
        <f t="shared" si="185"/>
        <v>SI-3677</v>
      </c>
      <c r="R163" s="13" t="str">
        <f t="shared" si="186"/>
        <v>SE-3677</v>
      </c>
      <c r="S163" s="53" t="str">
        <f t="shared" si="187"/>
        <v>Prev_RA-3677</v>
      </c>
      <c r="T163" s="53" t="str">
        <f t="shared" si="188"/>
        <v>Prev_Comms-3677</v>
      </c>
      <c r="U163" s="17" t="s">
        <v>75</v>
      </c>
      <c r="V163" s="15" t="s">
        <v>401</v>
      </c>
      <c r="W163" s="17" t="s">
        <v>75</v>
      </c>
      <c r="X163" s="15" t="s">
        <v>1087</v>
      </c>
      <c r="Y163" s="13" t="str">
        <f t="shared" si="189"/>
        <v>Forward Add-3677</v>
      </c>
      <c r="Z163" s="15" t="s">
        <v>401</v>
      </c>
      <c r="AA163" s="133" t="str">
        <f>'Run Parameters'!$B$2</f>
        <v>2019-04-26 08:00</v>
      </c>
      <c r="AB163" s="213" t="str">
        <f>'Run Parameters'!B$3</f>
        <v>2019-04-26 18:00</v>
      </c>
      <c r="AC163" s="26">
        <f>('Run Parameters'!$B$2) - 7</f>
        <v>43574.333333333336</v>
      </c>
      <c r="AD163" s="17" t="s">
        <v>75</v>
      </c>
      <c r="AE163" s="18" t="str">
        <f t="shared" si="190"/>
        <v>LAST_METER-3677</v>
      </c>
      <c r="AF163" s="133" t="str">
        <f>'Run Parameters'!$B$2</f>
        <v>2019-04-26 08:00</v>
      </c>
      <c r="AG163" s="13" t="str">
        <f>'Run Parameters'!B$4</f>
        <v>AUTOTEST2</v>
      </c>
      <c r="AH163" s="53" t="str">
        <f t="shared" si="191"/>
        <v>Site_Contact_3677</v>
      </c>
      <c r="AI163" s="133" t="str">
        <f>'Run Parameters'!B$2</f>
        <v>2019-04-26 08:00</v>
      </c>
      <c r="AJ163" s="213" t="str">
        <f>'Run Parameters'!B$3</f>
        <v>2019-04-26 18:00</v>
      </c>
      <c r="AK163" s="13" t="s">
        <v>1087</v>
      </c>
      <c r="AL163" s="53" t="str">
        <f t="shared" si="192"/>
        <v>011593677</v>
      </c>
      <c r="AM163" s="13" t="str">
        <f t="shared" si="193"/>
        <v>01153677</v>
      </c>
      <c r="AN163" s="15"/>
      <c r="AO163" s="51"/>
      <c r="AP163" s="13">
        <v>1</v>
      </c>
      <c r="AQ163" s="52" t="s">
        <v>49</v>
      </c>
      <c r="AR163" s="15"/>
      <c r="AS163" s="13"/>
      <c r="AT163" s="7" t="s">
        <v>774</v>
      </c>
      <c r="AU163" s="7"/>
      <c r="AV163" s="13">
        <f t="shared" si="194"/>
        <v>3677</v>
      </c>
      <c r="AW163" s="13" t="s">
        <v>775</v>
      </c>
      <c r="AX163" s="13" t="s">
        <v>420</v>
      </c>
      <c r="AY163" s="13" t="s">
        <v>421</v>
      </c>
      <c r="AZ163" s="15" t="s">
        <v>334</v>
      </c>
      <c r="BA163" s="14" t="s">
        <v>154</v>
      </c>
      <c r="BB163" s="21">
        <v>1</v>
      </c>
      <c r="BC163" s="20">
        <f t="shared" si="195"/>
        <v>3677</v>
      </c>
      <c r="BD163" s="16" t="s">
        <v>1109</v>
      </c>
      <c r="BE163" s="16" t="s">
        <v>391</v>
      </c>
      <c r="BF163" s="16" t="s">
        <v>391</v>
      </c>
      <c r="BG163" s="20" t="s">
        <v>773</v>
      </c>
      <c r="BH163" s="20" t="str">
        <f t="shared" si="196"/>
        <v>3677_1</v>
      </c>
      <c r="BI163" s="21"/>
      <c r="BJ163" s="21" t="str">
        <f t="shared" si="197"/>
        <v>100000003677</v>
      </c>
      <c r="BK163" s="16" t="s">
        <v>51</v>
      </c>
      <c r="BL163" s="16" t="s">
        <v>54</v>
      </c>
      <c r="BM163" s="20" t="s">
        <v>769</v>
      </c>
      <c r="BN163" s="16" t="s">
        <v>51</v>
      </c>
      <c r="BO163" s="20" t="str">
        <f t="shared" si="198"/>
        <v>S05S3677</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1087</v>
      </c>
      <c r="CF163" s="16" t="s">
        <v>398</v>
      </c>
      <c r="CG163" s="16" t="s">
        <v>778</v>
      </c>
      <c r="CH163" s="16" t="s">
        <v>159</v>
      </c>
      <c r="CI163" s="6">
        <v>1</v>
      </c>
      <c r="CJ163" s="6" t="str">
        <f t="shared" si="199"/>
        <v>GAS_ENQ_NO-3677</v>
      </c>
      <c r="CK163" s="7" t="s">
        <v>779</v>
      </c>
      <c r="CL163" s="7" t="s">
        <v>391</v>
      </c>
      <c r="CM163" s="7" t="s">
        <v>391</v>
      </c>
      <c r="CN163" s="6" t="s">
        <v>780</v>
      </c>
      <c r="CO163" s="6" t="str">
        <f t="shared" si="200"/>
        <v>GAS_JOB_ID-3677</v>
      </c>
      <c r="CP163" s="7"/>
      <c r="CQ163" s="6" t="str">
        <f t="shared" si="201"/>
        <v>100003677</v>
      </c>
      <c r="CR163" s="6" t="s">
        <v>154</v>
      </c>
      <c r="CS163" s="7" t="s">
        <v>51</v>
      </c>
      <c r="CT163" s="27" t="str">
        <f t="shared" si="202"/>
        <v>GMETER3677</v>
      </c>
      <c r="CU163" s="6" t="s">
        <v>161</v>
      </c>
      <c r="CV163" s="7" t="s">
        <v>165</v>
      </c>
      <c r="CW163" s="7" t="s">
        <v>772</v>
      </c>
      <c r="CX163" s="7"/>
      <c r="CY163" s="7"/>
      <c r="CZ163" s="7" t="s">
        <v>394</v>
      </c>
      <c r="DA163" s="7" t="s">
        <v>395</v>
      </c>
      <c r="DB163" s="6" t="str">
        <f t="shared" si="163"/>
        <v>GAS_INST_ID-3677</v>
      </c>
      <c r="DC163" s="7" t="s">
        <v>161</v>
      </c>
      <c r="DD163" s="7"/>
      <c r="DE163" s="7" t="s">
        <v>51</v>
      </c>
      <c r="DF163" s="7" t="s">
        <v>264</v>
      </c>
      <c r="DG163" s="7"/>
      <c r="DH163" s="7" t="s">
        <v>397</v>
      </c>
      <c r="DI163" s="7" t="s">
        <v>399</v>
      </c>
      <c r="DJ163" s="10" t="s">
        <v>778</v>
      </c>
      <c r="DK163" s="7" t="s">
        <v>140</v>
      </c>
      <c r="DL163" s="40"/>
      <c r="DM163" s="40"/>
      <c r="DN163" s="38" t="str">
        <f t="shared" si="164"/>
        <v>DS_Pass-3677</v>
      </c>
      <c r="DO163" s="40"/>
      <c r="DP163" s="40"/>
      <c r="DQ163" s="40"/>
      <c r="DR163" s="41"/>
      <c r="DS163" s="41"/>
      <c r="DT163" s="40"/>
      <c r="DU163" s="40"/>
      <c r="DV163" s="40"/>
      <c r="DW163" s="41"/>
      <c r="DX163" s="40"/>
      <c r="DY163" s="40"/>
      <c r="DZ163" s="37" t="s">
        <v>777</v>
      </c>
      <c r="EA163" s="39"/>
      <c r="EB163" s="37"/>
      <c r="EC163" s="37"/>
      <c r="ED163" s="16"/>
      <c r="EE163" s="1"/>
      <c r="EF163" s="54"/>
    </row>
    <row r="164" spans="1:136" x14ac:dyDescent="0.2">
      <c r="A164" s="209" t="s">
        <v>933</v>
      </c>
      <c r="B164" s="209" t="s">
        <v>892</v>
      </c>
      <c r="C164" s="209" t="s">
        <v>865</v>
      </c>
      <c r="D164" s="13">
        <f>'Run Parameters'!$B$1 + ROW()-1</f>
        <v>3678</v>
      </c>
      <c r="E164" s="15" t="s">
        <v>47</v>
      </c>
      <c r="F164" s="18" t="s">
        <v>816</v>
      </c>
      <c r="G164" s="13" t="str">
        <f t="shared" si="182"/>
        <v>Access Dtls-3678</v>
      </c>
      <c r="H164" s="15" t="s">
        <v>275</v>
      </c>
      <c r="I164" s="13" t="str">
        <f>("MR. Test_155_FLTY17_"&amp;D164&amp;"")</f>
        <v>MR. Test_155_FLTY17_3678</v>
      </c>
      <c r="J164" s="18"/>
      <c r="K164" s="19" t="s">
        <v>425</v>
      </c>
      <c r="L164" s="13" t="str">
        <f t="shared" si="183"/>
        <v>Cust. Ref-3678</v>
      </c>
      <c r="M164" s="15" t="s">
        <v>48</v>
      </c>
      <c r="N164" s="15" t="s">
        <v>425</v>
      </c>
      <c r="O164" s="13"/>
      <c r="P164" s="13" t="str">
        <f t="shared" si="184"/>
        <v>SN-3678</v>
      </c>
      <c r="Q164" s="13" t="str">
        <f t="shared" si="185"/>
        <v>SI-3678</v>
      </c>
      <c r="R164" s="13" t="str">
        <f t="shared" si="186"/>
        <v>SE-3678</v>
      </c>
      <c r="S164" s="53" t="str">
        <f t="shared" si="187"/>
        <v>Prev_RA-3678</v>
      </c>
      <c r="T164" s="53" t="str">
        <f t="shared" si="188"/>
        <v>Prev_Comms-3678</v>
      </c>
      <c r="U164" s="17" t="s">
        <v>75</v>
      </c>
      <c r="V164" s="15" t="s">
        <v>401</v>
      </c>
      <c r="W164" s="17" t="s">
        <v>75</v>
      </c>
      <c r="X164" s="15" t="s">
        <v>396</v>
      </c>
      <c r="Y164" s="13" t="str">
        <f t="shared" si="189"/>
        <v>Forward Add-3678</v>
      </c>
      <c r="Z164" s="15" t="s">
        <v>401</v>
      </c>
      <c r="AA164" s="133" t="str">
        <f>'Run Parameters'!$B$2</f>
        <v>2019-04-26 08:00</v>
      </c>
      <c r="AB164" s="213" t="str">
        <f>'Run Parameters'!B$3</f>
        <v>2019-04-26 18:00</v>
      </c>
      <c r="AC164" s="26">
        <f>('Run Parameters'!$B$2) - 7</f>
        <v>43574.333333333336</v>
      </c>
      <c r="AD164" s="17" t="s">
        <v>75</v>
      </c>
      <c r="AE164" s="18" t="str">
        <f t="shared" si="190"/>
        <v>LAST_METER-3678</v>
      </c>
      <c r="AF164" s="133" t="str">
        <f>'Run Parameters'!$B$2</f>
        <v>2019-04-26 08:00</v>
      </c>
      <c r="AG164" s="13" t="str">
        <f>'Run Parameters'!B$4</f>
        <v>AUTOTEST2</v>
      </c>
      <c r="AH164" s="53" t="str">
        <f t="shared" si="191"/>
        <v>Site_Contact_3678</v>
      </c>
      <c r="AI164" s="133" t="str">
        <f>'Run Parameters'!B$2</f>
        <v>2019-04-26 08:00</v>
      </c>
      <c r="AJ164" s="213" t="str">
        <f>'Run Parameters'!B$3</f>
        <v>2019-04-26 18:00</v>
      </c>
      <c r="AK164" s="13" t="s">
        <v>396</v>
      </c>
      <c r="AL164" s="53" t="str">
        <f t="shared" si="192"/>
        <v>011593678</v>
      </c>
      <c r="AM164" s="13" t="str">
        <f t="shared" si="193"/>
        <v>01153678</v>
      </c>
      <c r="AN164" s="15"/>
      <c r="AO164" s="51"/>
      <c r="AP164" s="13">
        <v>1</v>
      </c>
      <c r="AQ164" s="52" t="s">
        <v>49</v>
      </c>
      <c r="AR164" s="15"/>
      <c r="AS164" s="13"/>
      <c r="AT164" s="7" t="s">
        <v>774</v>
      </c>
      <c r="AU164" s="7"/>
      <c r="AV164" s="13">
        <f t="shared" si="194"/>
        <v>3678</v>
      </c>
      <c r="AW164" s="13" t="s">
        <v>775</v>
      </c>
      <c r="AX164" s="13" t="s">
        <v>420</v>
      </c>
      <c r="AY164" s="13" t="s">
        <v>421</v>
      </c>
      <c r="AZ164" s="15" t="s">
        <v>334</v>
      </c>
      <c r="BA164" s="14" t="s">
        <v>154</v>
      </c>
      <c r="BB164" s="21">
        <v>1</v>
      </c>
      <c r="BC164" s="20">
        <f t="shared" si="195"/>
        <v>3678</v>
      </c>
      <c r="BD164" s="16" t="s">
        <v>776</v>
      </c>
      <c r="BE164" s="16" t="s">
        <v>391</v>
      </c>
      <c r="BF164" s="16" t="s">
        <v>391</v>
      </c>
      <c r="BG164" s="20" t="s">
        <v>773</v>
      </c>
      <c r="BH164" s="20" t="str">
        <f t="shared" si="196"/>
        <v>3678_1</v>
      </c>
      <c r="BI164" s="21"/>
      <c r="BJ164" s="21" t="str">
        <f t="shared" si="197"/>
        <v>100000003678</v>
      </c>
      <c r="BK164" s="16" t="s">
        <v>51</v>
      </c>
      <c r="BL164" s="16" t="s">
        <v>54</v>
      </c>
      <c r="BM164" s="20" t="s">
        <v>769</v>
      </c>
      <c r="BN164" s="16" t="s">
        <v>51</v>
      </c>
      <c r="BO164" s="20" t="str">
        <f t="shared" si="198"/>
        <v>S05S3678</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GAS_ENQ_NO-3678</v>
      </c>
      <c r="CK164" s="7" t="s">
        <v>779</v>
      </c>
      <c r="CL164" s="7" t="s">
        <v>391</v>
      </c>
      <c r="CM164" s="7" t="s">
        <v>391</v>
      </c>
      <c r="CN164" s="6" t="s">
        <v>780</v>
      </c>
      <c r="CO164" s="6" t="str">
        <f t="shared" si="200"/>
        <v>GAS_JOB_ID-3678</v>
      </c>
      <c r="CP164" s="7"/>
      <c r="CQ164" s="6" t="str">
        <f t="shared" si="201"/>
        <v>100003678</v>
      </c>
      <c r="CR164" s="6" t="s">
        <v>154</v>
      </c>
      <c r="CS164" s="7" t="s">
        <v>51</v>
      </c>
      <c r="CT164" s="27" t="str">
        <f t="shared" si="202"/>
        <v>GMETER3678</v>
      </c>
      <c r="CU164" s="6" t="s">
        <v>161</v>
      </c>
      <c r="CV164" s="7" t="s">
        <v>165</v>
      </c>
      <c r="CW164" s="7" t="s">
        <v>772</v>
      </c>
      <c r="CX164" s="7"/>
      <c r="CY164" s="7"/>
      <c r="CZ164" s="7" t="s">
        <v>394</v>
      </c>
      <c r="DA164" s="7" t="s">
        <v>395</v>
      </c>
      <c r="DB164" s="6" t="str">
        <f t="shared" si="163"/>
        <v>GAS_INST_ID-3678</v>
      </c>
      <c r="DC164" s="7" t="s">
        <v>161</v>
      </c>
      <c r="DD164" s="7"/>
      <c r="DE164" s="7" t="s">
        <v>51</v>
      </c>
      <c r="DF164" s="7" t="s">
        <v>264</v>
      </c>
      <c r="DG164" s="7"/>
      <c r="DH164" s="7" t="s">
        <v>397</v>
      </c>
      <c r="DI164" s="7" t="s">
        <v>399</v>
      </c>
      <c r="DJ164" s="10" t="s">
        <v>778</v>
      </c>
      <c r="DK164" s="7" t="s">
        <v>140</v>
      </c>
      <c r="DL164" s="40"/>
      <c r="DM164" s="40"/>
      <c r="DN164" s="38" t="str">
        <f t="shared" si="164"/>
        <v>DS_Pass-3678</v>
      </c>
      <c r="DO164" s="40"/>
      <c r="DP164" s="40"/>
      <c r="DQ164" s="40"/>
      <c r="DR164" s="41"/>
      <c r="DS164" s="41"/>
      <c r="DT164" s="40"/>
      <c r="DU164" s="40"/>
      <c r="DV164" s="40"/>
      <c r="DW164" s="41"/>
      <c r="DX164" s="40"/>
      <c r="DY164" s="40"/>
      <c r="DZ164" s="37" t="s">
        <v>777</v>
      </c>
      <c r="EA164" s="39"/>
      <c r="EB164" s="37"/>
      <c r="EC164" s="37"/>
      <c r="ED164" s="16"/>
      <c r="EE164" s="1"/>
      <c r="EF164" s="54"/>
    </row>
    <row r="165" spans="1:136" x14ac:dyDescent="0.2">
      <c r="A165" s="209" t="s">
        <v>934</v>
      </c>
      <c r="B165" s="209" t="s">
        <v>868</v>
      </c>
      <c r="C165" s="209" t="s">
        <v>865</v>
      </c>
      <c r="D165" s="13">
        <f>'Run Parameters'!$B$1 + ROW()-1</f>
        <v>3679</v>
      </c>
      <c r="E165" s="15" t="s">
        <v>47</v>
      </c>
      <c r="F165" s="18" t="s">
        <v>816</v>
      </c>
      <c r="G165" s="13" t="str">
        <f t="shared" si="182"/>
        <v>Access Dtls-3679</v>
      </c>
      <c r="H165" s="15" t="s">
        <v>275</v>
      </c>
      <c r="I165" s="13" t="str">
        <f>("MR. Test_156_FLTY17_"&amp;D165&amp;"")</f>
        <v>MR. Test_156_FLTY17_3679</v>
      </c>
      <c r="J165" s="18"/>
      <c r="K165" s="19" t="s">
        <v>425</v>
      </c>
      <c r="L165" s="13" t="str">
        <f t="shared" si="183"/>
        <v>Cust. Ref-3679</v>
      </c>
      <c r="M165" s="15" t="s">
        <v>48</v>
      </c>
      <c r="N165" s="15" t="s">
        <v>425</v>
      </c>
      <c r="O165" s="13"/>
      <c r="P165" s="13" t="str">
        <f t="shared" si="184"/>
        <v>SN-3679</v>
      </c>
      <c r="Q165" s="13" t="str">
        <f t="shared" si="185"/>
        <v>SI-3679</v>
      </c>
      <c r="R165" s="13" t="str">
        <f t="shared" si="186"/>
        <v>SE-3679</v>
      </c>
      <c r="S165" s="53" t="str">
        <f t="shared" si="187"/>
        <v>Prev_RA-3679</v>
      </c>
      <c r="T165" s="53" t="str">
        <f t="shared" si="188"/>
        <v>Prev_Comms-3679</v>
      </c>
      <c r="U165" s="17" t="s">
        <v>75</v>
      </c>
      <c r="V165" s="15" t="s">
        <v>401</v>
      </c>
      <c r="W165" s="17" t="s">
        <v>75</v>
      </c>
      <c r="X165" s="15" t="s">
        <v>396</v>
      </c>
      <c r="Y165" s="13" t="str">
        <f t="shared" si="189"/>
        <v>Forward Add-3679</v>
      </c>
      <c r="Z165" s="15" t="s">
        <v>401</v>
      </c>
      <c r="AA165" s="133" t="str">
        <f>'Run Parameters'!$B$2</f>
        <v>2019-04-26 08:00</v>
      </c>
      <c r="AB165" s="213" t="str">
        <f>'Run Parameters'!B$3</f>
        <v>2019-04-26 18:00</v>
      </c>
      <c r="AC165" s="26">
        <f>('Run Parameters'!$B$2) - 7</f>
        <v>43574.333333333336</v>
      </c>
      <c r="AD165" s="17" t="s">
        <v>75</v>
      </c>
      <c r="AE165" s="18" t="str">
        <f t="shared" si="190"/>
        <v>LAST_METER-3679</v>
      </c>
      <c r="AF165" s="133" t="str">
        <f>'Run Parameters'!$B$2</f>
        <v>2019-04-26 08:00</v>
      </c>
      <c r="AG165" s="13" t="str">
        <f>'Run Parameters'!B$4</f>
        <v>AUTOTEST2</v>
      </c>
      <c r="AH165" s="53" t="str">
        <f t="shared" si="191"/>
        <v>Site_Contact_3679</v>
      </c>
      <c r="AI165" s="133" t="str">
        <f>'Run Parameters'!B$2</f>
        <v>2019-04-26 08:00</v>
      </c>
      <c r="AJ165" s="213" t="str">
        <f>'Run Parameters'!B$3</f>
        <v>2019-04-26 18:00</v>
      </c>
      <c r="AK165" s="13" t="s">
        <v>396</v>
      </c>
      <c r="AL165" s="53" t="str">
        <f t="shared" si="192"/>
        <v>011593679</v>
      </c>
      <c r="AM165" s="13" t="str">
        <f t="shared" si="193"/>
        <v>01153679</v>
      </c>
      <c r="AN165" s="15"/>
      <c r="AO165" s="51"/>
      <c r="AP165" s="13">
        <v>1</v>
      </c>
      <c r="AQ165" s="52" t="s">
        <v>49</v>
      </c>
      <c r="AR165" s="15"/>
      <c r="AS165" s="13"/>
      <c r="AT165" s="7" t="s">
        <v>774</v>
      </c>
      <c r="AU165" s="7"/>
      <c r="AV165" s="13">
        <f t="shared" si="194"/>
        <v>3679</v>
      </c>
      <c r="AW165" s="13" t="s">
        <v>775</v>
      </c>
      <c r="AX165" s="13" t="s">
        <v>420</v>
      </c>
      <c r="AY165" s="13" t="s">
        <v>421</v>
      </c>
      <c r="AZ165" s="15" t="s">
        <v>334</v>
      </c>
      <c r="BA165" s="14" t="s">
        <v>154</v>
      </c>
      <c r="BB165" s="21">
        <v>1</v>
      </c>
      <c r="BC165" s="20">
        <f t="shared" si="195"/>
        <v>3679</v>
      </c>
      <c r="BD165" s="16" t="s">
        <v>776</v>
      </c>
      <c r="BE165" s="16" t="s">
        <v>391</v>
      </c>
      <c r="BF165" s="16" t="s">
        <v>391</v>
      </c>
      <c r="BG165" s="20" t="s">
        <v>773</v>
      </c>
      <c r="BH165" s="20" t="str">
        <f t="shared" si="196"/>
        <v>3679_1</v>
      </c>
      <c r="BI165" s="21"/>
      <c r="BJ165" s="21" t="str">
        <f t="shared" si="197"/>
        <v>100000003679</v>
      </c>
      <c r="BK165" s="16" t="s">
        <v>51</v>
      </c>
      <c r="BL165" s="16" t="s">
        <v>54</v>
      </c>
      <c r="BM165" s="20" t="s">
        <v>769</v>
      </c>
      <c r="BN165" s="16" t="s">
        <v>51</v>
      </c>
      <c r="BO165" s="20" t="str">
        <f t="shared" si="198"/>
        <v>S05S3679</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GAS_ENQ_NO-3679</v>
      </c>
      <c r="CK165" s="7" t="s">
        <v>779</v>
      </c>
      <c r="CL165" s="7" t="s">
        <v>391</v>
      </c>
      <c r="CM165" s="7" t="s">
        <v>391</v>
      </c>
      <c r="CN165" s="6" t="s">
        <v>780</v>
      </c>
      <c r="CO165" s="6" t="str">
        <f t="shared" si="200"/>
        <v>GAS_JOB_ID-3679</v>
      </c>
      <c r="CP165" s="7"/>
      <c r="CQ165" s="6" t="str">
        <f t="shared" si="201"/>
        <v>100003679</v>
      </c>
      <c r="CR165" s="6" t="s">
        <v>154</v>
      </c>
      <c r="CS165" s="7" t="s">
        <v>51</v>
      </c>
      <c r="CT165" s="27" t="str">
        <f t="shared" si="202"/>
        <v>GMETER3679</v>
      </c>
      <c r="CU165" s="6" t="s">
        <v>161</v>
      </c>
      <c r="CV165" s="7" t="s">
        <v>165</v>
      </c>
      <c r="CW165" s="7" t="s">
        <v>772</v>
      </c>
      <c r="CX165" s="7"/>
      <c r="CY165" s="7"/>
      <c r="CZ165" s="7" t="s">
        <v>394</v>
      </c>
      <c r="DA165" s="7" t="s">
        <v>395</v>
      </c>
      <c r="DB165" s="6" t="str">
        <f t="shared" si="163"/>
        <v>GAS_INST_ID-3679</v>
      </c>
      <c r="DC165" s="7" t="s">
        <v>161</v>
      </c>
      <c r="DD165" s="7"/>
      <c r="DE165" s="7" t="s">
        <v>51</v>
      </c>
      <c r="DF165" s="7" t="s">
        <v>264</v>
      </c>
      <c r="DG165" s="7"/>
      <c r="DH165" s="7" t="s">
        <v>397</v>
      </c>
      <c r="DI165" s="7" t="s">
        <v>399</v>
      </c>
      <c r="DJ165" s="10" t="s">
        <v>778</v>
      </c>
      <c r="DK165" s="7" t="s">
        <v>140</v>
      </c>
      <c r="DL165" s="40"/>
      <c r="DM165" s="40"/>
      <c r="DN165" s="38" t="str">
        <f t="shared" si="164"/>
        <v>DS_Pass-3679</v>
      </c>
      <c r="DO165" s="40"/>
      <c r="DP165" s="40"/>
      <c r="DQ165" s="40"/>
      <c r="DR165" s="41"/>
      <c r="DS165" s="41"/>
      <c r="DT165" s="40"/>
      <c r="DU165" s="40"/>
      <c r="DV165" s="40"/>
      <c r="DW165" s="41"/>
      <c r="DX165" s="40"/>
      <c r="DY165" s="40"/>
      <c r="DZ165" s="37" t="s">
        <v>777</v>
      </c>
      <c r="EA165" s="39"/>
      <c r="EB165" s="37"/>
      <c r="EC165" s="37"/>
      <c r="ED165" s="16"/>
      <c r="EE165" s="1"/>
      <c r="EF165" s="54"/>
    </row>
    <row r="166" spans="1:136" x14ac:dyDescent="0.2">
      <c r="A166" s="209" t="s">
        <v>935</v>
      </c>
      <c r="B166" s="209" t="s">
        <v>892</v>
      </c>
      <c r="C166" s="209" t="s">
        <v>865</v>
      </c>
      <c r="D166" s="13">
        <f>'Run Parameters'!$B$1 + ROW()-1</f>
        <v>3680</v>
      </c>
      <c r="E166" s="15" t="s">
        <v>47</v>
      </c>
      <c r="F166" s="18" t="s">
        <v>816</v>
      </c>
      <c r="G166" s="13" t="str">
        <f t="shared" si="182"/>
        <v>Access Dtls-3680</v>
      </c>
      <c r="H166" s="15" t="s">
        <v>275</v>
      </c>
      <c r="I166" s="13" t="str">
        <f>("MR. Test_157_FLTY17_"&amp;D166&amp;"")</f>
        <v>MR. Test_157_FLTY17_3680</v>
      </c>
      <c r="J166" s="18"/>
      <c r="K166" s="19" t="s">
        <v>425</v>
      </c>
      <c r="L166" s="13" t="str">
        <f t="shared" si="183"/>
        <v>Cust. Ref-3680</v>
      </c>
      <c r="M166" s="15" t="s">
        <v>48</v>
      </c>
      <c r="N166" s="15" t="s">
        <v>425</v>
      </c>
      <c r="O166" s="13"/>
      <c r="P166" s="13" t="str">
        <f t="shared" si="184"/>
        <v>SN-3680</v>
      </c>
      <c r="Q166" s="13" t="str">
        <f t="shared" si="185"/>
        <v>SI-3680</v>
      </c>
      <c r="R166" s="13" t="str">
        <f t="shared" si="186"/>
        <v>SE-3680</v>
      </c>
      <c r="S166" s="53" t="str">
        <f t="shared" si="187"/>
        <v>Prev_RA-3680</v>
      </c>
      <c r="T166" s="53" t="str">
        <f t="shared" si="188"/>
        <v>Prev_Comms-3680</v>
      </c>
      <c r="U166" s="17" t="s">
        <v>75</v>
      </c>
      <c r="V166" s="15" t="s">
        <v>401</v>
      </c>
      <c r="W166" s="17" t="s">
        <v>75</v>
      </c>
      <c r="X166" s="15" t="s">
        <v>396</v>
      </c>
      <c r="Y166" s="13" t="str">
        <f t="shared" si="189"/>
        <v>Forward Add-3680</v>
      </c>
      <c r="Z166" s="15" t="s">
        <v>401</v>
      </c>
      <c r="AA166" s="133" t="str">
        <f>'Run Parameters'!$B$2</f>
        <v>2019-04-26 08:00</v>
      </c>
      <c r="AB166" s="213" t="str">
        <f>'Run Parameters'!B$3</f>
        <v>2019-04-26 18:00</v>
      </c>
      <c r="AC166" s="26">
        <f>('Run Parameters'!$B$2) - 7</f>
        <v>43574.333333333336</v>
      </c>
      <c r="AD166" s="17" t="s">
        <v>75</v>
      </c>
      <c r="AE166" s="18" t="str">
        <f t="shared" si="190"/>
        <v>LAST_METER-3680</v>
      </c>
      <c r="AF166" s="133" t="str">
        <f>'Run Parameters'!$B$2</f>
        <v>2019-04-26 08:00</v>
      </c>
      <c r="AG166" s="13" t="str">
        <f>'Run Parameters'!B$4</f>
        <v>AUTOTEST2</v>
      </c>
      <c r="AH166" s="53" t="str">
        <f t="shared" si="191"/>
        <v>Site_Contact_3680</v>
      </c>
      <c r="AI166" s="133" t="str">
        <f>'Run Parameters'!B$2</f>
        <v>2019-04-26 08:00</v>
      </c>
      <c r="AJ166" s="213" t="str">
        <f>'Run Parameters'!B$3</f>
        <v>2019-04-26 18:00</v>
      </c>
      <c r="AK166" s="13" t="s">
        <v>396</v>
      </c>
      <c r="AL166" s="53" t="str">
        <f t="shared" si="192"/>
        <v>011593680</v>
      </c>
      <c r="AM166" s="13" t="str">
        <f t="shared" si="193"/>
        <v>01153680</v>
      </c>
      <c r="AN166" s="15"/>
      <c r="AO166" s="51"/>
      <c r="AP166" s="13">
        <v>1</v>
      </c>
      <c r="AQ166" s="52" t="s">
        <v>49</v>
      </c>
      <c r="AR166" s="15"/>
      <c r="AS166" s="13"/>
      <c r="AT166" s="7" t="s">
        <v>774</v>
      </c>
      <c r="AU166" s="7"/>
      <c r="AV166" s="13">
        <f t="shared" si="194"/>
        <v>3680</v>
      </c>
      <c r="AW166" s="13" t="s">
        <v>775</v>
      </c>
      <c r="AX166" s="13" t="s">
        <v>420</v>
      </c>
      <c r="AY166" s="13" t="s">
        <v>421</v>
      </c>
      <c r="AZ166" s="15" t="s">
        <v>334</v>
      </c>
      <c r="BA166" s="14" t="s">
        <v>154</v>
      </c>
      <c r="BB166" s="21">
        <v>1</v>
      </c>
      <c r="BC166" s="20">
        <f t="shared" si="195"/>
        <v>3680</v>
      </c>
      <c r="BD166" s="16" t="s">
        <v>776</v>
      </c>
      <c r="BE166" s="16" t="s">
        <v>391</v>
      </c>
      <c r="BF166" s="16" t="s">
        <v>391</v>
      </c>
      <c r="BG166" s="20" t="s">
        <v>773</v>
      </c>
      <c r="BH166" s="20" t="str">
        <f t="shared" si="196"/>
        <v>3680_1</v>
      </c>
      <c r="BI166" s="21"/>
      <c r="BJ166" s="21" t="str">
        <f t="shared" si="197"/>
        <v>100000003680</v>
      </c>
      <c r="BK166" s="16" t="s">
        <v>51</v>
      </c>
      <c r="BL166" s="16" t="s">
        <v>54</v>
      </c>
      <c r="BM166" s="20" t="s">
        <v>769</v>
      </c>
      <c r="BN166" s="16" t="s">
        <v>51</v>
      </c>
      <c r="BO166" s="20" t="str">
        <f t="shared" si="198"/>
        <v>S05S3680</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GAS_ENQ_NO-3680</v>
      </c>
      <c r="CK166" s="7" t="s">
        <v>779</v>
      </c>
      <c r="CL166" s="7" t="s">
        <v>391</v>
      </c>
      <c r="CM166" s="7" t="s">
        <v>391</v>
      </c>
      <c r="CN166" s="6" t="s">
        <v>780</v>
      </c>
      <c r="CO166" s="6" t="str">
        <f t="shared" si="200"/>
        <v>GAS_JOB_ID-3680</v>
      </c>
      <c r="CP166" s="7"/>
      <c r="CQ166" s="6" t="str">
        <f t="shared" si="201"/>
        <v>100003680</v>
      </c>
      <c r="CR166" s="6" t="s">
        <v>154</v>
      </c>
      <c r="CS166" s="7" t="s">
        <v>51</v>
      </c>
      <c r="CT166" s="27" t="str">
        <f t="shared" si="202"/>
        <v>GMETER3680</v>
      </c>
      <c r="CU166" s="6" t="s">
        <v>161</v>
      </c>
      <c r="CV166" s="7" t="s">
        <v>165</v>
      </c>
      <c r="CW166" s="7" t="s">
        <v>772</v>
      </c>
      <c r="CX166" s="7"/>
      <c r="CY166" s="7"/>
      <c r="CZ166" s="7" t="s">
        <v>394</v>
      </c>
      <c r="DA166" s="7" t="s">
        <v>395</v>
      </c>
      <c r="DB166" s="6" t="str">
        <f t="shared" si="163"/>
        <v>GAS_INST_ID-3680</v>
      </c>
      <c r="DC166" s="7" t="s">
        <v>161</v>
      </c>
      <c r="DD166" s="7"/>
      <c r="DE166" s="7" t="s">
        <v>51</v>
      </c>
      <c r="DF166" s="7" t="s">
        <v>264</v>
      </c>
      <c r="DG166" s="7"/>
      <c r="DH166" s="7" t="s">
        <v>397</v>
      </c>
      <c r="DI166" s="7" t="s">
        <v>399</v>
      </c>
      <c r="DJ166" s="10" t="s">
        <v>778</v>
      </c>
      <c r="DK166" s="7" t="s">
        <v>140</v>
      </c>
      <c r="DL166" s="40"/>
      <c r="DM166" s="40"/>
      <c r="DN166" s="38" t="str">
        <f t="shared" si="164"/>
        <v>DS_Pass-3680</v>
      </c>
      <c r="DO166" s="40"/>
      <c r="DP166" s="40"/>
      <c r="DQ166" s="40"/>
      <c r="DR166" s="41"/>
      <c r="DS166" s="41"/>
      <c r="DT166" s="40"/>
      <c r="DU166" s="40"/>
      <c r="DV166" s="40"/>
      <c r="DW166" s="41"/>
      <c r="DX166" s="40"/>
      <c r="DY166" s="40"/>
      <c r="DZ166" s="37" t="s">
        <v>777</v>
      </c>
      <c r="EA166" s="39"/>
      <c r="EB166" s="37"/>
      <c r="EC166" s="37"/>
      <c r="ED166" s="16"/>
      <c r="EE166" s="1"/>
      <c r="EF166" s="54"/>
    </row>
    <row r="167" spans="1:136" x14ac:dyDescent="0.2">
      <c r="A167" s="209" t="s">
        <v>936</v>
      </c>
      <c r="B167" s="209" t="s">
        <v>868</v>
      </c>
      <c r="C167" s="209" t="s">
        <v>865</v>
      </c>
      <c r="D167" s="13">
        <f>'Run Parameters'!$B$1 + ROW()-1</f>
        <v>3681</v>
      </c>
      <c r="E167" s="15" t="s">
        <v>47</v>
      </c>
      <c r="F167" s="18" t="s">
        <v>816</v>
      </c>
      <c r="G167" s="13" t="str">
        <f t="shared" si="182"/>
        <v>Access Dtls-3681</v>
      </c>
      <c r="H167" s="15" t="s">
        <v>275</v>
      </c>
      <c r="I167" s="13" t="str">
        <f>("MR. Test_158_FLTY17_"&amp;D167&amp;"")</f>
        <v>MR. Test_158_FLTY17_3681</v>
      </c>
      <c r="J167" s="18"/>
      <c r="K167" s="19" t="s">
        <v>425</v>
      </c>
      <c r="L167" s="13" t="str">
        <f t="shared" si="183"/>
        <v>Cust. Ref-3681</v>
      </c>
      <c r="M167" s="15" t="s">
        <v>48</v>
      </c>
      <c r="N167" s="15" t="s">
        <v>425</v>
      </c>
      <c r="O167" s="13"/>
      <c r="P167" s="13" t="str">
        <f t="shared" si="184"/>
        <v>SN-3681</v>
      </c>
      <c r="Q167" s="13" t="str">
        <f t="shared" si="185"/>
        <v>SI-3681</v>
      </c>
      <c r="R167" s="13" t="str">
        <f t="shared" si="186"/>
        <v>SE-3681</v>
      </c>
      <c r="S167" s="53" t="str">
        <f t="shared" si="187"/>
        <v>Prev_RA-3681</v>
      </c>
      <c r="T167" s="53" t="str">
        <f t="shared" si="188"/>
        <v>Prev_Comms-3681</v>
      </c>
      <c r="U167" s="17" t="s">
        <v>75</v>
      </c>
      <c r="V167" s="15" t="s">
        <v>401</v>
      </c>
      <c r="W167" s="17" t="s">
        <v>75</v>
      </c>
      <c r="X167" s="15" t="s">
        <v>396</v>
      </c>
      <c r="Y167" s="13" t="str">
        <f t="shared" si="189"/>
        <v>Forward Add-3681</v>
      </c>
      <c r="Z167" s="15" t="s">
        <v>401</v>
      </c>
      <c r="AA167" s="133" t="str">
        <f>'Run Parameters'!$B$2</f>
        <v>2019-04-26 08:00</v>
      </c>
      <c r="AB167" s="213" t="str">
        <f>'Run Parameters'!B$3</f>
        <v>2019-04-26 18:00</v>
      </c>
      <c r="AC167" s="26">
        <f>('Run Parameters'!$B$2) - 7</f>
        <v>43574.333333333336</v>
      </c>
      <c r="AD167" s="17" t="s">
        <v>75</v>
      </c>
      <c r="AE167" s="18" t="str">
        <f t="shared" si="190"/>
        <v>LAST_METER-3681</v>
      </c>
      <c r="AF167" s="133" t="str">
        <f>'Run Parameters'!$B$2</f>
        <v>2019-04-26 08:00</v>
      </c>
      <c r="AG167" s="13" t="str">
        <f>'Run Parameters'!B$4</f>
        <v>AUTOTEST2</v>
      </c>
      <c r="AH167" s="53" t="str">
        <f t="shared" si="191"/>
        <v>Site_Contact_3681</v>
      </c>
      <c r="AI167" s="133" t="str">
        <f>'Run Parameters'!B$2</f>
        <v>2019-04-26 08:00</v>
      </c>
      <c r="AJ167" s="213" t="str">
        <f>'Run Parameters'!B$3</f>
        <v>2019-04-26 18:00</v>
      </c>
      <c r="AK167" s="13" t="s">
        <v>396</v>
      </c>
      <c r="AL167" s="53" t="str">
        <f t="shared" si="192"/>
        <v>011593681</v>
      </c>
      <c r="AM167" s="13" t="str">
        <f t="shared" si="193"/>
        <v>01153681</v>
      </c>
      <c r="AN167" s="15"/>
      <c r="AO167" s="51"/>
      <c r="AP167" s="13">
        <v>1</v>
      </c>
      <c r="AQ167" s="52" t="s">
        <v>49</v>
      </c>
      <c r="AR167" s="15"/>
      <c r="AS167" s="13"/>
      <c r="AT167" s="7" t="s">
        <v>774</v>
      </c>
      <c r="AU167" s="7"/>
      <c r="AV167" s="13">
        <f t="shared" si="194"/>
        <v>3681</v>
      </c>
      <c r="AW167" s="13" t="s">
        <v>775</v>
      </c>
      <c r="AX167" s="13" t="s">
        <v>420</v>
      </c>
      <c r="AY167" s="13" t="s">
        <v>421</v>
      </c>
      <c r="AZ167" s="15" t="s">
        <v>334</v>
      </c>
      <c r="BA167" s="14" t="s">
        <v>154</v>
      </c>
      <c r="BB167" s="21">
        <v>1</v>
      </c>
      <c r="BC167" s="20">
        <f t="shared" si="195"/>
        <v>3681</v>
      </c>
      <c r="BD167" s="16" t="s">
        <v>776</v>
      </c>
      <c r="BE167" s="16" t="s">
        <v>391</v>
      </c>
      <c r="BF167" s="16" t="s">
        <v>391</v>
      </c>
      <c r="BG167" s="20" t="s">
        <v>773</v>
      </c>
      <c r="BH167" s="20" t="str">
        <f t="shared" si="196"/>
        <v>3681_1</v>
      </c>
      <c r="BI167" s="21"/>
      <c r="BJ167" s="21" t="str">
        <f t="shared" si="197"/>
        <v>100000003681</v>
      </c>
      <c r="BK167" s="16" t="s">
        <v>51</v>
      </c>
      <c r="BL167" s="16" t="s">
        <v>54</v>
      </c>
      <c r="BM167" s="20" t="s">
        <v>769</v>
      </c>
      <c r="BN167" s="16" t="s">
        <v>51</v>
      </c>
      <c r="BO167" s="20" t="str">
        <f t="shared" si="198"/>
        <v>S05S3681</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GAS_ENQ_NO-3681</v>
      </c>
      <c r="CK167" s="7" t="s">
        <v>779</v>
      </c>
      <c r="CL167" s="7" t="s">
        <v>391</v>
      </c>
      <c r="CM167" s="7" t="s">
        <v>391</v>
      </c>
      <c r="CN167" s="6" t="s">
        <v>780</v>
      </c>
      <c r="CO167" s="6" t="str">
        <f t="shared" si="200"/>
        <v>GAS_JOB_ID-3681</v>
      </c>
      <c r="CP167" s="7"/>
      <c r="CQ167" s="6" t="str">
        <f t="shared" si="201"/>
        <v>100003681</v>
      </c>
      <c r="CR167" s="6" t="s">
        <v>154</v>
      </c>
      <c r="CS167" s="7" t="s">
        <v>51</v>
      </c>
      <c r="CT167" s="27" t="str">
        <f t="shared" si="202"/>
        <v>GMETER3681</v>
      </c>
      <c r="CU167" s="6" t="s">
        <v>161</v>
      </c>
      <c r="CV167" s="7" t="s">
        <v>165</v>
      </c>
      <c r="CW167" s="7" t="s">
        <v>772</v>
      </c>
      <c r="CX167" s="7"/>
      <c r="CY167" s="7"/>
      <c r="CZ167" s="7" t="s">
        <v>394</v>
      </c>
      <c r="DA167" s="7" t="s">
        <v>395</v>
      </c>
      <c r="DB167" s="6" t="str">
        <f t="shared" si="163"/>
        <v>GAS_INST_ID-3681</v>
      </c>
      <c r="DC167" s="7" t="s">
        <v>161</v>
      </c>
      <c r="DD167" s="7"/>
      <c r="DE167" s="7" t="s">
        <v>51</v>
      </c>
      <c r="DF167" s="7" t="s">
        <v>264</v>
      </c>
      <c r="DG167" s="7"/>
      <c r="DH167" s="7" t="s">
        <v>397</v>
      </c>
      <c r="DI167" s="7" t="s">
        <v>399</v>
      </c>
      <c r="DJ167" s="10" t="s">
        <v>778</v>
      </c>
      <c r="DK167" s="7" t="s">
        <v>140</v>
      </c>
      <c r="DL167" s="40"/>
      <c r="DM167" s="40"/>
      <c r="DN167" s="38" t="str">
        <f t="shared" si="164"/>
        <v>DS_Pass-3681</v>
      </c>
      <c r="DO167" s="40"/>
      <c r="DP167" s="40"/>
      <c r="DQ167" s="40"/>
      <c r="DR167" s="41"/>
      <c r="DS167" s="41"/>
      <c r="DT167" s="40"/>
      <c r="DU167" s="40"/>
      <c r="DV167" s="40"/>
      <c r="DW167" s="41"/>
      <c r="DX167" s="40"/>
      <c r="DY167" s="40"/>
      <c r="DZ167" s="37" t="s">
        <v>777</v>
      </c>
      <c r="EA167" s="39"/>
      <c r="EB167" s="37"/>
      <c r="EC167" s="37"/>
      <c r="ED167" s="16"/>
      <c r="EE167" s="1"/>
      <c r="EF167" s="54"/>
    </row>
    <row r="168" spans="1:136" x14ac:dyDescent="0.2">
      <c r="A168" s="209" t="s">
        <v>937</v>
      </c>
      <c r="B168" s="209" t="s">
        <v>892</v>
      </c>
      <c r="C168" s="209" t="s">
        <v>865</v>
      </c>
      <c r="D168" s="13">
        <f>'Run Parameters'!$B$1 + ROW()-1</f>
        <v>3682</v>
      </c>
      <c r="E168" s="15" t="s">
        <v>47</v>
      </c>
      <c r="F168" s="18" t="s">
        <v>816</v>
      </c>
      <c r="G168" s="13" t="str">
        <f t="shared" si="182"/>
        <v>Access Dtls-3682</v>
      </c>
      <c r="H168" s="15" t="s">
        <v>275</v>
      </c>
      <c r="I168" s="13" t="str">
        <f>("MR. Test_159_FLTY17_"&amp;D168&amp;"")</f>
        <v>MR. Test_159_FLTY17_3682</v>
      </c>
      <c r="J168" s="18"/>
      <c r="K168" s="19" t="s">
        <v>425</v>
      </c>
      <c r="L168" s="13" t="str">
        <f t="shared" si="183"/>
        <v>Cust. Ref-3682</v>
      </c>
      <c r="M168" s="15" t="s">
        <v>48</v>
      </c>
      <c r="N168" s="15" t="s">
        <v>425</v>
      </c>
      <c r="O168" s="13"/>
      <c r="P168" s="13" t="str">
        <f t="shared" si="184"/>
        <v>SN-3682</v>
      </c>
      <c r="Q168" s="13" t="str">
        <f t="shared" si="185"/>
        <v>SI-3682</v>
      </c>
      <c r="R168" s="13" t="str">
        <f t="shared" si="186"/>
        <v>SE-3682</v>
      </c>
      <c r="S168" s="53" t="str">
        <f t="shared" si="187"/>
        <v>Prev_RA-3682</v>
      </c>
      <c r="T168" s="53" t="str">
        <f t="shared" si="188"/>
        <v>Prev_Comms-3682</v>
      </c>
      <c r="U168" s="17" t="s">
        <v>75</v>
      </c>
      <c r="V168" s="15" t="s">
        <v>401</v>
      </c>
      <c r="W168" s="17" t="s">
        <v>75</v>
      </c>
      <c r="X168" s="15" t="s">
        <v>396</v>
      </c>
      <c r="Y168" s="13" t="str">
        <f t="shared" si="189"/>
        <v>Forward Add-3682</v>
      </c>
      <c r="Z168" s="15" t="s">
        <v>401</v>
      </c>
      <c r="AA168" s="133" t="str">
        <f>'Run Parameters'!$B$2</f>
        <v>2019-04-26 08:00</v>
      </c>
      <c r="AB168" s="213" t="str">
        <f>'Run Parameters'!B$3</f>
        <v>2019-04-26 18:00</v>
      </c>
      <c r="AC168" s="26">
        <f>('Run Parameters'!$B$2) - 7</f>
        <v>43574.333333333336</v>
      </c>
      <c r="AD168" s="17" t="s">
        <v>75</v>
      </c>
      <c r="AE168" s="18" t="str">
        <f t="shared" si="190"/>
        <v>LAST_METER-3682</v>
      </c>
      <c r="AF168" s="133" t="str">
        <f>'Run Parameters'!$B$2</f>
        <v>2019-04-26 08:00</v>
      </c>
      <c r="AG168" s="13" t="str">
        <f>'Run Parameters'!B$4</f>
        <v>AUTOTEST2</v>
      </c>
      <c r="AH168" s="53" t="str">
        <f t="shared" si="191"/>
        <v>Site_Contact_3682</v>
      </c>
      <c r="AI168" s="133" t="str">
        <f>'Run Parameters'!B$2</f>
        <v>2019-04-26 08:00</v>
      </c>
      <c r="AJ168" s="213" t="str">
        <f>'Run Parameters'!B$3</f>
        <v>2019-04-26 18:00</v>
      </c>
      <c r="AK168" s="13" t="s">
        <v>396</v>
      </c>
      <c r="AL168" s="53" t="str">
        <f t="shared" si="192"/>
        <v>011593682</v>
      </c>
      <c r="AM168" s="13" t="str">
        <f t="shared" si="193"/>
        <v>01153682</v>
      </c>
      <c r="AN168" s="15"/>
      <c r="AO168" s="51"/>
      <c r="AP168" s="13">
        <v>1</v>
      </c>
      <c r="AQ168" s="52" t="s">
        <v>49</v>
      </c>
      <c r="AR168" s="15"/>
      <c r="AS168" s="13"/>
      <c r="AT168" s="7" t="s">
        <v>774</v>
      </c>
      <c r="AU168" s="7"/>
      <c r="AV168" s="13">
        <f t="shared" si="194"/>
        <v>3682</v>
      </c>
      <c r="AW168" s="13" t="s">
        <v>775</v>
      </c>
      <c r="AX168" s="13" t="s">
        <v>420</v>
      </c>
      <c r="AY168" s="13" t="s">
        <v>421</v>
      </c>
      <c r="AZ168" s="15" t="s">
        <v>334</v>
      </c>
      <c r="BA168" s="14" t="s">
        <v>154</v>
      </c>
      <c r="BB168" s="21">
        <v>1</v>
      </c>
      <c r="BC168" s="20">
        <f t="shared" si="195"/>
        <v>3682</v>
      </c>
      <c r="BD168" s="16" t="s">
        <v>776</v>
      </c>
      <c r="BE168" s="16" t="s">
        <v>391</v>
      </c>
      <c r="BF168" s="16" t="s">
        <v>391</v>
      </c>
      <c r="BG168" s="20" t="s">
        <v>773</v>
      </c>
      <c r="BH168" s="20" t="str">
        <f t="shared" si="196"/>
        <v>3682_1</v>
      </c>
      <c r="BI168" s="21"/>
      <c r="BJ168" s="21" t="str">
        <f t="shared" si="197"/>
        <v>100000003682</v>
      </c>
      <c r="BK168" s="16" t="s">
        <v>51</v>
      </c>
      <c r="BL168" s="16" t="s">
        <v>54</v>
      </c>
      <c r="BM168" s="20" t="s">
        <v>769</v>
      </c>
      <c r="BN168" s="16" t="s">
        <v>51</v>
      </c>
      <c r="BO168" s="20" t="str">
        <f t="shared" si="198"/>
        <v>S05S3682</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GAS_ENQ_NO-3682</v>
      </c>
      <c r="CK168" s="7" t="s">
        <v>779</v>
      </c>
      <c r="CL168" s="7" t="s">
        <v>391</v>
      </c>
      <c r="CM168" s="7" t="s">
        <v>391</v>
      </c>
      <c r="CN168" s="6" t="s">
        <v>780</v>
      </c>
      <c r="CO168" s="6" t="str">
        <f t="shared" si="200"/>
        <v>GAS_JOB_ID-3682</v>
      </c>
      <c r="CP168" s="7"/>
      <c r="CQ168" s="6" t="str">
        <f t="shared" si="201"/>
        <v>100003682</v>
      </c>
      <c r="CR168" s="6" t="s">
        <v>154</v>
      </c>
      <c r="CS168" s="7" t="s">
        <v>51</v>
      </c>
      <c r="CT168" s="27" t="str">
        <f t="shared" si="202"/>
        <v>GMETER3682</v>
      </c>
      <c r="CU168" s="6" t="s">
        <v>161</v>
      </c>
      <c r="CV168" s="7" t="s">
        <v>165</v>
      </c>
      <c r="CW168" s="7" t="s">
        <v>772</v>
      </c>
      <c r="CX168" s="7"/>
      <c r="CY168" s="7"/>
      <c r="CZ168" s="7" t="s">
        <v>394</v>
      </c>
      <c r="DA168" s="7" t="s">
        <v>395</v>
      </c>
      <c r="DB168" s="6" t="str">
        <f t="shared" si="163"/>
        <v>GAS_INST_ID-3682</v>
      </c>
      <c r="DC168" s="7" t="s">
        <v>161</v>
      </c>
      <c r="DD168" s="7"/>
      <c r="DE168" s="7" t="s">
        <v>51</v>
      </c>
      <c r="DF168" s="7" t="s">
        <v>264</v>
      </c>
      <c r="DG168" s="7"/>
      <c r="DH168" s="7" t="s">
        <v>397</v>
      </c>
      <c r="DI168" s="7" t="s">
        <v>399</v>
      </c>
      <c r="DJ168" s="10" t="s">
        <v>778</v>
      </c>
      <c r="DK168" s="7" t="s">
        <v>140</v>
      </c>
      <c r="DL168" s="40"/>
      <c r="DM168" s="40"/>
      <c r="DN168" s="38" t="str">
        <f t="shared" si="164"/>
        <v>DS_Pass-3682</v>
      </c>
      <c r="DO168" s="40"/>
      <c r="DP168" s="40"/>
      <c r="DQ168" s="40"/>
      <c r="DR168" s="41"/>
      <c r="DS168" s="41"/>
      <c r="DT168" s="40"/>
      <c r="DU168" s="40"/>
      <c r="DV168" s="40"/>
      <c r="DW168" s="41"/>
      <c r="DX168" s="40"/>
      <c r="DY168" s="40"/>
      <c r="DZ168" s="37" t="s">
        <v>777</v>
      </c>
      <c r="EA168" s="39"/>
      <c r="EB168" s="37"/>
      <c r="EC168" s="37"/>
      <c r="ED168" s="16"/>
      <c r="EE168" s="1"/>
      <c r="EF168" s="54"/>
    </row>
    <row r="169" spans="1:136" x14ac:dyDescent="0.2">
      <c r="A169" s="209" t="s">
        <v>938</v>
      </c>
      <c r="B169" s="209" t="s">
        <v>868</v>
      </c>
      <c r="C169" s="209" t="s">
        <v>865</v>
      </c>
      <c r="D169" s="13">
        <f>'Run Parameters'!$B$1 + ROW()-1</f>
        <v>3683</v>
      </c>
      <c r="E169" s="15" t="s">
        <v>47</v>
      </c>
      <c r="F169" s="18" t="s">
        <v>816</v>
      </c>
      <c r="G169" s="13" t="str">
        <f t="shared" si="182"/>
        <v>Access Dtls-3683</v>
      </c>
      <c r="H169" s="15" t="s">
        <v>275</v>
      </c>
      <c r="I169" s="13" t="str">
        <f>("MR. Test_160_FLTY17_"&amp;D169&amp;"")</f>
        <v>MR. Test_160_FLTY17_3683</v>
      </c>
      <c r="J169" s="18"/>
      <c r="K169" s="19" t="s">
        <v>425</v>
      </c>
      <c r="L169" s="13" t="str">
        <f t="shared" si="183"/>
        <v>Cust. Ref-3683</v>
      </c>
      <c r="M169" s="15" t="s">
        <v>48</v>
      </c>
      <c r="N169" s="15" t="s">
        <v>425</v>
      </c>
      <c r="O169" s="13"/>
      <c r="P169" s="13" t="str">
        <f t="shared" si="184"/>
        <v>SN-3683</v>
      </c>
      <c r="Q169" s="13" t="str">
        <f t="shared" si="185"/>
        <v>SI-3683</v>
      </c>
      <c r="R169" s="13" t="str">
        <f t="shared" si="186"/>
        <v>SE-3683</v>
      </c>
      <c r="S169" s="53" t="str">
        <f t="shared" si="187"/>
        <v>Prev_RA-3683</v>
      </c>
      <c r="T169" s="53" t="str">
        <f t="shared" si="188"/>
        <v>Prev_Comms-3683</v>
      </c>
      <c r="U169" s="17" t="s">
        <v>75</v>
      </c>
      <c r="V169" s="15" t="s">
        <v>401</v>
      </c>
      <c r="W169" s="17" t="s">
        <v>75</v>
      </c>
      <c r="X169" s="15" t="s">
        <v>396</v>
      </c>
      <c r="Y169" s="13" t="str">
        <f t="shared" si="189"/>
        <v>Forward Add-3683</v>
      </c>
      <c r="Z169" s="15" t="s">
        <v>401</v>
      </c>
      <c r="AA169" s="133" t="str">
        <f>'Run Parameters'!$B$2</f>
        <v>2019-04-26 08:00</v>
      </c>
      <c r="AB169" s="213" t="str">
        <f>'Run Parameters'!B$3</f>
        <v>2019-04-26 18:00</v>
      </c>
      <c r="AC169" s="26">
        <f>('Run Parameters'!$B$2) - 7</f>
        <v>43574.333333333336</v>
      </c>
      <c r="AD169" s="17" t="s">
        <v>75</v>
      </c>
      <c r="AE169" s="18" t="str">
        <f t="shared" si="190"/>
        <v>LAST_METER-3683</v>
      </c>
      <c r="AF169" s="133" t="str">
        <f>'Run Parameters'!$B$2</f>
        <v>2019-04-26 08:00</v>
      </c>
      <c r="AG169" s="13" t="str">
        <f>'Run Parameters'!B$4</f>
        <v>AUTOTEST2</v>
      </c>
      <c r="AH169" s="53" t="str">
        <f t="shared" si="191"/>
        <v>Site_Contact_3683</v>
      </c>
      <c r="AI169" s="133" t="str">
        <f>'Run Parameters'!B$2</f>
        <v>2019-04-26 08:00</v>
      </c>
      <c r="AJ169" s="213" t="str">
        <f>'Run Parameters'!B$3</f>
        <v>2019-04-26 18:00</v>
      </c>
      <c r="AK169" s="13" t="s">
        <v>396</v>
      </c>
      <c r="AL169" s="53" t="str">
        <f t="shared" si="192"/>
        <v>011593683</v>
      </c>
      <c r="AM169" s="13" t="str">
        <f t="shared" si="193"/>
        <v>01153683</v>
      </c>
      <c r="AN169" s="15"/>
      <c r="AO169" s="51"/>
      <c r="AP169" s="13">
        <v>1</v>
      </c>
      <c r="AQ169" s="52" t="s">
        <v>49</v>
      </c>
      <c r="AR169" s="15"/>
      <c r="AS169" s="13"/>
      <c r="AT169" s="7" t="s">
        <v>774</v>
      </c>
      <c r="AU169" s="7"/>
      <c r="AV169" s="13">
        <f t="shared" si="194"/>
        <v>3683</v>
      </c>
      <c r="AW169" s="13" t="s">
        <v>775</v>
      </c>
      <c r="AX169" s="13" t="s">
        <v>420</v>
      </c>
      <c r="AY169" s="13" t="s">
        <v>421</v>
      </c>
      <c r="AZ169" s="15" t="s">
        <v>334</v>
      </c>
      <c r="BA169" s="14" t="s">
        <v>154</v>
      </c>
      <c r="BB169" s="21">
        <v>1</v>
      </c>
      <c r="BC169" s="20">
        <f t="shared" si="195"/>
        <v>3683</v>
      </c>
      <c r="BD169" s="16" t="s">
        <v>776</v>
      </c>
      <c r="BE169" s="16" t="s">
        <v>391</v>
      </c>
      <c r="BF169" s="16" t="s">
        <v>391</v>
      </c>
      <c r="BG169" s="20" t="s">
        <v>773</v>
      </c>
      <c r="BH169" s="20" t="str">
        <f t="shared" si="196"/>
        <v>3683_1</v>
      </c>
      <c r="BI169" s="21"/>
      <c r="BJ169" s="21" t="str">
        <f t="shared" si="197"/>
        <v>100000003683</v>
      </c>
      <c r="BK169" s="16" t="s">
        <v>51</v>
      </c>
      <c r="BL169" s="16" t="s">
        <v>54</v>
      </c>
      <c r="BM169" s="20" t="s">
        <v>769</v>
      </c>
      <c r="BN169" s="16" t="s">
        <v>51</v>
      </c>
      <c r="BO169" s="20" t="str">
        <f t="shared" si="198"/>
        <v>S05S3683</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GAS_ENQ_NO-3683</v>
      </c>
      <c r="CK169" s="7" t="s">
        <v>779</v>
      </c>
      <c r="CL169" s="7" t="s">
        <v>391</v>
      </c>
      <c r="CM169" s="7" t="s">
        <v>391</v>
      </c>
      <c r="CN169" s="6" t="s">
        <v>780</v>
      </c>
      <c r="CO169" s="6" t="str">
        <f t="shared" si="200"/>
        <v>GAS_JOB_ID-3683</v>
      </c>
      <c r="CP169" s="7"/>
      <c r="CQ169" s="6" t="str">
        <f t="shared" si="201"/>
        <v>100003683</v>
      </c>
      <c r="CR169" s="6" t="s">
        <v>154</v>
      </c>
      <c r="CS169" s="7" t="s">
        <v>51</v>
      </c>
      <c r="CT169" s="27" t="str">
        <f t="shared" si="202"/>
        <v>GMETER3683</v>
      </c>
      <c r="CU169" s="6" t="s">
        <v>161</v>
      </c>
      <c r="CV169" s="7" t="s">
        <v>165</v>
      </c>
      <c r="CW169" s="7" t="s">
        <v>772</v>
      </c>
      <c r="CX169" s="7"/>
      <c r="CY169" s="7"/>
      <c r="CZ169" s="7" t="s">
        <v>394</v>
      </c>
      <c r="DA169" s="7" t="s">
        <v>395</v>
      </c>
      <c r="DB169" s="6" t="str">
        <f t="shared" si="163"/>
        <v>GAS_INST_ID-3683</v>
      </c>
      <c r="DC169" s="7" t="s">
        <v>161</v>
      </c>
      <c r="DD169" s="7"/>
      <c r="DE169" s="7" t="s">
        <v>51</v>
      </c>
      <c r="DF169" s="7" t="s">
        <v>264</v>
      </c>
      <c r="DG169" s="7"/>
      <c r="DH169" s="7" t="s">
        <v>397</v>
      </c>
      <c r="DI169" s="7" t="s">
        <v>399</v>
      </c>
      <c r="DJ169" s="10" t="s">
        <v>778</v>
      </c>
      <c r="DK169" s="7" t="s">
        <v>140</v>
      </c>
      <c r="DL169" s="40"/>
      <c r="DM169" s="40"/>
      <c r="DN169" s="38" t="str">
        <f t="shared" si="164"/>
        <v>DS_Pass-3683</v>
      </c>
      <c r="DO169" s="40"/>
      <c r="DP169" s="40"/>
      <c r="DQ169" s="40"/>
      <c r="DR169" s="41"/>
      <c r="DS169" s="41"/>
      <c r="DT169" s="40"/>
      <c r="DU169" s="40"/>
      <c r="DV169" s="40"/>
      <c r="DW169" s="41"/>
      <c r="DX169" s="40"/>
      <c r="DY169" s="40"/>
      <c r="DZ169" s="37" t="s">
        <v>777</v>
      </c>
      <c r="EA169" s="39"/>
      <c r="EB169" s="37"/>
      <c r="EC169" s="37"/>
      <c r="ED169" s="16"/>
      <c r="EE169" s="1"/>
      <c r="EF169" s="54"/>
    </row>
    <row r="170" spans="1:136" x14ac:dyDescent="0.2">
      <c r="A170" s="209" t="s">
        <v>939</v>
      </c>
      <c r="B170" s="209" t="s">
        <v>892</v>
      </c>
      <c r="C170" s="209" t="s">
        <v>865</v>
      </c>
      <c r="D170" s="13">
        <f>'Run Parameters'!$B$1 + ROW()-1</f>
        <v>3684</v>
      </c>
      <c r="E170" s="15" t="s">
        <v>47</v>
      </c>
      <c r="F170" s="18" t="s">
        <v>816</v>
      </c>
      <c r="G170" s="13" t="str">
        <f t="shared" si="182"/>
        <v>Access Dtls-3684</v>
      </c>
      <c r="H170" s="15" t="s">
        <v>275</v>
      </c>
      <c r="I170" s="13" t="str">
        <f>("MR. Test_161_FLTY17_"&amp;D170&amp;"")</f>
        <v>MR. Test_161_FLTY17_3684</v>
      </c>
      <c r="J170" s="18"/>
      <c r="K170" s="19" t="s">
        <v>425</v>
      </c>
      <c r="L170" s="13" t="str">
        <f t="shared" si="183"/>
        <v>Cust. Ref-3684</v>
      </c>
      <c r="M170" s="15" t="s">
        <v>48</v>
      </c>
      <c r="N170" s="15" t="s">
        <v>425</v>
      </c>
      <c r="O170" s="13"/>
      <c r="P170" s="13" t="str">
        <f t="shared" si="184"/>
        <v>SN-3684</v>
      </c>
      <c r="Q170" s="13" t="str">
        <f t="shared" si="185"/>
        <v>SI-3684</v>
      </c>
      <c r="R170" s="13" t="str">
        <f t="shared" si="186"/>
        <v>SE-3684</v>
      </c>
      <c r="S170" s="53" t="str">
        <f t="shared" si="187"/>
        <v>Prev_RA-3684</v>
      </c>
      <c r="T170" s="53" t="str">
        <f t="shared" si="188"/>
        <v>Prev_Comms-3684</v>
      </c>
      <c r="U170" s="17" t="s">
        <v>75</v>
      </c>
      <c r="V170" s="15" t="s">
        <v>401</v>
      </c>
      <c r="W170" s="17" t="s">
        <v>75</v>
      </c>
      <c r="X170" s="15" t="s">
        <v>396</v>
      </c>
      <c r="Y170" s="13" t="str">
        <f t="shared" si="189"/>
        <v>Forward Add-3684</v>
      </c>
      <c r="Z170" s="15" t="s">
        <v>401</v>
      </c>
      <c r="AA170" s="133" t="str">
        <f>'Run Parameters'!$B$2</f>
        <v>2019-04-26 08:00</v>
      </c>
      <c r="AB170" s="213" t="str">
        <f>'Run Parameters'!B$3</f>
        <v>2019-04-26 18:00</v>
      </c>
      <c r="AC170" s="26">
        <f>('Run Parameters'!$B$2) - 7</f>
        <v>43574.333333333336</v>
      </c>
      <c r="AD170" s="17" t="s">
        <v>75</v>
      </c>
      <c r="AE170" s="18" t="str">
        <f t="shared" si="190"/>
        <v>LAST_METER-3684</v>
      </c>
      <c r="AF170" s="133" t="str">
        <f>'Run Parameters'!$B$2</f>
        <v>2019-04-26 08:00</v>
      </c>
      <c r="AG170" s="13" t="str">
        <f>'Run Parameters'!B$4</f>
        <v>AUTOTEST2</v>
      </c>
      <c r="AH170" s="53" t="str">
        <f t="shared" si="191"/>
        <v>Site_Contact_3684</v>
      </c>
      <c r="AI170" s="133" t="str">
        <f>'Run Parameters'!B$2</f>
        <v>2019-04-26 08:00</v>
      </c>
      <c r="AJ170" s="213" t="str">
        <f>'Run Parameters'!B$3</f>
        <v>2019-04-26 18:00</v>
      </c>
      <c r="AK170" s="13" t="s">
        <v>396</v>
      </c>
      <c r="AL170" s="53" t="str">
        <f t="shared" si="192"/>
        <v>011593684</v>
      </c>
      <c r="AM170" s="13" t="str">
        <f t="shared" si="193"/>
        <v>01153684</v>
      </c>
      <c r="AN170" s="15"/>
      <c r="AO170" s="51"/>
      <c r="AP170" s="13">
        <v>1</v>
      </c>
      <c r="AQ170" s="52" t="s">
        <v>49</v>
      </c>
      <c r="AR170" s="15"/>
      <c r="AS170" s="13"/>
      <c r="AT170" s="7" t="s">
        <v>774</v>
      </c>
      <c r="AU170" s="7"/>
      <c r="AV170" s="13">
        <f t="shared" si="194"/>
        <v>3684</v>
      </c>
      <c r="AW170" s="13" t="s">
        <v>775</v>
      </c>
      <c r="AX170" s="13" t="s">
        <v>420</v>
      </c>
      <c r="AY170" s="13" t="s">
        <v>421</v>
      </c>
      <c r="AZ170" s="15" t="s">
        <v>334</v>
      </c>
      <c r="BA170" s="14" t="s">
        <v>154</v>
      </c>
      <c r="BB170" s="21">
        <v>1</v>
      </c>
      <c r="BC170" s="20">
        <f t="shared" si="195"/>
        <v>3684</v>
      </c>
      <c r="BD170" s="16" t="s">
        <v>776</v>
      </c>
      <c r="BE170" s="16" t="s">
        <v>391</v>
      </c>
      <c r="BF170" s="16" t="s">
        <v>391</v>
      </c>
      <c r="BG170" s="20" t="s">
        <v>773</v>
      </c>
      <c r="BH170" s="20" t="str">
        <f t="shared" si="196"/>
        <v>3684_1</v>
      </c>
      <c r="BI170" s="21"/>
      <c r="BJ170" s="21" t="str">
        <f t="shared" si="197"/>
        <v>100000003684</v>
      </c>
      <c r="BK170" s="16" t="s">
        <v>51</v>
      </c>
      <c r="BL170" s="16" t="s">
        <v>54</v>
      </c>
      <c r="BM170" s="20" t="s">
        <v>769</v>
      </c>
      <c r="BN170" s="16" t="s">
        <v>51</v>
      </c>
      <c r="BO170" s="20" t="str">
        <f t="shared" si="198"/>
        <v>S05S3684</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GAS_ENQ_NO-3684</v>
      </c>
      <c r="CK170" s="7" t="s">
        <v>779</v>
      </c>
      <c r="CL170" s="7" t="s">
        <v>391</v>
      </c>
      <c r="CM170" s="7" t="s">
        <v>391</v>
      </c>
      <c r="CN170" s="6" t="s">
        <v>780</v>
      </c>
      <c r="CO170" s="6" t="str">
        <f t="shared" si="200"/>
        <v>GAS_JOB_ID-3684</v>
      </c>
      <c r="CP170" s="7"/>
      <c r="CQ170" s="6" t="str">
        <f t="shared" si="201"/>
        <v>100003684</v>
      </c>
      <c r="CR170" s="6" t="s">
        <v>154</v>
      </c>
      <c r="CS170" s="7" t="s">
        <v>51</v>
      </c>
      <c r="CT170" s="27" t="str">
        <f t="shared" si="202"/>
        <v>GMETER3684</v>
      </c>
      <c r="CU170" s="6" t="s">
        <v>161</v>
      </c>
      <c r="CV170" s="7" t="s">
        <v>165</v>
      </c>
      <c r="CW170" s="7" t="s">
        <v>772</v>
      </c>
      <c r="CX170" s="7"/>
      <c r="CY170" s="7"/>
      <c r="CZ170" s="7" t="s">
        <v>394</v>
      </c>
      <c r="DA170" s="7" t="s">
        <v>395</v>
      </c>
      <c r="DB170" s="6" t="str">
        <f t="shared" si="163"/>
        <v>GAS_INST_ID-3684</v>
      </c>
      <c r="DC170" s="7" t="s">
        <v>161</v>
      </c>
      <c r="DD170" s="7"/>
      <c r="DE170" s="7" t="s">
        <v>51</v>
      </c>
      <c r="DF170" s="7" t="s">
        <v>264</v>
      </c>
      <c r="DG170" s="7"/>
      <c r="DH170" s="7" t="s">
        <v>397</v>
      </c>
      <c r="DI170" s="7" t="s">
        <v>399</v>
      </c>
      <c r="DJ170" s="10" t="s">
        <v>778</v>
      </c>
      <c r="DK170" s="7" t="s">
        <v>140</v>
      </c>
      <c r="DL170" s="40"/>
      <c r="DM170" s="40"/>
      <c r="DN170" s="38" t="str">
        <f t="shared" si="164"/>
        <v>DS_Pass-3684</v>
      </c>
      <c r="DO170" s="40"/>
      <c r="DP170" s="40"/>
      <c r="DQ170" s="40"/>
      <c r="DR170" s="41"/>
      <c r="DS170" s="41"/>
      <c r="DT170" s="40"/>
      <c r="DU170" s="40"/>
      <c r="DV170" s="40"/>
      <c r="DW170" s="41"/>
      <c r="DX170" s="40"/>
      <c r="DY170" s="40"/>
      <c r="DZ170" s="37" t="s">
        <v>777</v>
      </c>
      <c r="EA170" s="39"/>
      <c r="EB170" s="37"/>
      <c r="EC170" s="37"/>
      <c r="ED170" s="16"/>
      <c r="EE170" s="1"/>
      <c r="EF170" s="54"/>
    </row>
    <row r="171" spans="1:136" x14ac:dyDescent="0.2">
      <c r="A171" s="209" t="s">
        <v>940</v>
      </c>
      <c r="B171" s="209" t="s">
        <v>868</v>
      </c>
      <c r="C171" s="209" t="s">
        <v>865</v>
      </c>
      <c r="D171" s="13">
        <f>'Run Parameters'!$B$1 + ROW()-1</f>
        <v>3685</v>
      </c>
      <c r="E171" s="15" t="s">
        <v>47</v>
      </c>
      <c r="F171" s="18" t="s">
        <v>816</v>
      </c>
      <c r="G171" s="13" t="str">
        <f t="shared" si="182"/>
        <v>Access Dtls-3685</v>
      </c>
      <c r="H171" s="15" t="s">
        <v>275</v>
      </c>
      <c r="I171" s="13" t="str">
        <f>("MR. Test_162_FLTY17_"&amp;D171&amp;"")</f>
        <v>MR. Test_162_FLTY17_3685</v>
      </c>
      <c r="J171" s="18"/>
      <c r="K171" s="19" t="s">
        <v>425</v>
      </c>
      <c r="L171" s="13" t="str">
        <f t="shared" si="183"/>
        <v>Cust. Ref-3685</v>
      </c>
      <c r="M171" s="15" t="s">
        <v>48</v>
      </c>
      <c r="N171" s="15" t="s">
        <v>425</v>
      </c>
      <c r="O171" s="13"/>
      <c r="P171" s="13" t="str">
        <f t="shared" si="184"/>
        <v>SN-3685</v>
      </c>
      <c r="Q171" s="13" t="str">
        <f t="shared" si="185"/>
        <v>SI-3685</v>
      </c>
      <c r="R171" s="13" t="str">
        <f t="shared" si="186"/>
        <v>SE-3685</v>
      </c>
      <c r="S171" s="53" t="str">
        <f t="shared" si="187"/>
        <v>Prev_RA-3685</v>
      </c>
      <c r="T171" s="53" t="str">
        <f t="shared" si="188"/>
        <v>Prev_Comms-3685</v>
      </c>
      <c r="U171" s="17" t="s">
        <v>75</v>
      </c>
      <c r="V171" s="15" t="s">
        <v>401</v>
      </c>
      <c r="W171" s="17" t="s">
        <v>75</v>
      </c>
      <c r="X171" s="15" t="s">
        <v>396</v>
      </c>
      <c r="Y171" s="13" t="str">
        <f t="shared" si="189"/>
        <v>Forward Add-3685</v>
      </c>
      <c r="Z171" s="15" t="s">
        <v>401</v>
      </c>
      <c r="AA171" s="133" t="str">
        <f>'Run Parameters'!$B$2</f>
        <v>2019-04-26 08:00</v>
      </c>
      <c r="AB171" s="213" t="str">
        <f>'Run Parameters'!B$3</f>
        <v>2019-04-26 18:00</v>
      </c>
      <c r="AC171" s="26">
        <f>('Run Parameters'!$B$2) - 7</f>
        <v>43574.333333333336</v>
      </c>
      <c r="AD171" s="17" t="s">
        <v>75</v>
      </c>
      <c r="AE171" s="18" t="str">
        <f t="shared" si="190"/>
        <v>LAST_METER-3685</v>
      </c>
      <c r="AF171" s="133" t="str">
        <f>'Run Parameters'!$B$2</f>
        <v>2019-04-26 08:00</v>
      </c>
      <c r="AG171" s="13" t="str">
        <f>'Run Parameters'!B$4</f>
        <v>AUTOTEST2</v>
      </c>
      <c r="AH171" s="53" t="str">
        <f t="shared" si="191"/>
        <v>Site_Contact_3685</v>
      </c>
      <c r="AI171" s="133" t="str">
        <f>'Run Parameters'!B$2</f>
        <v>2019-04-26 08:00</v>
      </c>
      <c r="AJ171" s="213" t="str">
        <f>'Run Parameters'!B$3</f>
        <v>2019-04-26 18:00</v>
      </c>
      <c r="AK171" s="13" t="s">
        <v>396</v>
      </c>
      <c r="AL171" s="53" t="str">
        <f t="shared" si="192"/>
        <v>011593685</v>
      </c>
      <c r="AM171" s="13" t="str">
        <f t="shared" si="193"/>
        <v>01153685</v>
      </c>
      <c r="AN171" s="15"/>
      <c r="AO171" s="51"/>
      <c r="AP171" s="13">
        <v>1</v>
      </c>
      <c r="AQ171" s="52" t="s">
        <v>49</v>
      </c>
      <c r="AR171" s="15"/>
      <c r="AS171" s="13"/>
      <c r="AT171" s="7" t="s">
        <v>774</v>
      </c>
      <c r="AU171" s="7"/>
      <c r="AV171" s="13">
        <f t="shared" si="194"/>
        <v>3685</v>
      </c>
      <c r="AW171" s="13" t="s">
        <v>775</v>
      </c>
      <c r="AX171" s="13" t="s">
        <v>420</v>
      </c>
      <c r="AY171" s="13" t="s">
        <v>421</v>
      </c>
      <c r="AZ171" s="15" t="s">
        <v>334</v>
      </c>
      <c r="BA171" s="14" t="s">
        <v>154</v>
      </c>
      <c r="BB171" s="21">
        <v>1</v>
      </c>
      <c r="BC171" s="20">
        <f t="shared" si="195"/>
        <v>3685</v>
      </c>
      <c r="BD171" s="16" t="s">
        <v>776</v>
      </c>
      <c r="BE171" s="16" t="s">
        <v>391</v>
      </c>
      <c r="BF171" s="16" t="s">
        <v>391</v>
      </c>
      <c r="BG171" s="20" t="s">
        <v>773</v>
      </c>
      <c r="BH171" s="20" t="str">
        <f t="shared" si="196"/>
        <v>3685_1</v>
      </c>
      <c r="BI171" s="21"/>
      <c r="BJ171" s="21" t="str">
        <f t="shared" si="197"/>
        <v>100000003685</v>
      </c>
      <c r="BK171" s="16" t="s">
        <v>51</v>
      </c>
      <c r="BL171" s="16" t="s">
        <v>54</v>
      </c>
      <c r="BM171" s="20" t="s">
        <v>769</v>
      </c>
      <c r="BN171" s="16" t="s">
        <v>51</v>
      </c>
      <c r="BO171" s="20" t="str">
        <f t="shared" si="198"/>
        <v>S05S3685</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GAS_ENQ_NO-3685</v>
      </c>
      <c r="CK171" s="7" t="s">
        <v>779</v>
      </c>
      <c r="CL171" s="7" t="s">
        <v>391</v>
      </c>
      <c r="CM171" s="7" t="s">
        <v>391</v>
      </c>
      <c r="CN171" s="6" t="s">
        <v>780</v>
      </c>
      <c r="CO171" s="6" t="str">
        <f t="shared" si="200"/>
        <v>GAS_JOB_ID-3685</v>
      </c>
      <c r="CP171" s="7"/>
      <c r="CQ171" s="6" t="str">
        <f t="shared" si="201"/>
        <v>100003685</v>
      </c>
      <c r="CR171" s="6" t="s">
        <v>154</v>
      </c>
      <c r="CS171" s="7" t="s">
        <v>51</v>
      </c>
      <c r="CT171" s="27" t="str">
        <f t="shared" si="202"/>
        <v>GMETER3685</v>
      </c>
      <c r="CU171" s="6" t="s">
        <v>161</v>
      </c>
      <c r="CV171" s="7" t="s">
        <v>165</v>
      </c>
      <c r="CW171" s="7" t="s">
        <v>772</v>
      </c>
      <c r="CX171" s="7"/>
      <c r="CY171" s="7"/>
      <c r="CZ171" s="7" t="s">
        <v>394</v>
      </c>
      <c r="DA171" s="7" t="s">
        <v>395</v>
      </c>
      <c r="DB171" s="6" t="str">
        <f t="shared" si="163"/>
        <v>GAS_INST_ID-3685</v>
      </c>
      <c r="DC171" s="7" t="s">
        <v>161</v>
      </c>
      <c r="DD171" s="7"/>
      <c r="DE171" s="7" t="s">
        <v>51</v>
      </c>
      <c r="DF171" s="7" t="s">
        <v>264</v>
      </c>
      <c r="DG171" s="7"/>
      <c r="DH171" s="7" t="s">
        <v>397</v>
      </c>
      <c r="DI171" s="7" t="s">
        <v>399</v>
      </c>
      <c r="DJ171" s="10" t="s">
        <v>778</v>
      </c>
      <c r="DK171" s="7" t="s">
        <v>140</v>
      </c>
      <c r="DL171" s="40"/>
      <c r="DM171" s="40"/>
      <c r="DN171" s="38" t="str">
        <f t="shared" si="164"/>
        <v>DS_Pass-3685</v>
      </c>
      <c r="DO171" s="40"/>
      <c r="DP171" s="40"/>
      <c r="DQ171" s="40"/>
      <c r="DR171" s="41"/>
      <c r="DS171" s="41"/>
      <c r="DT171" s="40"/>
      <c r="DU171" s="40"/>
      <c r="DV171" s="40"/>
      <c r="DW171" s="41"/>
      <c r="DX171" s="40"/>
      <c r="DY171" s="40"/>
      <c r="DZ171" s="37" t="s">
        <v>777</v>
      </c>
      <c r="EA171" s="39"/>
      <c r="EB171" s="37"/>
      <c r="EC171" s="37"/>
      <c r="ED171" s="16"/>
      <c r="EE171" s="1"/>
      <c r="EF171" s="54"/>
    </row>
    <row r="172" spans="1:136" x14ac:dyDescent="0.2">
      <c r="A172" s="209" t="s">
        <v>941</v>
      </c>
      <c r="B172" s="209" t="s">
        <v>892</v>
      </c>
      <c r="C172" s="209" t="s">
        <v>865</v>
      </c>
      <c r="D172" s="13">
        <f>'Run Parameters'!$B$1 + ROW()-1</f>
        <v>3686</v>
      </c>
      <c r="E172" s="15" t="s">
        <v>47</v>
      </c>
      <c r="F172" s="18" t="s">
        <v>816</v>
      </c>
      <c r="G172" s="13" t="str">
        <f t="shared" si="182"/>
        <v>Access Dtls-3686</v>
      </c>
      <c r="H172" s="15" t="s">
        <v>275</v>
      </c>
      <c r="I172" s="13" t="str">
        <f>("MR. Test_163_FLTY17_"&amp;D172&amp;"")</f>
        <v>MR. Test_163_FLTY17_3686</v>
      </c>
      <c r="J172" s="18"/>
      <c r="K172" s="19" t="s">
        <v>425</v>
      </c>
      <c r="L172" s="13" t="str">
        <f t="shared" si="183"/>
        <v>Cust. Ref-3686</v>
      </c>
      <c r="M172" s="15" t="s">
        <v>48</v>
      </c>
      <c r="N172" s="15" t="s">
        <v>425</v>
      </c>
      <c r="O172" s="13"/>
      <c r="P172" s="13" t="str">
        <f t="shared" si="184"/>
        <v>SN-3686</v>
      </c>
      <c r="Q172" s="13" t="str">
        <f t="shared" si="185"/>
        <v>SI-3686</v>
      </c>
      <c r="R172" s="13" t="str">
        <f t="shared" si="186"/>
        <v>SE-3686</v>
      </c>
      <c r="S172" s="53" t="str">
        <f t="shared" si="187"/>
        <v>Prev_RA-3686</v>
      </c>
      <c r="T172" s="53" t="str">
        <f t="shared" si="188"/>
        <v>Prev_Comms-3686</v>
      </c>
      <c r="U172" s="17" t="s">
        <v>75</v>
      </c>
      <c r="V172" s="15" t="s">
        <v>401</v>
      </c>
      <c r="W172" s="17" t="s">
        <v>75</v>
      </c>
      <c r="X172" s="15" t="s">
        <v>396</v>
      </c>
      <c r="Y172" s="13" t="str">
        <f t="shared" si="189"/>
        <v>Forward Add-3686</v>
      </c>
      <c r="Z172" s="15" t="s">
        <v>401</v>
      </c>
      <c r="AA172" s="133" t="str">
        <f>'Run Parameters'!$B$2</f>
        <v>2019-04-26 08:00</v>
      </c>
      <c r="AB172" s="213" t="str">
        <f>'Run Parameters'!B$3</f>
        <v>2019-04-26 18:00</v>
      </c>
      <c r="AC172" s="26">
        <f>('Run Parameters'!$B$2) - 7</f>
        <v>43574.333333333336</v>
      </c>
      <c r="AD172" s="17" t="s">
        <v>75</v>
      </c>
      <c r="AE172" s="18" t="str">
        <f t="shared" si="190"/>
        <v>LAST_METER-3686</v>
      </c>
      <c r="AF172" s="133" t="str">
        <f>'Run Parameters'!$B$2</f>
        <v>2019-04-26 08:00</v>
      </c>
      <c r="AG172" s="13" t="str">
        <f>'Run Parameters'!B$4</f>
        <v>AUTOTEST2</v>
      </c>
      <c r="AH172" s="53" t="str">
        <f t="shared" si="191"/>
        <v>Site_Contact_3686</v>
      </c>
      <c r="AI172" s="133" t="str">
        <f>'Run Parameters'!B$2</f>
        <v>2019-04-26 08:00</v>
      </c>
      <c r="AJ172" s="213" t="str">
        <f>'Run Parameters'!B$3</f>
        <v>2019-04-26 18:00</v>
      </c>
      <c r="AK172" s="13" t="s">
        <v>396</v>
      </c>
      <c r="AL172" s="53" t="str">
        <f t="shared" si="192"/>
        <v>011593686</v>
      </c>
      <c r="AM172" s="13" t="str">
        <f t="shared" si="193"/>
        <v>01153686</v>
      </c>
      <c r="AN172" s="15"/>
      <c r="AO172" s="51"/>
      <c r="AP172" s="13">
        <v>1</v>
      </c>
      <c r="AQ172" s="52" t="s">
        <v>49</v>
      </c>
      <c r="AR172" s="15"/>
      <c r="AS172" s="13"/>
      <c r="AT172" s="7" t="s">
        <v>774</v>
      </c>
      <c r="AU172" s="7"/>
      <c r="AV172" s="13">
        <f t="shared" si="194"/>
        <v>3686</v>
      </c>
      <c r="AW172" s="13" t="s">
        <v>775</v>
      </c>
      <c r="AX172" s="13" t="s">
        <v>420</v>
      </c>
      <c r="AY172" s="13" t="s">
        <v>421</v>
      </c>
      <c r="AZ172" s="15" t="s">
        <v>334</v>
      </c>
      <c r="BA172" s="14" t="s">
        <v>154</v>
      </c>
      <c r="BB172" s="21">
        <v>1</v>
      </c>
      <c r="BC172" s="20">
        <f t="shared" si="195"/>
        <v>3686</v>
      </c>
      <c r="BD172" s="16" t="s">
        <v>776</v>
      </c>
      <c r="BE172" s="16" t="s">
        <v>391</v>
      </c>
      <c r="BF172" s="16" t="s">
        <v>391</v>
      </c>
      <c r="BG172" s="20" t="s">
        <v>773</v>
      </c>
      <c r="BH172" s="20" t="str">
        <f t="shared" si="196"/>
        <v>3686_1</v>
      </c>
      <c r="BI172" s="21"/>
      <c r="BJ172" s="21" t="str">
        <f t="shared" si="197"/>
        <v>100000003686</v>
      </c>
      <c r="BK172" s="16" t="s">
        <v>51</v>
      </c>
      <c r="BL172" s="16" t="s">
        <v>54</v>
      </c>
      <c r="BM172" s="20" t="s">
        <v>769</v>
      </c>
      <c r="BN172" s="16" t="s">
        <v>51</v>
      </c>
      <c r="BO172" s="20" t="str">
        <f t="shared" si="198"/>
        <v>S05S3686</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GAS_ENQ_NO-3686</v>
      </c>
      <c r="CK172" s="7" t="s">
        <v>779</v>
      </c>
      <c r="CL172" s="7" t="s">
        <v>391</v>
      </c>
      <c r="CM172" s="7" t="s">
        <v>391</v>
      </c>
      <c r="CN172" s="6" t="s">
        <v>780</v>
      </c>
      <c r="CO172" s="6" t="str">
        <f t="shared" si="200"/>
        <v>GAS_JOB_ID-3686</v>
      </c>
      <c r="CP172" s="7"/>
      <c r="CQ172" s="6" t="str">
        <f t="shared" si="201"/>
        <v>100003686</v>
      </c>
      <c r="CR172" s="6" t="s">
        <v>154</v>
      </c>
      <c r="CS172" s="7" t="s">
        <v>51</v>
      </c>
      <c r="CT172" s="27" t="str">
        <f t="shared" si="202"/>
        <v>GMETER3686</v>
      </c>
      <c r="CU172" s="6" t="s">
        <v>161</v>
      </c>
      <c r="CV172" s="7" t="s">
        <v>165</v>
      </c>
      <c r="CW172" s="7" t="s">
        <v>772</v>
      </c>
      <c r="CX172" s="7"/>
      <c r="CY172" s="7"/>
      <c r="CZ172" s="7" t="s">
        <v>394</v>
      </c>
      <c r="DA172" s="7" t="s">
        <v>395</v>
      </c>
      <c r="DB172" s="6" t="str">
        <f t="shared" si="163"/>
        <v>GAS_INST_ID-3686</v>
      </c>
      <c r="DC172" s="7" t="s">
        <v>161</v>
      </c>
      <c r="DD172" s="7"/>
      <c r="DE172" s="7" t="s">
        <v>51</v>
      </c>
      <c r="DF172" s="7" t="s">
        <v>264</v>
      </c>
      <c r="DG172" s="7"/>
      <c r="DH172" s="7" t="s">
        <v>397</v>
      </c>
      <c r="DI172" s="7" t="s">
        <v>399</v>
      </c>
      <c r="DJ172" s="10" t="s">
        <v>778</v>
      </c>
      <c r="DK172" s="7" t="s">
        <v>140</v>
      </c>
      <c r="DL172" s="40"/>
      <c r="DM172" s="40"/>
      <c r="DN172" s="38" t="str">
        <f t="shared" si="164"/>
        <v>DS_Pass-3686</v>
      </c>
      <c r="DO172" s="40"/>
      <c r="DP172" s="40"/>
      <c r="DQ172" s="40"/>
      <c r="DR172" s="41"/>
      <c r="DS172" s="41"/>
      <c r="DT172" s="40"/>
      <c r="DU172" s="40"/>
      <c r="DV172" s="40"/>
      <c r="DW172" s="41"/>
      <c r="DX172" s="40"/>
      <c r="DY172" s="40"/>
      <c r="DZ172" s="37" t="s">
        <v>777</v>
      </c>
      <c r="EA172" s="39"/>
      <c r="EB172" s="37"/>
      <c r="EC172" s="37"/>
      <c r="ED172" s="16"/>
      <c r="EE172" s="1"/>
      <c r="EF172" s="54"/>
    </row>
    <row r="173" spans="1:136" x14ac:dyDescent="0.2">
      <c r="A173" s="209" t="s">
        <v>942</v>
      </c>
      <c r="B173" s="209" t="s">
        <v>868</v>
      </c>
      <c r="C173" s="209" t="s">
        <v>865</v>
      </c>
      <c r="D173" s="13">
        <f>'Run Parameters'!$B$1 + ROW()-1</f>
        <v>3687</v>
      </c>
      <c r="E173" s="15" t="s">
        <v>47</v>
      </c>
      <c r="F173" s="18" t="s">
        <v>816</v>
      </c>
      <c r="G173" s="13" t="str">
        <f t="shared" si="182"/>
        <v>Access Dtls-3687</v>
      </c>
      <c r="H173" s="15" t="s">
        <v>275</v>
      </c>
      <c r="I173" s="13" t="str">
        <f>("MR. Test_164_FLTY17_"&amp;D173&amp;"")</f>
        <v>MR. Test_164_FLTY17_3687</v>
      </c>
      <c r="J173" s="18"/>
      <c r="K173" s="19" t="s">
        <v>425</v>
      </c>
      <c r="L173" s="13" t="str">
        <f t="shared" si="183"/>
        <v>Cust. Ref-3687</v>
      </c>
      <c r="M173" s="15" t="s">
        <v>48</v>
      </c>
      <c r="N173" s="15" t="s">
        <v>425</v>
      </c>
      <c r="O173" s="13"/>
      <c r="P173" s="13" t="str">
        <f t="shared" si="184"/>
        <v>SN-3687</v>
      </c>
      <c r="Q173" s="13" t="str">
        <f t="shared" si="185"/>
        <v>SI-3687</v>
      </c>
      <c r="R173" s="13" t="str">
        <f t="shared" si="186"/>
        <v>SE-3687</v>
      </c>
      <c r="S173" s="53" t="str">
        <f t="shared" si="187"/>
        <v>Prev_RA-3687</v>
      </c>
      <c r="T173" s="53" t="str">
        <f t="shared" si="188"/>
        <v>Prev_Comms-3687</v>
      </c>
      <c r="U173" s="17" t="s">
        <v>75</v>
      </c>
      <c r="V173" s="15" t="s">
        <v>401</v>
      </c>
      <c r="W173" s="17" t="s">
        <v>75</v>
      </c>
      <c r="X173" s="15" t="s">
        <v>396</v>
      </c>
      <c r="Y173" s="13" t="str">
        <f t="shared" si="189"/>
        <v>Forward Add-3687</v>
      </c>
      <c r="Z173" s="15" t="s">
        <v>401</v>
      </c>
      <c r="AA173" s="133" t="str">
        <f>'Run Parameters'!$B$2</f>
        <v>2019-04-26 08:00</v>
      </c>
      <c r="AB173" s="213" t="str">
        <f>'Run Parameters'!B$3</f>
        <v>2019-04-26 18:00</v>
      </c>
      <c r="AC173" s="26">
        <f>('Run Parameters'!$B$2) - 7</f>
        <v>43574.333333333336</v>
      </c>
      <c r="AD173" s="17" t="s">
        <v>75</v>
      </c>
      <c r="AE173" s="18" t="str">
        <f t="shared" si="190"/>
        <v>LAST_METER-3687</v>
      </c>
      <c r="AF173" s="133" t="str">
        <f>'Run Parameters'!$B$2</f>
        <v>2019-04-26 08:00</v>
      </c>
      <c r="AG173" s="13" t="str">
        <f>'Run Parameters'!B$4</f>
        <v>AUTOTEST2</v>
      </c>
      <c r="AH173" s="53" t="str">
        <f t="shared" si="191"/>
        <v>Site_Contact_3687</v>
      </c>
      <c r="AI173" s="133" t="str">
        <f>'Run Parameters'!B$2</f>
        <v>2019-04-26 08:00</v>
      </c>
      <c r="AJ173" s="213" t="str">
        <f>'Run Parameters'!B$3</f>
        <v>2019-04-26 18:00</v>
      </c>
      <c r="AK173" s="13" t="s">
        <v>396</v>
      </c>
      <c r="AL173" s="53" t="str">
        <f t="shared" si="192"/>
        <v>011593687</v>
      </c>
      <c r="AM173" s="13" t="str">
        <f t="shared" si="193"/>
        <v>01153687</v>
      </c>
      <c r="AN173" s="15"/>
      <c r="AO173" s="51"/>
      <c r="AP173" s="13">
        <v>1</v>
      </c>
      <c r="AQ173" s="52" t="s">
        <v>49</v>
      </c>
      <c r="AR173" s="15"/>
      <c r="AS173" s="13"/>
      <c r="AT173" s="7" t="s">
        <v>774</v>
      </c>
      <c r="AU173" s="7"/>
      <c r="AV173" s="13">
        <f t="shared" si="194"/>
        <v>3687</v>
      </c>
      <c r="AW173" s="13" t="s">
        <v>775</v>
      </c>
      <c r="AX173" s="13" t="s">
        <v>420</v>
      </c>
      <c r="AY173" s="13" t="s">
        <v>421</v>
      </c>
      <c r="AZ173" s="15" t="s">
        <v>334</v>
      </c>
      <c r="BA173" s="14" t="s">
        <v>154</v>
      </c>
      <c r="BB173" s="21">
        <v>1</v>
      </c>
      <c r="BC173" s="20">
        <f t="shared" si="195"/>
        <v>3687</v>
      </c>
      <c r="BD173" s="16" t="s">
        <v>776</v>
      </c>
      <c r="BE173" s="16" t="s">
        <v>391</v>
      </c>
      <c r="BF173" s="16" t="s">
        <v>391</v>
      </c>
      <c r="BG173" s="20" t="s">
        <v>773</v>
      </c>
      <c r="BH173" s="20" t="str">
        <f t="shared" si="196"/>
        <v>3687_1</v>
      </c>
      <c r="BI173" s="21"/>
      <c r="BJ173" s="21" t="str">
        <f t="shared" si="197"/>
        <v>100000003687</v>
      </c>
      <c r="BK173" s="16" t="s">
        <v>51</v>
      </c>
      <c r="BL173" s="16" t="s">
        <v>54</v>
      </c>
      <c r="BM173" s="20" t="s">
        <v>769</v>
      </c>
      <c r="BN173" s="16" t="s">
        <v>51</v>
      </c>
      <c r="BO173" s="20" t="str">
        <f t="shared" si="198"/>
        <v>S05S3687</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GAS_ENQ_NO-3687</v>
      </c>
      <c r="CK173" s="7" t="s">
        <v>779</v>
      </c>
      <c r="CL173" s="7" t="s">
        <v>391</v>
      </c>
      <c r="CM173" s="7" t="s">
        <v>391</v>
      </c>
      <c r="CN173" s="6" t="s">
        <v>780</v>
      </c>
      <c r="CO173" s="6" t="str">
        <f t="shared" si="200"/>
        <v>GAS_JOB_ID-3687</v>
      </c>
      <c r="CP173" s="7"/>
      <c r="CQ173" s="6" t="str">
        <f t="shared" si="201"/>
        <v>100003687</v>
      </c>
      <c r="CR173" s="6" t="s">
        <v>154</v>
      </c>
      <c r="CS173" s="7" t="s">
        <v>51</v>
      </c>
      <c r="CT173" s="27" t="str">
        <f t="shared" si="202"/>
        <v>GMETER3687</v>
      </c>
      <c r="CU173" s="6" t="s">
        <v>161</v>
      </c>
      <c r="CV173" s="7" t="s">
        <v>165</v>
      </c>
      <c r="CW173" s="7" t="s">
        <v>772</v>
      </c>
      <c r="CX173" s="7"/>
      <c r="CY173" s="7"/>
      <c r="CZ173" s="7" t="s">
        <v>394</v>
      </c>
      <c r="DA173" s="7" t="s">
        <v>395</v>
      </c>
      <c r="DB173" s="6" t="str">
        <f t="shared" si="163"/>
        <v>GAS_INST_ID-3687</v>
      </c>
      <c r="DC173" s="7" t="s">
        <v>161</v>
      </c>
      <c r="DD173" s="7"/>
      <c r="DE173" s="7" t="s">
        <v>51</v>
      </c>
      <c r="DF173" s="7" t="s">
        <v>264</v>
      </c>
      <c r="DG173" s="7"/>
      <c r="DH173" s="7" t="s">
        <v>397</v>
      </c>
      <c r="DI173" s="7" t="s">
        <v>399</v>
      </c>
      <c r="DJ173" s="10" t="s">
        <v>778</v>
      </c>
      <c r="DK173" s="7" t="s">
        <v>140</v>
      </c>
      <c r="DL173" s="40"/>
      <c r="DM173" s="40"/>
      <c r="DN173" s="38" t="str">
        <f t="shared" si="164"/>
        <v>DS_Pass-3687</v>
      </c>
      <c r="DO173" s="40"/>
      <c r="DP173" s="40"/>
      <c r="DQ173" s="40"/>
      <c r="DR173" s="41"/>
      <c r="DS173" s="41"/>
      <c r="DT173" s="40"/>
      <c r="DU173" s="40"/>
      <c r="DV173" s="40"/>
      <c r="DW173" s="41"/>
      <c r="DX173" s="40"/>
      <c r="DY173" s="40"/>
      <c r="DZ173" s="37" t="s">
        <v>777</v>
      </c>
      <c r="EA173" s="39"/>
      <c r="EB173" s="37"/>
      <c r="EC173" s="37"/>
      <c r="ED173" s="16"/>
      <c r="EE173" s="1"/>
      <c r="EF173" s="54"/>
    </row>
    <row r="174" spans="1:136" x14ac:dyDescent="0.2">
      <c r="A174" s="209" t="s">
        <v>943</v>
      </c>
      <c r="B174" s="209" t="s">
        <v>892</v>
      </c>
      <c r="C174" s="209" t="s">
        <v>865</v>
      </c>
      <c r="D174" s="13">
        <f>'Run Parameters'!$B$1 + ROW()-1</f>
        <v>3688</v>
      </c>
      <c r="E174" s="15" t="s">
        <v>47</v>
      </c>
      <c r="F174" s="18" t="s">
        <v>816</v>
      </c>
      <c r="G174" s="13" t="str">
        <f>("Access Dtls-" &amp; D174)</f>
        <v>Access Dtls-3688</v>
      </c>
      <c r="H174" s="15" t="s">
        <v>275</v>
      </c>
      <c r="I174" s="13" t="str">
        <f>("MR. Test_165_FLTY17_"&amp;D174&amp;"")</f>
        <v>MR. Test_165_FLTY17_3688</v>
      </c>
      <c r="J174" s="18"/>
      <c r="K174" s="19" t="s">
        <v>425</v>
      </c>
      <c r="L174" s="13" t="str">
        <f>("Cust. Ref-" &amp; D174)</f>
        <v>Cust. Ref-3688</v>
      </c>
      <c r="M174" s="15" t="s">
        <v>48</v>
      </c>
      <c r="N174" s="15" t="s">
        <v>425</v>
      </c>
      <c r="O174" s="13"/>
      <c r="P174" s="13" t="str">
        <f>("SN-" &amp; D174)</f>
        <v>SN-3688</v>
      </c>
      <c r="Q174" s="13" t="str">
        <f>("SI-" &amp; D174)</f>
        <v>SI-3688</v>
      </c>
      <c r="R174" s="13" t="str">
        <f>("SE-" &amp; D174)</f>
        <v>SE-3688</v>
      </c>
      <c r="S174" s="53" t="str">
        <f>("Prev_RA-" &amp; D174)</f>
        <v>Prev_RA-3688</v>
      </c>
      <c r="T174" s="53" t="str">
        <f>("Prev_Comms-" &amp; D174)</f>
        <v>Prev_Comms-3688</v>
      </c>
      <c r="U174" s="17" t="s">
        <v>75</v>
      </c>
      <c r="V174" s="15" t="s">
        <v>401</v>
      </c>
      <c r="W174" s="17" t="s">
        <v>75</v>
      </c>
      <c r="X174" s="15" t="s">
        <v>396</v>
      </c>
      <c r="Y174" s="13" t="str">
        <f>("Forward Add-" &amp; D174)</f>
        <v>Forward Add-3688</v>
      </c>
      <c r="Z174" s="15" t="s">
        <v>401</v>
      </c>
      <c r="AA174" s="133" t="str">
        <f>'Run Parameters'!$B$2</f>
        <v>2019-04-26 08:00</v>
      </c>
      <c r="AB174" s="213" t="str">
        <f>'Run Parameters'!B$3</f>
        <v>2019-04-26 18:00</v>
      </c>
      <c r="AC174" s="26">
        <f>('Run Parameters'!$B$2) - 7</f>
        <v>43574.333333333336</v>
      </c>
      <c r="AD174" s="17" t="s">
        <v>75</v>
      </c>
      <c r="AE174" s="18" t="str">
        <f>("LAST_METER-" &amp; D174)</f>
        <v>LAST_METER-3688</v>
      </c>
      <c r="AF174" s="133" t="str">
        <f>'Run Parameters'!$B$2</f>
        <v>2019-04-26 08:00</v>
      </c>
      <c r="AG174" s="13" t="str">
        <f>'Run Parameters'!B$4</f>
        <v>AUTOTEST2</v>
      </c>
      <c r="AH174" s="53" t="str">
        <f>("Site_Contact_" &amp; D174)</f>
        <v>Site_Contact_3688</v>
      </c>
      <c r="AI174" s="133" t="str">
        <f>'Run Parameters'!B$2</f>
        <v>2019-04-26 08:00</v>
      </c>
      <c r="AJ174" s="213" t="str">
        <f>'Run Parameters'!B$3</f>
        <v>2019-04-26 18:00</v>
      </c>
      <c r="AK174" s="13" t="s">
        <v>396</v>
      </c>
      <c r="AL174" s="53" t="str">
        <f>"01159" &amp; D174</f>
        <v>011593688</v>
      </c>
      <c r="AM174" s="13" t="str">
        <f>("0115" &amp; D174)</f>
        <v>01153688</v>
      </c>
      <c r="AN174" s="15"/>
      <c r="AO174" s="51"/>
      <c r="AP174" s="13">
        <v>1</v>
      </c>
      <c r="AQ174" s="52" t="s">
        <v>49</v>
      </c>
      <c r="AR174" s="15"/>
      <c r="AS174" s="13"/>
      <c r="AT174" s="7" t="s">
        <v>774</v>
      </c>
      <c r="AU174" s="7"/>
      <c r="AV174" s="13">
        <f>D174</f>
        <v>3688</v>
      </c>
      <c r="AW174" s="13" t="s">
        <v>775</v>
      </c>
      <c r="AX174" s="13" t="s">
        <v>420</v>
      </c>
      <c r="AY174" s="13" t="s">
        <v>421</v>
      </c>
      <c r="AZ174" s="15" t="s">
        <v>334</v>
      </c>
      <c r="BA174" s="14" t="s">
        <v>154</v>
      </c>
      <c r="BB174" s="21">
        <v>1</v>
      </c>
      <c r="BC174" s="20">
        <f>D174</f>
        <v>3688</v>
      </c>
      <c r="BD174" s="16" t="s">
        <v>776</v>
      </c>
      <c r="BE174" s="16" t="s">
        <v>391</v>
      </c>
      <c r="BF174" s="16" t="s">
        <v>391</v>
      </c>
      <c r="BG174" s="20" t="s">
        <v>773</v>
      </c>
      <c r="BH174" s="20" t="str">
        <f>BC174&amp;"_"&amp;BB174</f>
        <v>3688_1</v>
      </c>
      <c r="BI174" s="21"/>
      <c r="BJ174" s="21" t="str">
        <f>"10000000" &amp; D174</f>
        <v>100000003688</v>
      </c>
      <c r="BK174" s="16" t="s">
        <v>51</v>
      </c>
      <c r="BL174" s="16" t="s">
        <v>54</v>
      </c>
      <c r="BM174" s="20" t="s">
        <v>769</v>
      </c>
      <c r="BN174" s="16" t="s">
        <v>51</v>
      </c>
      <c r="BO174" s="20" t="str">
        <f>"S05S" &amp; D174</f>
        <v>S05S3688</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GAS_ENQ_NO-3688</v>
      </c>
      <c r="CK174" s="7" t="s">
        <v>779</v>
      </c>
      <c r="CL174" s="7" t="s">
        <v>391</v>
      </c>
      <c r="CM174" s="7" t="s">
        <v>391</v>
      </c>
      <c r="CN174" s="6" t="s">
        <v>780</v>
      </c>
      <c r="CO174" s="6" t="str">
        <f>("GAS_JOB_ID-" &amp; D174)</f>
        <v>GAS_JOB_ID-3688</v>
      </c>
      <c r="CP174" s="7"/>
      <c r="CQ174" s="6" t="str">
        <f>"10000" &amp; D174</f>
        <v>100003688</v>
      </c>
      <c r="CR174" s="6" t="s">
        <v>154</v>
      </c>
      <c r="CS174" s="7" t="s">
        <v>51</v>
      </c>
      <c r="CT174" s="27" t="str">
        <f>"GMETER" &amp; D174</f>
        <v>GMETER3688</v>
      </c>
      <c r="CU174" s="6" t="s">
        <v>161</v>
      </c>
      <c r="CV174" s="7" t="s">
        <v>165</v>
      </c>
      <c r="CW174" s="7" t="s">
        <v>772</v>
      </c>
      <c r="CX174" s="7"/>
      <c r="CY174" s="7"/>
      <c r="CZ174" s="7" t="s">
        <v>394</v>
      </c>
      <c r="DA174" s="7" t="s">
        <v>395</v>
      </c>
      <c r="DB174" s="6" t="str">
        <f t="shared" si="163"/>
        <v>GAS_INST_ID-3688</v>
      </c>
      <c r="DC174" s="7" t="s">
        <v>161</v>
      </c>
      <c r="DD174" s="7"/>
      <c r="DE174" s="7" t="s">
        <v>51</v>
      </c>
      <c r="DF174" s="7" t="s">
        <v>264</v>
      </c>
      <c r="DG174" s="7"/>
      <c r="DH174" s="7" t="s">
        <v>397</v>
      </c>
      <c r="DI174" s="7" t="s">
        <v>399</v>
      </c>
      <c r="DJ174" s="10" t="s">
        <v>778</v>
      </c>
      <c r="DK174" s="7" t="s">
        <v>140</v>
      </c>
      <c r="DL174" s="40"/>
      <c r="DM174" s="40"/>
      <c r="DN174" s="38" t="str">
        <f t="shared" si="164"/>
        <v>DS_Pass-3688</v>
      </c>
      <c r="DO174" s="40"/>
      <c r="DP174" s="40"/>
      <c r="DQ174" s="40"/>
      <c r="DR174" s="41"/>
      <c r="DS174" s="41"/>
      <c r="DT174" s="40"/>
      <c r="DU174" s="40"/>
      <c r="DV174" s="40"/>
      <c r="DW174" s="41"/>
      <c r="DX174" s="40"/>
      <c r="DY174" s="40"/>
      <c r="DZ174" s="37" t="s">
        <v>777</v>
      </c>
      <c r="EA174" s="39"/>
      <c r="EB174" s="37"/>
      <c r="EC174" s="37"/>
      <c r="ED174" s="16"/>
      <c r="EE174" s="1"/>
      <c r="EF174" s="54"/>
    </row>
    <row r="175" spans="1:136" x14ac:dyDescent="0.2">
      <c r="A175" s="209" t="s">
        <v>944</v>
      </c>
      <c r="B175" s="209" t="s">
        <v>868</v>
      </c>
      <c r="C175" s="209" t="s">
        <v>865</v>
      </c>
      <c r="D175" s="13">
        <f>'Run Parameters'!$B$1 + ROW()-1</f>
        <v>3689</v>
      </c>
      <c r="E175" s="15" t="s">
        <v>47</v>
      </c>
      <c r="F175" s="18" t="s">
        <v>816</v>
      </c>
      <c r="G175" s="13" t="str">
        <f>("Access Dtls-" &amp; D175)</f>
        <v>Access Dtls-3689</v>
      </c>
      <c r="H175" s="15" t="s">
        <v>275</v>
      </c>
      <c r="I175" s="13" t="str">
        <f>("MR. Test_166_FLTY17_"&amp;D175&amp;"")</f>
        <v>MR. Test_166_FLTY17_3689</v>
      </c>
      <c r="J175" s="18"/>
      <c r="K175" s="19" t="s">
        <v>425</v>
      </c>
      <c r="L175" s="13" t="str">
        <f>("Cust. Ref-" &amp; D175)</f>
        <v>Cust. Ref-3689</v>
      </c>
      <c r="M175" s="15" t="s">
        <v>48</v>
      </c>
      <c r="N175" s="15" t="s">
        <v>425</v>
      </c>
      <c r="O175" s="13"/>
      <c r="P175" s="13" t="str">
        <f>("SN-" &amp; D175)</f>
        <v>SN-3689</v>
      </c>
      <c r="Q175" s="13" t="str">
        <f>("SI-" &amp; D175)</f>
        <v>SI-3689</v>
      </c>
      <c r="R175" s="13" t="str">
        <f>("SE-" &amp; D175)</f>
        <v>SE-3689</v>
      </c>
      <c r="S175" s="53" t="str">
        <f>("Prev_RA-" &amp; D175)</f>
        <v>Prev_RA-3689</v>
      </c>
      <c r="T175" s="53" t="str">
        <f>("Prev_Comms-" &amp; D175)</f>
        <v>Prev_Comms-3689</v>
      </c>
      <c r="U175" s="17" t="s">
        <v>75</v>
      </c>
      <c r="V175" s="15" t="s">
        <v>401</v>
      </c>
      <c r="W175" s="17" t="s">
        <v>75</v>
      </c>
      <c r="X175" s="15" t="s">
        <v>396</v>
      </c>
      <c r="Y175" s="13" t="str">
        <f>("Forward Add-" &amp; D175)</f>
        <v>Forward Add-3689</v>
      </c>
      <c r="Z175" s="15" t="s">
        <v>401</v>
      </c>
      <c r="AA175" s="133" t="str">
        <f>'Run Parameters'!$B$2</f>
        <v>2019-04-26 08:00</v>
      </c>
      <c r="AB175" s="213" t="str">
        <f>'Run Parameters'!B$3</f>
        <v>2019-04-26 18:00</v>
      </c>
      <c r="AC175" s="26">
        <f>('Run Parameters'!$B$2) - 7</f>
        <v>43574.333333333336</v>
      </c>
      <c r="AD175" s="17" t="s">
        <v>75</v>
      </c>
      <c r="AE175" s="18" t="str">
        <f>("LAST_METER-" &amp; D175)</f>
        <v>LAST_METER-3689</v>
      </c>
      <c r="AF175" s="133" t="str">
        <f>'Run Parameters'!$B$2</f>
        <v>2019-04-26 08:00</v>
      </c>
      <c r="AG175" s="13" t="str">
        <f>'Run Parameters'!B$4</f>
        <v>AUTOTEST2</v>
      </c>
      <c r="AH175" s="53" t="str">
        <f>("Site_Contact_" &amp; D175)</f>
        <v>Site_Contact_3689</v>
      </c>
      <c r="AI175" s="133" t="str">
        <f>'Run Parameters'!B$2</f>
        <v>2019-04-26 08:00</v>
      </c>
      <c r="AJ175" s="213" t="str">
        <f>'Run Parameters'!B$3</f>
        <v>2019-04-26 18:00</v>
      </c>
      <c r="AK175" s="13" t="s">
        <v>396</v>
      </c>
      <c r="AL175" s="53" t="str">
        <f>"01159" &amp; D175</f>
        <v>011593689</v>
      </c>
      <c r="AM175" s="13" t="str">
        <f>("0115" &amp; D175)</f>
        <v>01153689</v>
      </c>
      <c r="AN175" s="15"/>
      <c r="AO175" s="51"/>
      <c r="AP175" s="13">
        <v>1</v>
      </c>
      <c r="AQ175" s="52" t="s">
        <v>49</v>
      </c>
      <c r="AR175" s="15"/>
      <c r="AS175" s="13"/>
      <c r="AT175" s="7" t="s">
        <v>774</v>
      </c>
      <c r="AU175" s="7"/>
      <c r="AV175" s="13">
        <f>D175</f>
        <v>3689</v>
      </c>
      <c r="AW175" s="13" t="s">
        <v>775</v>
      </c>
      <c r="AX175" s="13" t="s">
        <v>420</v>
      </c>
      <c r="AY175" s="13" t="s">
        <v>421</v>
      </c>
      <c r="AZ175" s="15" t="s">
        <v>334</v>
      </c>
      <c r="BA175" s="14" t="s">
        <v>154</v>
      </c>
      <c r="BB175" s="21">
        <v>1</v>
      </c>
      <c r="BC175" s="20">
        <f>D175</f>
        <v>3689</v>
      </c>
      <c r="BD175" s="16" t="s">
        <v>776</v>
      </c>
      <c r="BE175" s="16" t="s">
        <v>391</v>
      </c>
      <c r="BF175" s="16" t="s">
        <v>391</v>
      </c>
      <c r="BG175" s="20" t="s">
        <v>773</v>
      </c>
      <c r="BH175" s="20" t="str">
        <f>BC175&amp;"_"&amp;BB175</f>
        <v>3689_1</v>
      </c>
      <c r="BI175" s="21"/>
      <c r="BJ175" s="21" t="str">
        <f>"10000000" &amp; D175</f>
        <v>100000003689</v>
      </c>
      <c r="BK175" s="16" t="s">
        <v>51</v>
      </c>
      <c r="BL175" s="16" t="s">
        <v>54</v>
      </c>
      <c r="BM175" s="20" t="s">
        <v>769</v>
      </c>
      <c r="BN175" s="16" t="s">
        <v>51</v>
      </c>
      <c r="BO175" s="20" t="str">
        <f>"S05S" &amp; D175</f>
        <v>S05S3689</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GAS_ENQ_NO-3689</v>
      </c>
      <c r="CK175" s="7" t="s">
        <v>779</v>
      </c>
      <c r="CL175" s="7" t="s">
        <v>391</v>
      </c>
      <c r="CM175" s="7" t="s">
        <v>391</v>
      </c>
      <c r="CN175" s="6" t="s">
        <v>780</v>
      </c>
      <c r="CO175" s="6" t="str">
        <f>("GAS_JOB_ID-" &amp; D175)</f>
        <v>GAS_JOB_ID-3689</v>
      </c>
      <c r="CP175" s="7"/>
      <c r="CQ175" s="6" t="str">
        <f>"10000" &amp; D175</f>
        <v>100003689</v>
      </c>
      <c r="CR175" s="6" t="s">
        <v>154</v>
      </c>
      <c r="CS175" s="7" t="s">
        <v>51</v>
      </c>
      <c r="CT175" s="27" t="str">
        <f>"GMETER" &amp; D175</f>
        <v>GMETER3689</v>
      </c>
      <c r="CU175" s="6" t="s">
        <v>161</v>
      </c>
      <c r="CV175" s="7" t="s">
        <v>165</v>
      </c>
      <c r="CW175" s="7" t="s">
        <v>772</v>
      </c>
      <c r="CX175" s="7"/>
      <c r="CY175" s="7"/>
      <c r="CZ175" s="7" t="s">
        <v>394</v>
      </c>
      <c r="DA175" s="7" t="s">
        <v>395</v>
      </c>
      <c r="DB175" s="6" t="str">
        <f t="shared" si="163"/>
        <v>GAS_INST_ID-3689</v>
      </c>
      <c r="DC175" s="7" t="s">
        <v>161</v>
      </c>
      <c r="DD175" s="7"/>
      <c r="DE175" s="7" t="s">
        <v>51</v>
      </c>
      <c r="DF175" s="7" t="s">
        <v>264</v>
      </c>
      <c r="DG175" s="7"/>
      <c r="DH175" s="7" t="s">
        <v>397</v>
      </c>
      <c r="DI175" s="7" t="s">
        <v>399</v>
      </c>
      <c r="DJ175" s="10" t="s">
        <v>778</v>
      </c>
      <c r="DK175" s="7" t="s">
        <v>140</v>
      </c>
      <c r="DL175" s="40"/>
      <c r="DM175" s="40"/>
      <c r="DN175" s="38" t="str">
        <f t="shared" si="164"/>
        <v>DS_Pass-3689</v>
      </c>
      <c r="DO175" s="40"/>
      <c r="DP175" s="40"/>
      <c r="DQ175" s="40"/>
      <c r="DR175" s="41"/>
      <c r="DS175" s="41"/>
      <c r="DT175" s="40"/>
      <c r="DU175" s="40"/>
      <c r="DV175" s="40"/>
      <c r="DW175" s="41"/>
      <c r="DX175" s="40"/>
      <c r="DY175" s="40"/>
      <c r="DZ175" s="37" t="s">
        <v>777</v>
      </c>
      <c r="EA175" s="39"/>
      <c r="EB175" s="37"/>
      <c r="EC175" s="37"/>
      <c r="ED175" s="16"/>
      <c r="EE175" s="1"/>
      <c r="EF175" s="54"/>
    </row>
    <row r="176" spans="1:136" s="219" customFormat="1" x14ac:dyDescent="0.2">
      <c r="A176" s="209" t="s">
        <v>995</v>
      </c>
      <c r="B176" s="209" t="s">
        <v>892</v>
      </c>
      <c r="C176" s="209" t="s">
        <v>865</v>
      </c>
      <c r="D176" s="13">
        <f>'Run Parameters'!$B$1 + ROW()-1</f>
        <v>3690</v>
      </c>
      <c r="E176" s="15" t="s">
        <v>47</v>
      </c>
      <c r="F176" s="13" t="s">
        <v>857</v>
      </c>
      <c r="G176" s="13" t="str">
        <f>("Access Dtls-" &amp; D176)</f>
        <v>Access Dtls-3690</v>
      </c>
      <c r="H176" s="15" t="s">
        <v>275</v>
      </c>
      <c r="I176" s="13" t="str">
        <f>("MR. Test_167_EXCH9_"&amp;D176&amp;"")</f>
        <v>MR. Test_167_EXCH9_3690</v>
      </c>
      <c r="J176" s="13"/>
      <c r="K176" s="19" t="s">
        <v>425</v>
      </c>
      <c r="L176" s="13" t="str">
        <f>("Cust. Ref-" &amp; D176)</f>
        <v>Cust. Ref-3690</v>
      </c>
      <c r="M176" s="15" t="s">
        <v>48</v>
      </c>
      <c r="N176" s="15" t="s">
        <v>425</v>
      </c>
      <c r="O176" s="13"/>
      <c r="P176" s="13" t="str">
        <f>("SN-" &amp; D176)</f>
        <v>SN-3690</v>
      </c>
      <c r="Q176" s="13" t="str">
        <f>("SI-" &amp; D176)</f>
        <v>SI-3690</v>
      </c>
      <c r="R176" s="13" t="str">
        <f>("SE-" &amp; D176)</f>
        <v>SE-3690</v>
      </c>
      <c r="S176" s="19" t="str">
        <f>("Prev_RA-" &amp; D176)</f>
        <v>Prev_RA-3690</v>
      </c>
      <c r="T176" s="19" t="str">
        <f>("Prev_Comms-" &amp; D176)</f>
        <v>Prev_Comms-3690</v>
      </c>
      <c r="U176" s="15" t="s">
        <v>75</v>
      </c>
      <c r="V176" s="15" t="s">
        <v>401</v>
      </c>
      <c r="W176" s="15" t="s">
        <v>75</v>
      </c>
      <c r="X176" s="15" t="s">
        <v>396</v>
      </c>
      <c r="Y176" s="13" t="str">
        <f>("Forward Add-" &amp; D176)</f>
        <v>Forward Add-3690</v>
      </c>
      <c r="Z176" s="15" t="s">
        <v>401</v>
      </c>
      <c r="AA176" s="133" t="str">
        <f>'Run Parameters'!$B$2</f>
        <v>2019-04-26 08:00</v>
      </c>
      <c r="AB176" s="213" t="str">
        <f>'Run Parameters'!B$3</f>
        <v>2019-04-26 18:00</v>
      </c>
      <c r="AC176" s="26">
        <f>('Run Parameters'!$B$2) - 7</f>
        <v>43574.333333333336</v>
      </c>
      <c r="AD176" s="15" t="s">
        <v>75</v>
      </c>
      <c r="AE176" s="13" t="str">
        <f>("LAST_METER-" &amp; D176)</f>
        <v>LAST_METER-3690</v>
      </c>
      <c r="AF176" s="133" t="str">
        <f>'Run Parameters'!$B$2</f>
        <v>2019-04-26 08:00</v>
      </c>
      <c r="AG176" s="13" t="str">
        <f>'Run Parameters'!B$4</f>
        <v>AUTOTEST2</v>
      </c>
      <c r="AH176" s="19" t="str">
        <f>("Site_Contact_" &amp; D176)</f>
        <v>Site_Contact_3690</v>
      </c>
      <c r="AI176" s="133" t="str">
        <f>'Run Parameters'!B$2</f>
        <v>2019-04-26 08:00</v>
      </c>
      <c r="AJ176" s="213" t="str">
        <f>'Run Parameters'!B$3</f>
        <v>2019-04-26 18:00</v>
      </c>
      <c r="AK176" s="13" t="s">
        <v>396</v>
      </c>
      <c r="AL176" s="19" t="str">
        <f>"01159" &amp; D176</f>
        <v>011593690</v>
      </c>
      <c r="AM176" s="13" t="str">
        <f>("0115" &amp; D176)</f>
        <v>01153690</v>
      </c>
      <c r="AN176" s="15"/>
      <c r="AO176" s="15"/>
      <c r="AP176" s="13">
        <v>1</v>
      </c>
      <c r="AQ176" s="15" t="s">
        <v>49</v>
      </c>
      <c r="AR176" s="15"/>
      <c r="AS176" s="13"/>
      <c r="AT176" s="15" t="s">
        <v>400</v>
      </c>
      <c r="AU176" s="15"/>
      <c r="AV176" s="13">
        <f>D176</f>
        <v>3690</v>
      </c>
      <c r="AW176" s="13" t="s">
        <v>858</v>
      </c>
      <c r="AX176" s="13" t="s">
        <v>420</v>
      </c>
      <c r="AY176" s="13" t="s">
        <v>421</v>
      </c>
      <c r="AZ176" s="15" t="s">
        <v>334</v>
      </c>
      <c r="BA176" s="15" t="s">
        <v>154</v>
      </c>
      <c r="BB176" s="13">
        <v>1</v>
      </c>
      <c r="BC176" s="13">
        <f>D176</f>
        <v>3690</v>
      </c>
      <c r="BD176" s="15" t="s">
        <v>962</v>
      </c>
      <c r="BE176" s="15" t="s">
        <v>390</v>
      </c>
      <c r="BF176" s="15" t="s">
        <v>390</v>
      </c>
      <c r="BG176" s="13" t="s">
        <v>857</v>
      </c>
      <c r="BH176" s="13" t="str">
        <f>BC176&amp;"_"&amp;BB176</f>
        <v>3690_1</v>
      </c>
      <c r="BI176" s="13"/>
      <c r="BJ176" s="13" t="str">
        <f>"10000000" &amp; D176</f>
        <v>100000003690</v>
      </c>
      <c r="BK176" s="15" t="s">
        <v>51</v>
      </c>
      <c r="BL176" s="15" t="s">
        <v>54</v>
      </c>
      <c r="BM176" s="13" t="s">
        <v>277</v>
      </c>
      <c r="BN176" s="15" t="s">
        <v>51</v>
      </c>
      <c r="BO176" s="13" t="str">
        <f>"S05S" &amp; D176</f>
        <v>S05S3690</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GAS_ENQ_NO-3690</v>
      </c>
      <c r="CK176" s="15" t="s">
        <v>779</v>
      </c>
      <c r="CL176" s="15" t="s">
        <v>391</v>
      </c>
      <c r="CM176" s="15" t="s">
        <v>390</v>
      </c>
      <c r="CN176" s="13" t="s">
        <v>780</v>
      </c>
      <c r="CO176" s="13" t="str">
        <f>("GAS_JOB_ID-" &amp; D176)</f>
        <v>GAS_JOB_ID-3690</v>
      </c>
      <c r="CP176" s="15"/>
      <c r="CQ176" s="13" t="str">
        <f>"10000" &amp; D176</f>
        <v>100003690</v>
      </c>
      <c r="CR176" s="13" t="s">
        <v>154</v>
      </c>
      <c r="CS176" s="15" t="s">
        <v>51</v>
      </c>
      <c r="CT176" s="217" t="str">
        <f>"GMETER" &amp; D176</f>
        <v>GMETER3690</v>
      </c>
      <c r="CU176" s="13" t="s">
        <v>161</v>
      </c>
      <c r="CV176" s="15" t="s">
        <v>165</v>
      </c>
      <c r="CW176" s="15" t="s">
        <v>414</v>
      </c>
      <c r="CX176" s="15"/>
      <c r="CY176" s="15"/>
      <c r="CZ176" s="15" t="s">
        <v>394</v>
      </c>
      <c r="DA176" s="15" t="s">
        <v>395</v>
      </c>
      <c r="DB176" s="13" t="str">
        <f t="shared" si="163"/>
        <v>GAS_INST_ID-3690</v>
      </c>
      <c r="DC176" s="15" t="s">
        <v>161</v>
      </c>
      <c r="DD176" s="15"/>
      <c r="DE176" s="15" t="s">
        <v>51</v>
      </c>
      <c r="DF176" s="15" t="s">
        <v>264</v>
      </c>
      <c r="DG176" s="15"/>
      <c r="DH176" s="15" t="s">
        <v>397</v>
      </c>
      <c r="DI176" s="15" t="s">
        <v>399</v>
      </c>
      <c r="DJ176" s="15" t="s">
        <v>856</v>
      </c>
      <c r="DK176" s="15" t="s">
        <v>140</v>
      </c>
      <c r="DL176" s="218"/>
      <c r="DM176" s="218"/>
      <c r="DN176" s="13" t="str">
        <f t="shared" si="164"/>
        <v>DS_Pass-3690</v>
      </c>
      <c r="DO176" s="15"/>
      <c r="DP176" s="15"/>
      <c r="DQ176" s="15"/>
      <c r="DR176" s="13"/>
      <c r="DS176" s="13"/>
      <c r="DT176" s="15" t="s">
        <v>52</v>
      </c>
      <c r="DU176" s="15"/>
      <c r="DV176" s="15"/>
      <c r="DW176" s="13"/>
      <c r="DX176" s="15" t="s">
        <v>54</v>
      </c>
      <c r="DY176" s="15" t="s">
        <v>61</v>
      </c>
      <c r="DZ176" s="15" t="s">
        <v>402</v>
      </c>
      <c r="EA176" s="19" t="str">
        <f>CONCATENATE(AV176, $EA$1, AW176, $EA$1, AX176, $EA$1, AY176)</f>
        <v>3690CUSTOMER_ADDRESSEXCH9 ROADCUSTOMER_ADDRESSTESTINGHAMCUSTOMER_ADDRESSTESTINGHAMSHIRE</v>
      </c>
      <c r="EB176" s="15" t="s">
        <v>856</v>
      </c>
      <c r="EC176" s="218"/>
      <c r="ED176" s="218"/>
      <c r="EE176" s="218"/>
    </row>
    <row r="177" spans="1:135" s="219" customFormat="1" x14ac:dyDescent="0.2">
      <c r="A177" s="209" t="s">
        <v>996</v>
      </c>
      <c r="B177" s="209" t="s">
        <v>868</v>
      </c>
      <c r="C177" s="209" t="s">
        <v>865</v>
      </c>
      <c r="D177" s="13">
        <f>'Run Parameters'!$B$1 + ROW()-1</f>
        <v>3691</v>
      </c>
      <c r="E177" s="15" t="s">
        <v>47</v>
      </c>
      <c r="F177" s="13" t="s">
        <v>857</v>
      </c>
      <c r="G177" s="13" t="str">
        <f t="shared" ref="G177:G203" si="203">("Access Dtls-" &amp; D177)</f>
        <v>Access Dtls-3691</v>
      </c>
      <c r="H177" s="15" t="s">
        <v>275</v>
      </c>
      <c r="I177" s="13" t="str">
        <f>("MR. Test_168_EXCH9_"&amp;D177&amp;"")</f>
        <v>MR. Test_168_EXCH9_3691</v>
      </c>
      <c r="J177" s="13"/>
      <c r="K177" s="19" t="s">
        <v>425</v>
      </c>
      <c r="L177" s="13" t="str">
        <f t="shared" ref="L177:L203" si="204">("Cust. Ref-" &amp; D177)</f>
        <v>Cust. Ref-3691</v>
      </c>
      <c r="M177" s="15" t="s">
        <v>48</v>
      </c>
      <c r="N177" s="15" t="s">
        <v>425</v>
      </c>
      <c r="O177" s="13"/>
      <c r="P177" s="13" t="str">
        <f t="shared" ref="P177:P203" si="205">("SN-" &amp; D177)</f>
        <v>SN-3691</v>
      </c>
      <c r="Q177" s="13" t="str">
        <f t="shared" ref="Q177:Q203" si="206">("SI-" &amp; D177)</f>
        <v>SI-3691</v>
      </c>
      <c r="R177" s="13" t="str">
        <f t="shared" ref="R177:R203" si="207">("SE-" &amp; D177)</f>
        <v>SE-3691</v>
      </c>
      <c r="S177" s="19" t="str">
        <f t="shared" ref="S177:S203" si="208">("Prev_RA-" &amp; D177)</f>
        <v>Prev_RA-3691</v>
      </c>
      <c r="T177" s="19" t="str">
        <f t="shared" ref="T177:T203" si="209">("Prev_Comms-" &amp; D177)</f>
        <v>Prev_Comms-3691</v>
      </c>
      <c r="U177" s="15" t="s">
        <v>75</v>
      </c>
      <c r="V177" s="15" t="s">
        <v>401</v>
      </c>
      <c r="W177" s="15" t="s">
        <v>75</v>
      </c>
      <c r="X177" s="15" t="s">
        <v>396</v>
      </c>
      <c r="Y177" s="13" t="str">
        <f t="shared" ref="Y177:Y203" si="210">("Forward Add-" &amp; D177)</f>
        <v>Forward Add-3691</v>
      </c>
      <c r="Z177" s="15" t="s">
        <v>401</v>
      </c>
      <c r="AA177" s="133" t="str">
        <f>'Run Parameters'!$B$2</f>
        <v>2019-04-26 08:00</v>
      </c>
      <c r="AB177" s="213" t="str">
        <f>'Run Parameters'!B$3</f>
        <v>2019-04-26 18:00</v>
      </c>
      <c r="AC177" s="26">
        <f>('Run Parameters'!$B$2) - 7</f>
        <v>43574.333333333336</v>
      </c>
      <c r="AD177" s="15" t="s">
        <v>75</v>
      </c>
      <c r="AE177" s="13" t="str">
        <f t="shared" ref="AE177:AE203" si="211">("LAST_METER-" &amp; D177)</f>
        <v>LAST_METER-3691</v>
      </c>
      <c r="AF177" s="133" t="str">
        <f>'Run Parameters'!$B$2</f>
        <v>2019-04-26 08:00</v>
      </c>
      <c r="AG177" s="13" t="str">
        <f>'Run Parameters'!B$4</f>
        <v>AUTOTEST2</v>
      </c>
      <c r="AH177" s="19" t="str">
        <f t="shared" ref="AH177:AH203" si="212">("Site_Contact_" &amp; D177)</f>
        <v>Site_Contact_3691</v>
      </c>
      <c r="AI177" s="133" t="str">
        <f>'Run Parameters'!B$2</f>
        <v>2019-04-26 08:00</v>
      </c>
      <c r="AJ177" s="213" t="str">
        <f>'Run Parameters'!B$3</f>
        <v>2019-04-26 18:00</v>
      </c>
      <c r="AK177" s="13" t="s">
        <v>396</v>
      </c>
      <c r="AL177" s="19" t="str">
        <f t="shared" ref="AL177:AL203" si="213">"01159" &amp; D177</f>
        <v>011593691</v>
      </c>
      <c r="AM177" s="13" t="str">
        <f t="shared" ref="AM177:AM203" si="214">("0115" &amp; D177)</f>
        <v>01153691</v>
      </c>
      <c r="AN177" s="15"/>
      <c r="AO177" s="15"/>
      <c r="AP177" s="13">
        <v>1</v>
      </c>
      <c r="AQ177" s="15" t="s">
        <v>49</v>
      </c>
      <c r="AR177" s="15"/>
      <c r="AS177" s="13"/>
      <c r="AT177" s="15" t="s">
        <v>400</v>
      </c>
      <c r="AU177" s="15"/>
      <c r="AV177" s="13">
        <f t="shared" ref="AV177:AV203" si="215">D177</f>
        <v>3691</v>
      </c>
      <c r="AW177" s="13" t="s">
        <v>858</v>
      </c>
      <c r="AX177" s="13" t="s">
        <v>420</v>
      </c>
      <c r="AY177" s="13" t="s">
        <v>421</v>
      </c>
      <c r="AZ177" s="15" t="s">
        <v>334</v>
      </c>
      <c r="BA177" s="15" t="s">
        <v>154</v>
      </c>
      <c r="BB177" s="13">
        <v>1</v>
      </c>
      <c r="BC177" s="13">
        <f t="shared" ref="BC177:BC203" si="216">D177</f>
        <v>3691</v>
      </c>
      <c r="BD177" s="15" t="s">
        <v>962</v>
      </c>
      <c r="BE177" s="15" t="s">
        <v>390</v>
      </c>
      <c r="BF177" s="15" t="s">
        <v>390</v>
      </c>
      <c r="BG177" s="13" t="s">
        <v>857</v>
      </c>
      <c r="BH177" s="13" t="str">
        <f t="shared" ref="BH177:BH203" si="217">BC177&amp;"_"&amp;BB177</f>
        <v>3691_1</v>
      </c>
      <c r="BI177" s="13"/>
      <c r="BJ177" s="13" t="str">
        <f t="shared" ref="BJ177:BJ203" si="218">"10000000" &amp; D177</f>
        <v>100000003691</v>
      </c>
      <c r="BK177" s="15" t="s">
        <v>51</v>
      </c>
      <c r="BL177" s="15" t="s">
        <v>54</v>
      </c>
      <c r="BM177" s="13" t="s">
        <v>277</v>
      </c>
      <c r="BN177" s="15" t="s">
        <v>51</v>
      </c>
      <c r="BO177" s="13" t="str">
        <f t="shared" ref="BO177:BO203" si="219">"S05S" &amp; D177</f>
        <v>S05S3691</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GAS_ENQ_NO-3691</v>
      </c>
      <c r="CK177" s="15" t="s">
        <v>779</v>
      </c>
      <c r="CL177" s="15" t="s">
        <v>391</v>
      </c>
      <c r="CM177" s="15" t="s">
        <v>390</v>
      </c>
      <c r="CN177" s="13" t="s">
        <v>780</v>
      </c>
      <c r="CO177" s="13" t="str">
        <f t="shared" ref="CO177:CO203" si="221">("GAS_JOB_ID-" &amp; D177)</f>
        <v>GAS_JOB_ID-3691</v>
      </c>
      <c r="CP177" s="15"/>
      <c r="CQ177" s="13" t="str">
        <f t="shared" ref="CQ177:CQ203" si="222">"10000" &amp; D177</f>
        <v>100003691</v>
      </c>
      <c r="CR177" s="13" t="s">
        <v>154</v>
      </c>
      <c r="CS177" s="15" t="s">
        <v>51</v>
      </c>
      <c r="CT177" s="217" t="str">
        <f t="shared" ref="CT177:CT203" si="223">"GMETER" &amp; D177</f>
        <v>GMETER3691</v>
      </c>
      <c r="CU177" s="13" t="s">
        <v>161</v>
      </c>
      <c r="CV177" s="15" t="s">
        <v>165</v>
      </c>
      <c r="CW177" s="15" t="s">
        <v>414</v>
      </c>
      <c r="CX177" s="15"/>
      <c r="CY177" s="15"/>
      <c r="CZ177" s="15" t="s">
        <v>394</v>
      </c>
      <c r="DA177" s="15" t="s">
        <v>395</v>
      </c>
      <c r="DB177" s="13" t="str">
        <f t="shared" si="163"/>
        <v>GAS_INST_ID-3691</v>
      </c>
      <c r="DC177" s="15" t="s">
        <v>161</v>
      </c>
      <c r="DD177" s="15"/>
      <c r="DE177" s="15" t="s">
        <v>51</v>
      </c>
      <c r="DF177" s="15" t="s">
        <v>264</v>
      </c>
      <c r="DG177" s="15"/>
      <c r="DH177" s="15" t="s">
        <v>397</v>
      </c>
      <c r="DI177" s="15" t="s">
        <v>399</v>
      </c>
      <c r="DJ177" s="15" t="s">
        <v>856</v>
      </c>
      <c r="DK177" s="15" t="s">
        <v>140</v>
      </c>
      <c r="DL177" s="218"/>
      <c r="DM177" s="218"/>
      <c r="DN177" s="13" t="str">
        <f t="shared" si="164"/>
        <v>DS_Pass-3691</v>
      </c>
      <c r="DO177" s="15"/>
      <c r="DP177" s="15"/>
      <c r="DQ177" s="15"/>
      <c r="DR177" s="13"/>
      <c r="DS177" s="13"/>
      <c r="DT177" s="15" t="s">
        <v>52</v>
      </c>
      <c r="DU177" s="15"/>
      <c r="DV177" s="15"/>
      <c r="DW177" s="13"/>
      <c r="DX177" s="15" t="s">
        <v>54</v>
      </c>
      <c r="DY177" s="15" t="s">
        <v>61</v>
      </c>
      <c r="DZ177" s="15" t="s">
        <v>402</v>
      </c>
      <c r="EA177" s="19" t="str">
        <f t="shared" ref="EA177:EA203" si="224">CONCATENATE(AV177, $EA$1, AW177, $EA$1, AX177, $EA$1, AY177)</f>
        <v>3691CUSTOMER_ADDRESSEXCH9 ROADCUSTOMER_ADDRESSTESTINGHAMCUSTOMER_ADDRESSTESTINGHAMSHIRE</v>
      </c>
      <c r="EB177" s="15" t="s">
        <v>856</v>
      </c>
      <c r="EC177" s="218"/>
      <c r="ED177" s="218"/>
      <c r="EE177" s="218"/>
    </row>
    <row r="178" spans="1:135" s="219" customFormat="1" x14ac:dyDescent="0.2">
      <c r="A178" s="209" t="s">
        <v>997</v>
      </c>
      <c r="B178" s="209" t="s">
        <v>892</v>
      </c>
      <c r="C178" s="209" t="s">
        <v>865</v>
      </c>
      <c r="D178" s="13">
        <f>'Run Parameters'!$B$1 + ROW()-1</f>
        <v>3692</v>
      </c>
      <c r="E178" s="15" t="s">
        <v>47</v>
      </c>
      <c r="F178" s="13" t="s">
        <v>857</v>
      </c>
      <c r="G178" s="13" t="str">
        <f t="shared" si="203"/>
        <v>Access Dtls-3692</v>
      </c>
      <c r="H178" s="15" t="s">
        <v>275</v>
      </c>
      <c r="I178" s="13" t="str">
        <f>("MR. Test_169_EXCH9_"&amp;D178&amp;"")</f>
        <v>MR. Test_169_EXCH9_3692</v>
      </c>
      <c r="J178" s="13"/>
      <c r="K178" s="19" t="s">
        <v>425</v>
      </c>
      <c r="L178" s="13" t="str">
        <f t="shared" si="204"/>
        <v>Cust. Ref-3692</v>
      </c>
      <c r="M178" s="15" t="s">
        <v>48</v>
      </c>
      <c r="N178" s="15" t="s">
        <v>425</v>
      </c>
      <c r="O178" s="13"/>
      <c r="P178" s="13" t="str">
        <f t="shared" si="205"/>
        <v>SN-3692</v>
      </c>
      <c r="Q178" s="13" t="str">
        <f t="shared" si="206"/>
        <v>SI-3692</v>
      </c>
      <c r="R178" s="13" t="str">
        <f t="shared" si="207"/>
        <v>SE-3692</v>
      </c>
      <c r="S178" s="19" t="str">
        <f t="shared" si="208"/>
        <v>Prev_RA-3692</v>
      </c>
      <c r="T178" s="19" t="str">
        <f t="shared" si="209"/>
        <v>Prev_Comms-3692</v>
      </c>
      <c r="U178" s="15" t="s">
        <v>75</v>
      </c>
      <c r="V178" s="15" t="s">
        <v>401</v>
      </c>
      <c r="W178" s="15" t="s">
        <v>75</v>
      </c>
      <c r="X178" s="15" t="s">
        <v>396</v>
      </c>
      <c r="Y178" s="13" t="str">
        <f t="shared" si="210"/>
        <v>Forward Add-3692</v>
      </c>
      <c r="Z178" s="15" t="s">
        <v>401</v>
      </c>
      <c r="AA178" s="133" t="str">
        <f>'Run Parameters'!$B$2</f>
        <v>2019-04-26 08:00</v>
      </c>
      <c r="AB178" s="213" t="str">
        <f>'Run Parameters'!B$3</f>
        <v>2019-04-26 18:00</v>
      </c>
      <c r="AC178" s="26">
        <f>('Run Parameters'!$B$2) - 7</f>
        <v>43574.333333333336</v>
      </c>
      <c r="AD178" s="15" t="s">
        <v>75</v>
      </c>
      <c r="AE178" s="13" t="str">
        <f t="shared" si="211"/>
        <v>LAST_METER-3692</v>
      </c>
      <c r="AF178" s="133" t="str">
        <f>'Run Parameters'!$B$2</f>
        <v>2019-04-26 08:00</v>
      </c>
      <c r="AG178" s="13" t="str">
        <f>'Run Parameters'!B$4</f>
        <v>AUTOTEST2</v>
      </c>
      <c r="AH178" s="19" t="str">
        <f t="shared" si="212"/>
        <v>Site_Contact_3692</v>
      </c>
      <c r="AI178" s="133" t="str">
        <f>'Run Parameters'!B$2</f>
        <v>2019-04-26 08:00</v>
      </c>
      <c r="AJ178" s="213" t="str">
        <f>'Run Parameters'!B$3</f>
        <v>2019-04-26 18:00</v>
      </c>
      <c r="AK178" s="13" t="s">
        <v>396</v>
      </c>
      <c r="AL178" s="19" t="str">
        <f t="shared" si="213"/>
        <v>011593692</v>
      </c>
      <c r="AM178" s="13" t="str">
        <f t="shared" si="214"/>
        <v>01153692</v>
      </c>
      <c r="AN178" s="15"/>
      <c r="AO178" s="15"/>
      <c r="AP178" s="13">
        <v>1</v>
      </c>
      <c r="AQ178" s="15" t="s">
        <v>49</v>
      </c>
      <c r="AR178" s="15"/>
      <c r="AS178" s="13"/>
      <c r="AT178" s="15" t="s">
        <v>400</v>
      </c>
      <c r="AU178" s="15"/>
      <c r="AV178" s="13">
        <f t="shared" si="215"/>
        <v>3692</v>
      </c>
      <c r="AW178" s="13" t="s">
        <v>858</v>
      </c>
      <c r="AX178" s="13" t="s">
        <v>420</v>
      </c>
      <c r="AY178" s="13" t="s">
        <v>421</v>
      </c>
      <c r="AZ178" s="15" t="s">
        <v>334</v>
      </c>
      <c r="BA178" s="15" t="s">
        <v>154</v>
      </c>
      <c r="BB178" s="13">
        <v>1</v>
      </c>
      <c r="BC178" s="13">
        <f t="shared" si="216"/>
        <v>3692</v>
      </c>
      <c r="BD178" s="15" t="s">
        <v>962</v>
      </c>
      <c r="BE178" s="15" t="s">
        <v>390</v>
      </c>
      <c r="BF178" s="15" t="s">
        <v>390</v>
      </c>
      <c r="BG178" s="13" t="s">
        <v>857</v>
      </c>
      <c r="BH178" s="13" t="str">
        <f t="shared" si="217"/>
        <v>3692_1</v>
      </c>
      <c r="BI178" s="13"/>
      <c r="BJ178" s="13" t="str">
        <f t="shared" si="218"/>
        <v>100000003692</v>
      </c>
      <c r="BK178" s="15" t="s">
        <v>51</v>
      </c>
      <c r="BL178" s="15" t="s">
        <v>54</v>
      </c>
      <c r="BM178" s="13" t="s">
        <v>277</v>
      </c>
      <c r="BN178" s="15" t="s">
        <v>51</v>
      </c>
      <c r="BO178" s="13" t="str">
        <f t="shared" si="219"/>
        <v>S05S3692</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GAS_ENQ_NO-3692</v>
      </c>
      <c r="CK178" s="15" t="s">
        <v>779</v>
      </c>
      <c r="CL178" s="15" t="s">
        <v>391</v>
      </c>
      <c r="CM178" s="15" t="s">
        <v>390</v>
      </c>
      <c r="CN178" s="13" t="s">
        <v>780</v>
      </c>
      <c r="CO178" s="13" t="str">
        <f t="shared" si="221"/>
        <v>GAS_JOB_ID-3692</v>
      </c>
      <c r="CP178" s="15"/>
      <c r="CQ178" s="13" t="str">
        <f t="shared" si="222"/>
        <v>100003692</v>
      </c>
      <c r="CR178" s="13" t="s">
        <v>154</v>
      </c>
      <c r="CS178" s="15" t="s">
        <v>51</v>
      </c>
      <c r="CT178" s="217" t="str">
        <f t="shared" si="223"/>
        <v>GMETER3692</v>
      </c>
      <c r="CU178" s="13" t="s">
        <v>161</v>
      </c>
      <c r="CV178" s="15" t="s">
        <v>165</v>
      </c>
      <c r="CW178" s="15" t="s">
        <v>414</v>
      </c>
      <c r="CX178" s="15"/>
      <c r="CY178" s="15"/>
      <c r="CZ178" s="15" t="s">
        <v>394</v>
      </c>
      <c r="DA178" s="15" t="s">
        <v>395</v>
      </c>
      <c r="DB178" s="13" t="str">
        <f t="shared" si="163"/>
        <v>GAS_INST_ID-3692</v>
      </c>
      <c r="DC178" s="15" t="s">
        <v>161</v>
      </c>
      <c r="DD178" s="15"/>
      <c r="DE178" s="15" t="s">
        <v>51</v>
      </c>
      <c r="DF178" s="15" t="s">
        <v>264</v>
      </c>
      <c r="DG178" s="15"/>
      <c r="DH178" s="15" t="s">
        <v>397</v>
      </c>
      <c r="DI178" s="15" t="s">
        <v>399</v>
      </c>
      <c r="DJ178" s="15" t="s">
        <v>856</v>
      </c>
      <c r="DK178" s="15" t="s">
        <v>140</v>
      </c>
      <c r="DL178" s="218"/>
      <c r="DM178" s="218"/>
      <c r="DN178" s="13" t="str">
        <f t="shared" si="164"/>
        <v>DS_Pass-3692</v>
      </c>
      <c r="DO178" s="15"/>
      <c r="DP178" s="15"/>
      <c r="DQ178" s="15"/>
      <c r="DR178" s="13"/>
      <c r="DS178" s="13"/>
      <c r="DT178" s="15" t="s">
        <v>52</v>
      </c>
      <c r="DU178" s="15"/>
      <c r="DV178" s="15"/>
      <c r="DW178" s="13"/>
      <c r="DX178" s="15" t="s">
        <v>54</v>
      </c>
      <c r="DY178" s="15" t="s">
        <v>61</v>
      </c>
      <c r="DZ178" s="15" t="s">
        <v>402</v>
      </c>
      <c r="EA178" s="19" t="str">
        <f t="shared" si="224"/>
        <v>3692CUSTOMER_ADDRESSEXCH9 ROADCUSTOMER_ADDRESSTESTINGHAMCUSTOMER_ADDRESSTESTINGHAMSHIRE</v>
      </c>
      <c r="EB178" s="15" t="s">
        <v>856</v>
      </c>
      <c r="EC178" s="218"/>
      <c r="ED178" s="218"/>
      <c r="EE178" s="218"/>
    </row>
    <row r="179" spans="1:135" s="219" customFormat="1" x14ac:dyDescent="0.2">
      <c r="A179" s="209" t="s">
        <v>998</v>
      </c>
      <c r="B179" s="209" t="s">
        <v>868</v>
      </c>
      <c r="C179" s="209" t="s">
        <v>865</v>
      </c>
      <c r="D179" s="13">
        <f>'Run Parameters'!$B$1 + ROW()-1</f>
        <v>3693</v>
      </c>
      <c r="E179" s="15" t="s">
        <v>47</v>
      </c>
      <c r="F179" s="13" t="s">
        <v>857</v>
      </c>
      <c r="G179" s="13" t="str">
        <f t="shared" si="203"/>
        <v>Access Dtls-3693</v>
      </c>
      <c r="H179" s="15" t="s">
        <v>275</v>
      </c>
      <c r="I179" s="13" t="str">
        <f>("MR. Test_170_EXCH9_"&amp;D179&amp;"")</f>
        <v>MR. Test_170_EXCH9_3693</v>
      </c>
      <c r="J179" s="13"/>
      <c r="K179" s="19" t="s">
        <v>425</v>
      </c>
      <c r="L179" s="13" t="str">
        <f t="shared" si="204"/>
        <v>Cust. Ref-3693</v>
      </c>
      <c r="M179" s="15" t="s">
        <v>48</v>
      </c>
      <c r="N179" s="15" t="s">
        <v>425</v>
      </c>
      <c r="O179" s="13"/>
      <c r="P179" s="13" t="str">
        <f t="shared" si="205"/>
        <v>SN-3693</v>
      </c>
      <c r="Q179" s="13" t="str">
        <f t="shared" si="206"/>
        <v>SI-3693</v>
      </c>
      <c r="R179" s="13" t="str">
        <f t="shared" si="207"/>
        <v>SE-3693</v>
      </c>
      <c r="S179" s="19" t="str">
        <f t="shared" si="208"/>
        <v>Prev_RA-3693</v>
      </c>
      <c r="T179" s="19" t="str">
        <f t="shared" si="209"/>
        <v>Prev_Comms-3693</v>
      </c>
      <c r="U179" s="15" t="s">
        <v>75</v>
      </c>
      <c r="V179" s="15" t="s">
        <v>401</v>
      </c>
      <c r="W179" s="15" t="s">
        <v>75</v>
      </c>
      <c r="X179" s="15" t="s">
        <v>396</v>
      </c>
      <c r="Y179" s="13" t="str">
        <f t="shared" si="210"/>
        <v>Forward Add-3693</v>
      </c>
      <c r="Z179" s="15" t="s">
        <v>401</v>
      </c>
      <c r="AA179" s="133" t="str">
        <f>'Run Parameters'!$B$2</f>
        <v>2019-04-26 08:00</v>
      </c>
      <c r="AB179" s="213" t="str">
        <f>'Run Parameters'!B$3</f>
        <v>2019-04-26 18:00</v>
      </c>
      <c r="AC179" s="26">
        <f>('Run Parameters'!$B$2) - 7</f>
        <v>43574.333333333336</v>
      </c>
      <c r="AD179" s="15" t="s">
        <v>75</v>
      </c>
      <c r="AE179" s="13" t="str">
        <f t="shared" si="211"/>
        <v>LAST_METER-3693</v>
      </c>
      <c r="AF179" s="133" t="str">
        <f>'Run Parameters'!$B$2</f>
        <v>2019-04-26 08:00</v>
      </c>
      <c r="AG179" s="13" t="str">
        <f>'Run Parameters'!B$4</f>
        <v>AUTOTEST2</v>
      </c>
      <c r="AH179" s="19" t="str">
        <f t="shared" si="212"/>
        <v>Site_Contact_3693</v>
      </c>
      <c r="AI179" s="133" t="str">
        <f>'Run Parameters'!B$2</f>
        <v>2019-04-26 08:00</v>
      </c>
      <c r="AJ179" s="213" t="str">
        <f>'Run Parameters'!B$3</f>
        <v>2019-04-26 18:00</v>
      </c>
      <c r="AK179" s="13" t="s">
        <v>396</v>
      </c>
      <c r="AL179" s="19" t="str">
        <f t="shared" si="213"/>
        <v>011593693</v>
      </c>
      <c r="AM179" s="13" t="str">
        <f t="shared" si="214"/>
        <v>01153693</v>
      </c>
      <c r="AN179" s="15"/>
      <c r="AO179" s="15"/>
      <c r="AP179" s="13">
        <v>1</v>
      </c>
      <c r="AQ179" s="15" t="s">
        <v>49</v>
      </c>
      <c r="AR179" s="15"/>
      <c r="AS179" s="13"/>
      <c r="AT179" s="15" t="s">
        <v>400</v>
      </c>
      <c r="AU179" s="15"/>
      <c r="AV179" s="13">
        <f t="shared" si="215"/>
        <v>3693</v>
      </c>
      <c r="AW179" s="13" t="s">
        <v>858</v>
      </c>
      <c r="AX179" s="13" t="s">
        <v>420</v>
      </c>
      <c r="AY179" s="13" t="s">
        <v>421</v>
      </c>
      <c r="AZ179" s="15" t="s">
        <v>334</v>
      </c>
      <c r="BA179" s="15" t="s">
        <v>154</v>
      </c>
      <c r="BB179" s="13">
        <v>1</v>
      </c>
      <c r="BC179" s="13">
        <f t="shared" si="216"/>
        <v>3693</v>
      </c>
      <c r="BD179" s="15" t="s">
        <v>962</v>
      </c>
      <c r="BE179" s="15" t="s">
        <v>390</v>
      </c>
      <c r="BF179" s="15" t="s">
        <v>390</v>
      </c>
      <c r="BG179" s="13" t="s">
        <v>857</v>
      </c>
      <c r="BH179" s="13" t="str">
        <f t="shared" si="217"/>
        <v>3693_1</v>
      </c>
      <c r="BI179" s="13"/>
      <c r="BJ179" s="13" t="str">
        <f t="shared" si="218"/>
        <v>100000003693</v>
      </c>
      <c r="BK179" s="15" t="s">
        <v>51</v>
      </c>
      <c r="BL179" s="15" t="s">
        <v>54</v>
      </c>
      <c r="BM179" s="13" t="s">
        <v>277</v>
      </c>
      <c r="BN179" s="15" t="s">
        <v>51</v>
      </c>
      <c r="BO179" s="13" t="str">
        <f t="shared" si="219"/>
        <v>S05S3693</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GAS_ENQ_NO-3693</v>
      </c>
      <c r="CK179" s="15" t="s">
        <v>779</v>
      </c>
      <c r="CL179" s="15" t="s">
        <v>391</v>
      </c>
      <c r="CM179" s="15" t="s">
        <v>390</v>
      </c>
      <c r="CN179" s="13" t="s">
        <v>780</v>
      </c>
      <c r="CO179" s="13" t="str">
        <f t="shared" si="221"/>
        <v>GAS_JOB_ID-3693</v>
      </c>
      <c r="CP179" s="15"/>
      <c r="CQ179" s="13" t="str">
        <f t="shared" si="222"/>
        <v>100003693</v>
      </c>
      <c r="CR179" s="13" t="s">
        <v>154</v>
      </c>
      <c r="CS179" s="15" t="s">
        <v>51</v>
      </c>
      <c r="CT179" s="217" t="str">
        <f t="shared" si="223"/>
        <v>GMETER3693</v>
      </c>
      <c r="CU179" s="13" t="s">
        <v>161</v>
      </c>
      <c r="CV179" s="15" t="s">
        <v>165</v>
      </c>
      <c r="CW179" s="15" t="s">
        <v>414</v>
      </c>
      <c r="CX179" s="15"/>
      <c r="CY179" s="15"/>
      <c r="CZ179" s="15" t="s">
        <v>394</v>
      </c>
      <c r="DA179" s="15" t="s">
        <v>395</v>
      </c>
      <c r="DB179" s="13" t="str">
        <f t="shared" si="163"/>
        <v>GAS_INST_ID-3693</v>
      </c>
      <c r="DC179" s="15" t="s">
        <v>161</v>
      </c>
      <c r="DD179" s="15"/>
      <c r="DE179" s="15" t="s">
        <v>51</v>
      </c>
      <c r="DF179" s="15" t="s">
        <v>264</v>
      </c>
      <c r="DG179" s="15"/>
      <c r="DH179" s="15" t="s">
        <v>397</v>
      </c>
      <c r="DI179" s="15" t="s">
        <v>399</v>
      </c>
      <c r="DJ179" s="15" t="s">
        <v>856</v>
      </c>
      <c r="DK179" s="15" t="s">
        <v>140</v>
      </c>
      <c r="DL179" s="218"/>
      <c r="DM179" s="218"/>
      <c r="DN179" s="13" t="str">
        <f t="shared" si="164"/>
        <v>DS_Pass-3693</v>
      </c>
      <c r="DO179" s="15"/>
      <c r="DP179" s="15"/>
      <c r="DQ179" s="15"/>
      <c r="DR179" s="13"/>
      <c r="DS179" s="13"/>
      <c r="DT179" s="15" t="s">
        <v>52</v>
      </c>
      <c r="DU179" s="15"/>
      <c r="DV179" s="15"/>
      <c r="DW179" s="13"/>
      <c r="DX179" s="15" t="s">
        <v>54</v>
      </c>
      <c r="DY179" s="15" t="s">
        <v>61</v>
      </c>
      <c r="DZ179" s="15" t="s">
        <v>402</v>
      </c>
      <c r="EA179" s="19" t="str">
        <f t="shared" si="224"/>
        <v>3693CUSTOMER_ADDRESSEXCH9 ROADCUSTOMER_ADDRESSTESTINGHAMCUSTOMER_ADDRESSTESTINGHAMSHIRE</v>
      </c>
      <c r="EB179" s="15" t="s">
        <v>856</v>
      </c>
      <c r="EC179" s="218"/>
      <c r="ED179" s="218"/>
      <c r="EE179" s="218"/>
    </row>
    <row r="180" spans="1:135" s="219" customFormat="1" x14ac:dyDescent="0.2">
      <c r="A180" s="209" t="s">
        <v>999</v>
      </c>
      <c r="B180" s="209" t="s">
        <v>892</v>
      </c>
      <c r="C180" s="209" t="s">
        <v>865</v>
      </c>
      <c r="D180" s="13">
        <f>'Run Parameters'!$B$1 + ROW()-1</f>
        <v>3694</v>
      </c>
      <c r="E180" s="15" t="s">
        <v>47</v>
      </c>
      <c r="F180" s="13" t="s">
        <v>857</v>
      </c>
      <c r="G180" s="13" t="str">
        <f t="shared" si="203"/>
        <v>Access Dtls-3694</v>
      </c>
      <c r="H180" s="15" t="s">
        <v>275</v>
      </c>
      <c r="I180" s="13" t="str">
        <f>("MR. Test_171_EXCH9_"&amp;D180&amp;"")</f>
        <v>MR. Test_171_EXCH9_3694</v>
      </c>
      <c r="J180" s="13"/>
      <c r="K180" s="19" t="s">
        <v>425</v>
      </c>
      <c r="L180" s="13" t="str">
        <f t="shared" si="204"/>
        <v>Cust. Ref-3694</v>
      </c>
      <c r="M180" s="15" t="s">
        <v>48</v>
      </c>
      <c r="N180" s="15" t="s">
        <v>425</v>
      </c>
      <c r="O180" s="13"/>
      <c r="P180" s="13" t="str">
        <f t="shared" si="205"/>
        <v>SN-3694</v>
      </c>
      <c r="Q180" s="13" t="str">
        <f t="shared" si="206"/>
        <v>SI-3694</v>
      </c>
      <c r="R180" s="13" t="str">
        <f t="shared" si="207"/>
        <v>SE-3694</v>
      </c>
      <c r="S180" s="19" t="str">
        <f t="shared" si="208"/>
        <v>Prev_RA-3694</v>
      </c>
      <c r="T180" s="19" t="str">
        <f t="shared" si="209"/>
        <v>Prev_Comms-3694</v>
      </c>
      <c r="U180" s="15" t="s">
        <v>75</v>
      </c>
      <c r="V180" s="15" t="s">
        <v>401</v>
      </c>
      <c r="W180" s="15" t="s">
        <v>75</v>
      </c>
      <c r="X180" s="15" t="s">
        <v>396</v>
      </c>
      <c r="Y180" s="13" t="str">
        <f t="shared" si="210"/>
        <v>Forward Add-3694</v>
      </c>
      <c r="Z180" s="15" t="s">
        <v>401</v>
      </c>
      <c r="AA180" s="133" t="str">
        <f>'Run Parameters'!$B$2</f>
        <v>2019-04-26 08:00</v>
      </c>
      <c r="AB180" s="213" t="str">
        <f>'Run Parameters'!B$3</f>
        <v>2019-04-26 18:00</v>
      </c>
      <c r="AC180" s="26">
        <f>('Run Parameters'!$B$2) - 7</f>
        <v>43574.333333333336</v>
      </c>
      <c r="AD180" s="15" t="s">
        <v>75</v>
      </c>
      <c r="AE180" s="13" t="str">
        <f t="shared" si="211"/>
        <v>LAST_METER-3694</v>
      </c>
      <c r="AF180" s="133" t="str">
        <f>'Run Parameters'!$B$2</f>
        <v>2019-04-26 08:00</v>
      </c>
      <c r="AG180" s="13" t="str">
        <f>'Run Parameters'!B$4</f>
        <v>AUTOTEST2</v>
      </c>
      <c r="AH180" s="19" t="str">
        <f t="shared" si="212"/>
        <v>Site_Contact_3694</v>
      </c>
      <c r="AI180" s="133" t="str">
        <f>'Run Parameters'!B$2</f>
        <v>2019-04-26 08:00</v>
      </c>
      <c r="AJ180" s="213" t="str">
        <f>'Run Parameters'!B$3</f>
        <v>2019-04-26 18:00</v>
      </c>
      <c r="AK180" s="13" t="s">
        <v>396</v>
      </c>
      <c r="AL180" s="19" t="str">
        <f t="shared" si="213"/>
        <v>011593694</v>
      </c>
      <c r="AM180" s="13" t="str">
        <f t="shared" si="214"/>
        <v>01153694</v>
      </c>
      <c r="AN180" s="15"/>
      <c r="AO180" s="15"/>
      <c r="AP180" s="13">
        <v>1</v>
      </c>
      <c r="AQ180" s="15" t="s">
        <v>49</v>
      </c>
      <c r="AR180" s="15"/>
      <c r="AS180" s="13"/>
      <c r="AT180" s="15" t="s">
        <v>400</v>
      </c>
      <c r="AU180" s="15"/>
      <c r="AV180" s="13">
        <f t="shared" si="215"/>
        <v>3694</v>
      </c>
      <c r="AW180" s="13" t="s">
        <v>858</v>
      </c>
      <c r="AX180" s="13" t="s">
        <v>420</v>
      </c>
      <c r="AY180" s="13" t="s">
        <v>421</v>
      </c>
      <c r="AZ180" s="15" t="s">
        <v>334</v>
      </c>
      <c r="BA180" s="15" t="s">
        <v>154</v>
      </c>
      <c r="BB180" s="13">
        <v>1</v>
      </c>
      <c r="BC180" s="13">
        <f t="shared" si="216"/>
        <v>3694</v>
      </c>
      <c r="BD180" s="15" t="s">
        <v>962</v>
      </c>
      <c r="BE180" s="15" t="s">
        <v>390</v>
      </c>
      <c r="BF180" s="15" t="s">
        <v>390</v>
      </c>
      <c r="BG180" s="13" t="s">
        <v>857</v>
      </c>
      <c r="BH180" s="13" t="str">
        <f t="shared" si="217"/>
        <v>3694_1</v>
      </c>
      <c r="BI180" s="13"/>
      <c r="BJ180" s="13" t="str">
        <f t="shared" si="218"/>
        <v>100000003694</v>
      </c>
      <c r="BK180" s="15" t="s">
        <v>51</v>
      </c>
      <c r="BL180" s="15" t="s">
        <v>54</v>
      </c>
      <c r="BM180" s="13" t="s">
        <v>277</v>
      </c>
      <c r="BN180" s="15" t="s">
        <v>51</v>
      </c>
      <c r="BO180" s="13" t="str">
        <f t="shared" si="219"/>
        <v>S05S3694</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GAS_ENQ_NO-3694</v>
      </c>
      <c r="CK180" s="15" t="s">
        <v>779</v>
      </c>
      <c r="CL180" s="15" t="s">
        <v>391</v>
      </c>
      <c r="CM180" s="15" t="s">
        <v>390</v>
      </c>
      <c r="CN180" s="13" t="s">
        <v>780</v>
      </c>
      <c r="CO180" s="13" t="str">
        <f t="shared" si="221"/>
        <v>GAS_JOB_ID-3694</v>
      </c>
      <c r="CP180" s="15"/>
      <c r="CQ180" s="13" t="str">
        <f t="shared" si="222"/>
        <v>100003694</v>
      </c>
      <c r="CR180" s="13" t="s">
        <v>154</v>
      </c>
      <c r="CS180" s="15" t="s">
        <v>51</v>
      </c>
      <c r="CT180" s="217" t="str">
        <f t="shared" si="223"/>
        <v>GMETER3694</v>
      </c>
      <c r="CU180" s="13" t="s">
        <v>161</v>
      </c>
      <c r="CV180" s="15" t="s">
        <v>165</v>
      </c>
      <c r="CW180" s="15" t="s">
        <v>414</v>
      </c>
      <c r="CX180" s="15"/>
      <c r="CY180" s="15"/>
      <c r="CZ180" s="15" t="s">
        <v>394</v>
      </c>
      <c r="DA180" s="15" t="s">
        <v>395</v>
      </c>
      <c r="DB180" s="13" t="str">
        <f t="shared" si="163"/>
        <v>GAS_INST_ID-3694</v>
      </c>
      <c r="DC180" s="15" t="s">
        <v>161</v>
      </c>
      <c r="DD180" s="15"/>
      <c r="DE180" s="15" t="s">
        <v>51</v>
      </c>
      <c r="DF180" s="15" t="s">
        <v>264</v>
      </c>
      <c r="DG180" s="15"/>
      <c r="DH180" s="15" t="s">
        <v>397</v>
      </c>
      <c r="DI180" s="15" t="s">
        <v>399</v>
      </c>
      <c r="DJ180" s="15" t="s">
        <v>856</v>
      </c>
      <c r="DK180" s="15" t="s">
        <v>140</v>
      </c>
      <c r="DL180" s="218"/>
      <c r="DM180" s="218"/>
      <c r="DN180" s="13" t="str">
        <f t="shared" si="164"/>
        <v>DS_Pass-3694</v>
      </c>
      <c r="DO180" s="15"/>
      <c r="DP180" s="15"/>
      <c r="DQ180" s="15"/>
      <c r="DR180" s="13"/>
      <c r="DS180" s="13"/>
      <c r="DT180" s="15" t="s">
        <v>52</v>
      </c>
      <c r="DU180" s="15"/>
      <c r="DV180" s="15"/>
      <c r="DW180" s="13"/>
      <c r="DX180" s="15" t="s">
        <v>54</v>
      </c>
      <c r="DY180" s="15" t="s">
        <v>61</v>
      </c>
      <c r="DZ180" s="15" t="s">
        <v>402</v>
      </c>
      <c r="EA180" s="19" t="str">
        <f t="shared" si="224"/>
        <v>3694CUSTOMER_ADDRESSEXCH9 ROADCUSTOMER_ADDRESSTESTINGHAMCUSTOMER_ADDRESSTESTINGHAMSHIRE</v>
      </c>
      <c r="EB180" s="15" t="s">
        <v>856</v>
      </c>
      <c r="EC180" s="218"/>
      <c r="ED180" s="218"/>
      <c r="EE180" s="218"/>
    </row>
    <row r="181" spans="1:135" s="219" customFormat="1" x14ac:dyDescent="0.2">
      <c r="A181" s="209" t="s">
        <v>1000</v>
      </c>
      <c r="B181" s="209" t="s">
        <v>868</v>
      </c>
      <c r="C181" s="209" t="s">
        <v>865</v>
      </c>
      <c r="D181" s="13">
        <f>'Run Parameters'!$B$1 + ROW()-1</f>
        <v>3695</v>
      </c>
      <c r="E181" s="15" t="s">
        <v>47</v>
      </c>
      <c r="F181" s="13" t="s">
        <v>857</v>
      </c>
      <c r="G181" s="13" t="str">
        <f t="shared" si="203"/>
        <v>Access Dtls-3695</v>
      </c>
      <c r="H181" s="15" t="s">
        <v>275</v>
      </c>
      <c r="I181" s="13" t="str">
        <f>("MR. Test_172_EXCH9_"&amp;D181&amp;"")</f>
        <v>MR. Test_172_EXCH9_3695</v>
      </c>
      <c r="J181" s="13"/>
      <c r="K181" s="19" t="s">
        <v>425</v>
      </c>
      <c r="L181" s="13" t="str">
        <f t="shared" si="204"/>
        <v>Cust. Ref-3695</v>
      </c>
      <c r="M181" s="15" t="s">
        <v>48</v>
      </c>
      <c r="N181" s="15" t="s">
        <v>425</v>
      </c>
      <c r="O181" s="13"/>
      <c r="P181" s="13" t="str">
        <f t="shared" si="205"/>
        <v>SN-3695</v>
      </c>
      <c r="Q181" s="13" t="str">
        <f t="shared" si="206"/>
        <v>SI-3695</v>
      </c>
      <c r="R181" s="13" t="str">
        <f t="shared" si="207"/>
        <v>SE-3695</v>
      </c>
      <c r="S181" s="19" t="str">
        <f t="shared" si="208"/>
        <v>Prev_RA-3695</v>
      </c>
      <c r="T181" s="19" t="str">
        <f t="shared" si="209"/>
        <v>Prev_Comms-3695</v>
      </c>
      <c r="U181" s="15" t="s">
        <v>75</v>
      </c>
      <c r="V181" s="15" t="s">
        <v>401</v>
      </c>
      <c r="W181" s="15" t="s">
        <v>75</v>
      </c>
      <c r="X181" s="15" t="s">
        <v>396</v>
      </c>
      <c r="Y181" s="13" t="str">
        <f t="shared" si="210"/>
        <v>Forward Add-3695</v>
      </c>
      <c r="Z181" s="15" t="s">
        <v>401</v>
      </c>
      <c r="AA181" s="133" t="str">
        <f>'Run Parameters'!$B$2</f>
        <v>2019-04-26 08:00</v>
      </c>
      <c r="AB181" s="213" t="str">
        <f>'Run Parameters'!B$3</f>
        <v>2019-04-26 18:00</v>
      </c>
      <c r="AC181" s="26">
        <f>('Run Parameters'!$B$2) - 7</f>
        <v>43574.333333333336</v>
      </c>
      <c r="AD181" s="15" t="s">
        <v>75</v>
      </c>
      <c r="AE181" s="13" t="str">
        <f t="shared" si="211"/>
        <v>LAST_METER-3695</v>
      </c>
      <c r="AF181" s="133" t="str">
        <f>'Run Parameters'!$B$2</f>
        <v>2019-04-26 08:00</v>
      </c>
      <c r="AG181" s="13" t="str">
        <f>'Run Parameters'!B$4</f>
        <v>AUTOTEST2</v>
      </c>
      <c r="AH181" s="19" t="str">
        <f t="shared" si="212"/>
        <v>Site_Contact_3695</v>
      </c>
      <c r="AI181" s="133" t="str">
        <f>'Run Parameters'!B$2</f>
        <v>2019-04-26 08:00</v>
      </c>
      <c r="AJ181" s="213" t="str">
        <f>'Run Parameters'!B$3</f>
        <v>2019-04-26 18:00</v>
      </c>
      <c r="AK181" s="13" t="s">
        <v>396</v>
      </c>
      <c r="AL181" s="19" t="str">
        <f t="shared" si="213"/>
        <v>011593695</v>
      </c>
      <c r="AM181" s="13" t="str">
        <f t="shared" si="214"/>
        <v>01153695</v>
      </c>
      <c r="AN181" s="15"/>
      <c r="AO181" s="15"/>
      <c r="AP181" s="13">
        <v>1</v>
      </c>
      <c r="AQ181" s="15" t="s">
        <v>49</v>
      </c>
      <c r="AR181" s="15"/>
      <c r="AS181" s="13"/>
      <c r="AT181" s="15" t="s">
        <v>400</v>
      </c>
      <c r="AU181" s="15"/>
      <c r="AV181" s="13">
        <f t="shared" si="215"/>
        <v>3695</v>
      </c>
      <c r="AW181" s="13" t="s">
        <v>858</v>
      </c>
      <c r="AX181" s="13" t="s">
        <v>420</v>
      </c>
      <c r="AY181" s="13" t="s">
        <v>421</v>
      </c>
      <c r="AZ181" s="15" t="s">
        <v>334</v>
      </c>
      <c r="BA181" s="15" t="s">
        <v>154</v>
      </c>
      <c r="BB181" s="13">
        <v>1</v>
      </c>
      <c r="BC181" s="13">
        <f t="shared" si="216"/>
        <v>3695</v>
      </c>
      <c r="BD181" s="15" t="s">
        <v>962</v>
      </c>
      <c r="BE181" s="15" t="s">
        <v>390</v>
      </c>
      <c r="BF181" s="15" t="s">
        <v>390</v>
      </c>
      <c r="BG181" s="13" t="s">
        <v>857</v>
      </c>
      <c r="BH181" s="13" t="str">
        <f t="shared" si="217"/>
        <v>3695_1</v>
      </c>
      <c r="BI181" s="13"/>
      <c r="BJ181" s="13" t="str">
        <f t="shared" si="218"/>
        <v>100000003695</v>
      </c>
      <c r="BK181" s="15" t="s">
        <v>51</v>
      </c>
      <c r="BL181" s="15" t="s">
        <v>54</v>
      </c>
      <c r="BM181" s="13" t="s">
        <v>277</v>
      </c>
      <c r="BN181" s="15" t="s">
        <v>51</v>
      </c>
      <c r="BO181" s="13" t="str">
        <f t="shared" si="219"/>
        <v>S05S3695</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GAS_ENQ_NO-3695</v>
      </c>
      <c r="CK181" s="15" t="s">
        <v>779</v>
      </c>
      <c r="CL181" s="15" t="s">
        <v>391</v>
      </c>
      <c r="CM181" s="15" t="s">
        <v>390</v>
      </c>
      <c r="CN181" s="13" t="s">
        <v>780</v>
      </c>
      <c r="CO181" s="13" t="str">
        <f t="shared" si="221"/>
        <v>GAS_JOB_ID-3695</v>
      </c>
      <c r="CP181" s="15"/>
      <c r="CQ181" s="13" t="str">
        <f t="shared" si="222"/>
        <v>100003695</v>
      </c>
      <c r="CR181" s="13" t="s">
        <v>154</v>
      </c>
      <c r="CS181" s="15" t="s">
        <v>51</v>
      </c>
      <c r="CT181" s="217" t="str">
        <f t="shared" si="223"/>
        <v>GMETER3695</v>
      </c>
      <c r="CU181" s="13" t="s">
        <v>161</v>
      </c>
      <c r="CV181" s="15" t="s">
        <v>165</v>
      </c>
      <c r="CW181" s="15" t="s">
        <v>414</v>
      </c>
      <c r="CX181" s="15"/>
      <c r="CY181" s="15"/>
      <c r="CZ181" s="15" t="s">
        <v>394</v>
      </c>
      <c r="DA181" s="15" t="s">
        <v>395</v>
      </c>
      <c r="DB181" s="13" t="str">
        <f t="shared" si="163"/>
        <v>GAS_INST_ID-3695</v>
      </c>
      <c r="DC181" s="15" t="s">
        <v>161</v>
      </c>
      <c r="DD181" s="15"/>
      <c r="DE181" s="15" t="s">
        <v>51</v>
      </c>
      <c r="DF181" s="15" t="s">
        <v>264</v>
      </c>
      <c r="DG181" s="15"/>
      <c r="DH181" s="15" t="s">
        <v>397</v>
      </c>
      <c r="DI181" s="15" t="s">
        <v>399</v>
      </c>
      <c r="DJ181" s="15" t="s">
        <v>856</v>
      </c>
      <c r="DK181" s="15" t="s">
        <v>140</v>
      </c>
      <c r="DL181" s="218"/>
      <c r="DM181" s="218"/>
      <c r="DN181" s="13" t="str">
        <f t="shared" si="164"/>
        <v>DS_Pass-3695</v>
      </c>
      <c r="DO181" s="15"/>
      <c r="DP181" s="15"/>
      <c r="DQ181" s="15"/>
      <c r="DR181" s="13"/>
      <c r="DS181" s="13"/>
      <c r="DT181" s="15" t="s">
        <v>52</v>
      </c>
      <c r="DU181" s="15"/>
      <c r="DV181" s="15"/>
      <c r="DW181" s="13"/>
      <c r="DX181" s="15" t="s">
        <v>54</v>
      </c>
      <c r="DY181" s="15" t="s">
        <v>61</v>
      </c>
      <c r="DZ181" s="15" t="s">
        <v>402</v>
      </c>
      <c r="EA181" s="19" t="str">
        <f t="shared" si="224"/>
        <v>3695CUSTOMER_ADDRESSEXCH9 ROADCUSTOMER_ADDRESSTESTINGHAMCUSTOMER_ADDRESSTESTINGHAMSHIRE</v>
      </c>
      <c r="EB181" s="15" t="s">
        <v>856</v>
      </c>
      <c r="EC181" s="218"/>
      <c r="ED181" s="218"/>
      <c r="EE181" s="218"/>
    </row>
    <row r="182" spans="1:135" s="219" customFormat="1" x14ac:dyDescent="0.2">
      <c r="A182" s="209" t="s">
        <v>1001</v>
      </c>
      <c r="B182" s="209" t="s">
        <v>892</v>
      </c>
      <c r="C182" s="209" t="s">
        <v>865</v>
      </c>
      <c r="D182" s="13">
        <f>'Run Parameters'!$B$1 + ROW()-1</f>
        <v>3696</v>
      </c>
      <c r="E182" s="15" t="s">
        <v>47</v>
      </c>
      <c r="F182" s="13" t="s">
        <v>857</v>
      </c>
      <c r="G182" s="13" t="str">
        <f t="shared" si="203"/>
        <v>Access Dtls-3696</v>
      </c>
      <c r="H182" s="15" t="s">
        <v>275</v>
      </c>
      <c r="I182" s="13" t="str">
        <f>("MR. Test_173_EXCH9_"&amp;D182&amp;"")</f>
        <v>MR. Test_173_EXCH9_3696</v>
      </c>
      <c r="J182" s="13"/>
      <c r="K182" s="19" t="s">
        <v>425</v>
      </c>
      <c r="L182" s="13" t="str">
        <f t="shared" si="204"/>
        <v>Cust. Ref-3696</v>
      </c>
      <c r="M182" s="15" t="s">
        <v>48</v>
      </c>
      <c r="N182" s="15" t="s">
        <v>425</v>
      </c>
      <c r="O182" s="13"/>
      <c r="P182" s="13" t="str">
        <f t="shared" si="205"/>
        <v>SN-3696</v>
      </c>
      <c r="Q182" s="13" t="str">
        <f t="shared" si="206"/>
        <v>SI-3696</v>
      </c>
      <c r="R182" s="13" t="str">
        <f t="shared" si="207"/>
        <v>SE-3696</v>
      </c>
      <c r="S182" s="19" t="str">
        <f t="shared" si="208"/>
        <v>Prev_RA-3696</v>
      </c>
      <c r="T182" s="19" t="str">
        <f t="shared" si="209"/>
        <v>Prev_Comms-3696</v>
      </c>
      <c r="U182" s="15" t="s">
        <v>75</v>
      </c>
      <c r="V182" s="15" t="s">
        <v>401</v>
      </c>
      <c r="W182" s="15" t="s">
        <v>75</v>
      </c>
      <c r="X182" s="15" t="s">
        <v>396</v>
      </c>
      <c r="Y182" s="13" t="str">
        <f t="shared" si="210"/>
        <v>Forward Add-3696</v>
      </c>
      <c r="Z182" s="15" t="s">
        <v>401</v>
      </c>
      <c r="AA182" s="133" t="str">
        <f>'Run Parameters'!$B$2</f>
        <v>2019-04-26 08:00</v>
      </c>
      <c r="AB182" s="213" t="str">
        <f>'Run Parameters'!B$3</f>
        <v>2019-04-26 18:00</v>
      </c>
      <c r="AC182" s="26">
        <f>('Run Parameters'!$B$2) - 7</f>
        <v>43574.333333333336</v>
      </c>
      <c r="AD182" s="15" t="s">
        <v>75</v>
      </c>
      <c r="AE182" s="13" t="str">
        <f t="shared" si="211"/>
        <v>LAST_METER-3696</v>
      </c>
      <c r="AF182" s="133" t="str">
        <f>'Run Parameters'!$B$2</f>
        <v>2019-04-26 08:00</v>
      </c>
      <c r="AG182" s="13" t="str">
        <f>'Run Parameters'!B$4</f>
        <v>AUTOTEST2</v>
      </c>
      <c r="AH182" s="19" t="str">
        <f t="shared" si="212"/>
        <v>Site_Contact_3696</v>
      </c>
      <c r="AI182" s="133" t="str">
        <f>'Run Parameters'!B$2</f>
        <v>2019-04-26 08:00</v>
      </c>
      <c r="AJ182" s="213" t="str">
        <f>'Run Parameters'!B$3</f>
        <v>2019-04-26 18:00</v>
      </c>
      <c r="AK182" s="13" t="s">
        <v>396</v>
      </c>
      <c r="AL182" s="19" t="str">
        <f t="shared" si="213"/>
        <v>011593696</v>
      </c>
      <c r="AM182" s="13" t="str">
        <f t="shared" si="214"/>
        <v>01153696</v>
      </c>
      <c r="AN182" s="15"/>
      <c r="AO182" s="15"/>
      <c r="AP182" s="13">
        <v>1</v>
      </c>
      <c r="AQ182" s="15" t="s">
        <v>49</v>
      </c>
      <c r="AR182" s="15"/>
      <c r="AS182" s="13"/>
      <c r="AT182" s="15" t="s">
        <v>400</v>
      </c>
      <c r="AU182" s="15"/>
      <c r="AV182" s="13">
        <f t="shared" si="215"/>
        <v>3696</v>
      </c>
      <c r="AW182" s="13" t="s">
        <v>858</v>
      </c>
      <c r="AX182" s="13" t="s">
        <v>420</v>
      </c>
      <c r="AY182" s="13" t="s">
        <v>421</v>
      </c>
      <c r="AZ182" s="15" t="s">
        <v>334</v>
      </c>
      <c r="BA182" s="15" t="s">
        <v>154</v>
      </c>
      <c r="BB182" s="13">
        <v>1</v>
      </c>
      <c r="BC182" s="13">
        <f t="shared" si="216"/>
        <v>3696</v>
      </c>
      <c r="BD182" s="15" t="s">
        <v>962</v>
      </c>
      <c r="BE182" s="15" t="s">
        <v>390</v>
      </c>
      <c r="BF182" s="15" t="s">
        <v>390</v>
      </c>
      <c r="BG182" s="13" t="s">
        <v>857</v>
      </c>
      <c r="BH182" s="13" t="str">
        <f t="shared" si="217"/>
        <v>3696_1</v>
      </c>
      <c r="BI182" s="13"/>
      <c r="BJ182" s="13" t="str">
        <f t="shared" si="218"/>
        <v>100000003696</v>
      </c>
      <c r="BK182" s="15" t="s">
        <v>51</v>
      </c>
      <c r="BL182" s="15" t="s">
        <v>54</v>
      </c>
      <c r="BM182" s="13" t="s">
        <v>277</v>
      </c>
      <c r="BN182" s="15" t="s">
        <v>51</v>
      </c>
      <c r="BO182" s="13" t="str">
        <f t="shared" si="219"/>
        <v>S05S3696</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GAS_ENQ_NO-3696</v>
      </c>
      <c r="CK182" s="15" t="s">
        <v>779</v>
      </c>
      <c r="CL182" s="15" t="s">
        <v>391</v>
      </c>
      <c r="CM182" s="15" t="s">
        <v>390</v>
      </c>
      <c r="CN182" s="13" t="s">
        <v>780</v>
      </c>
      <c r="CO182" s="13" t="str">
        <f t="shared" si="221"/>
        <v>GAS_JOB_ID-3696</v>
      </c>
      <c r="CP182" s="15"/>
      <c r="CQ182" s="13" t="str">
        <f t="shared" si="222"/>
        <v>100003696</v>
      </c>
      <c r="CR182" s="13" t="s">
        <v>154</v>
      </c>
      <c r="CS182" s="15" t="s">
        <v>51</v>
      </c>
      <c r="CT182" s="217" t="str">
        <f t="shared" si="223"/>
        <v>GMETER3696</v>
      </c>
      <c r="CU182" s="13" t="s">
        <v>161</v>
      </c>
      <c r="CV182" s="15" t="s">
        <v>165</v>
      </c>
      <c r="CW182" s="15" t="s">
        <v>414</v>
      </c>
      <c r="CX182" s="15"/>
      <c r="CY182" s="15"/>
      <c r="CZ182" s="15" t="s">
        <v>394</v>
      </c>
      <c r="DA182" s="15" t="s">
        <v>395</v>
      </c>
      <c r="DB182" s="13" t="str">
        <f t="shared" si="163"/>
        <v>GAS_INST_ID-3696</v>
      </c>
      <c r="DC182" s="15" t="s">
        <v>161</v>
      </c>
      <c r="DD182" s="15"/>
      <c r="DE182" s="15" t="s">
        <v>51</v>
      </c>
      <c r="DF182" s="15" t="s">
        <v>264</v>
      </c>
      <c r="DG182" s="15"/>
      <c r="DH182" s="15" t="s">
        <v>397</v>
      </c>
      <c r="DI182" s="15" t="s">
        <v>399</v>
      </c>
      <c r="DJ182" s="15" t="s">
        <v>856</v>
      </c>
      <c r="DK182" s="15" t="s">
        <v>140</v>
      </c>
      <c r="DL182" s="218"/>
      <c r="DM182" s="218"/>
      <c r="DN182" s="13" t="str">
        <f t="shared" si="164"/>
        <v>DS_Pass-3696</v>
      </c>
      <c r="DO182" s="15"/>
      <c r="DP182" s="15"/>
      <c r="DQ182" s="15"/>
      <c r="DR182" s="13"/>
      <c r="DS182" s="13"/>
      <c r="DT182" s="15" t="s">
        <v>52</v>
      </c>
      <c r="DU182" s="15"/>
      <c r="DV182" s="15"/>
      <c r="DW182" s="13"/>
      <c r="DX182" s="15" t="s">
        <v>54</v>
      </c>
      <c r="DY182" s="15" t="s">
        <v>61</v>
      </c>
      <c r="DZ182" s="15" t="s">
        <v>402</v>
      </c>
      <c r="EA182" s="19" t="str">
        <f t="shared" si="224"/>
        <v>3696CUSTOMER_ADDRESSEXCH9 ROADCUSTOMER_ADDRESSTESTINGHAMCUSTOMER_ADDRESSTESTINGHAMSHIRE</v>
      </c>
      <c r="EB182" s="15" t="s">
        <v>856</v>
      </c>
      <c r="EC182" s="218"/>
      <c r="ED182" s="218"/>
      <c r="EE182" s="218"/>
    </row>
    <row r="183" spans="1:135" s="219" customFormat="1" x14ac:dyDescent="0.2">
      <c r="A183" s="209" t="s">
        <v>1002</v>
      </c>
      <c r="B183" s="209" t="s">
        <v>868</v>
      </c>
      <c r="C183" s="209" t="s">
        <v>865</v>
      </c>
      <c r="D183" s="13">
        <f>'Run Parameters'!$B$1 + ROW()-1</f>
        <v>3697</v>
      </c>
      <c r="E183" s="15" t="s">
        <v>47</v>
      </c>
      <c r="F183" s="13" t="s">
        <v>857</v>
      </c>
      <c r="G183" s="13" t="str">
        <f t="shared" si="203"/>
        <v>Access Dtls-3697</v>
      </c>
      <c r="H183" s="15" t="s">
        <v>275</v>
      </c>
      <c r="I183" s="13" t="str">
        <f>("MR. Test_174_EXCH9_"&amp;D183&amp;"")</f>
        <v>MR. Test_174_EXCH9_3697</v>
      </c>
      <c r="J183" s="13"/>
      <c r="K183" s="19" t="s">
        <v>425</v>
      </c>
      <c r="L183" s="13" t="str">
        <f t="shared" si="204"/>
        <v>Cust. Ref-3697</v>
      </c>
      <c r="M183" s="15" t="s">
        <v>48</v>
      </c>
      <c r="N183" s="15" t="s">
        <v>425</v>
      </c>
      <c r="O183" s="13"/>
      <c r="P183" s="13" t="str">
        <f t="shared" si="205"/>
        <v>SN-3697</v>
      </c>
      <c r="Q183" s="13" t="str">
        <f t="shared" si="206"/>
        <v>SI-3697</v>
      </c>
      <c r="R183" s="13" t="str">
        <f t="shared" si="207"/>
        <v>SE-3697</v>
      </c>
      <c r="S183" s="19" t="str">
        <f t="shared" si="208"/>
        <v>Prev_RA-3697</v>
      </c>
      <c r="T183" s="19" t="str">
        <f t="shared" si="209"/>
        <v>Prev_Comms-3697</v>
      </c>
      <c r="U183" s="15" t="s">
        <v>75</v>
      </c>
      <c r="V183" s="15" t="s">
        <v>401</v>
      </c>
      <c r="W183" s="15" t="s">
        <v>75</v>
      </c>
      <c r="X183" s="15" t="s">
        <v>396</v>
      </c>
      <c r="Y183" s="13" t="str">
        <f t="shared" si="210"/>
        <v>Forward Add-3697</v>
      </c>
      <c r="Z183" s="15" t="s">
        <v>401</v>
      </c>
      <c r="AA183" s="133" t="str">
        <f>'Run Parameters'!$B$2</f>
        <v>2019-04-26 08:00</v>
      </c>
      <c r="AB183" s="213" t="str">
        <f>'Run Parameters'!B$3</f>
        <v>2019-04-26 18:00</v>
      </c>
      <c r="AC183" s="26">
        <f>('Run Parameters'!$B$2) - 7</f>
        <v>43574.333333333336</v>
      </c>
      <c r="AD183" s="15" t="s">
        <v>75</v>
      </c>
      <c r="AE183" s="13" t="str">
        <f t="shared" si="211"/>
        <v>LAST_METER-3697</v>
      </c>
      <c r="AF183" s="133" t="str">
        <f>'Run Parameters'!$B$2</f>
        <v>2019-04-26 08:00</v>
      </c>
      <c r="AG183" s="13" t="str">
        <f>'Run Parameters'!B$4</f>
        <v>AUTOTEST2</v>
      </c>
      <c r="AH183" s="19" t="str">
        <f t="shared" si="212"/>
        <v>Site_Contact_3697</v>
      </c>
      <c r="AI183" s="133" t="str">
        <f>'Run Parameters'!B$2</f>
        <v>2019-04-26 08:00</v>
      </c>
      <c r="AJ183" s="213" t="str">
        <f>'Run Parameters'!B$3</f>
        <v>2019-04-26 18:00</v>
      </c>
      <c r="AK183" s="13" t="s">
        <v>396</v>
      </c>
      <c r="AL183" s="19" t="str">
        <f t="shared" si="213"/>
        <v>011593697</v>
      </c>
      <c r="AM183" s="13" t="str">
        <f t="shared" si="214"/>
        <v>01153697</v>
      </c>
      <c r="AN183" s="15"/>
      <c r="AO183" s="15"/>
      <c r="AP183" s="13">
        <v>1</v>
      </c>
      <c r="AQ183" s="15" t="s">
        <v>49</v>
      </c>
      <c r="AR183" s="15"/>
      <c r="AS183" s="13"/>
      <c r="AT183" s="15" t="s">
        <v>400</v>
      </c>
      <c r="AU183" s="15"/>
      <c r="AV183" s="13">
        <f t="shared" si="215"/>
        <v>3697</v>
      </c>
      <c r="AW183" s="13" t="s">
        <v>858</v>
      </c>
      <c r="AX183" s="13" t="s">
        <v>420</v>
      </c>
      <c r="AY183" s="13" t="s">
        <v>421</v>
      </c>
      <c r="AZ183" s="15" t="s">
        <v>334</v>
      </c>
      <c r="BA183" s="15" t="s">
        <v>154</v>
      </c>
      <c r="BB183" s="13">
        <v>1</v>
      </c>
      <c r="BC183" s="13">
        <f t="shared" si="216"/>
        <v>3697</v>
      </c>
      <c r="BD183" s="15" t="s">
        <v>962</v>
      </c>
      <c r="BE183" s="15" t="s">
        <v>390</v>
      </c>
      <c r="BF183" s="15" t="s">
        <v>390</v>
      </c>
      <c r="BG183" s="13" t="s">
        <v>857</v>
      </c>
      <c r="BH183" s="13" t="str">
        <f t="shared" si="217"/>
        <v>3697_1</v>
      </c>
      <c r="BI183" s="13"/>
      <c r="BJ183" s="13" t="str">
        <f t="shared" si="218"/>
        <v>100000003697</v>
      </c>
      <c r="BK183" s="15" t="s">
        <v>51</v>
      </c>
      <c r="BL183" s="15" t="s">
        <v>54</v>
      </c>
      <c r="BM183" s="13" t="s">
        <v>277</v>
      </c>
      <c r="BN183" s="15" t="s">
        <v>51</v>
      </c>
      <c r="BO183" s="13" t="str">
        <f t="shared" si="219"/>
        <v>S05S3697</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GAS_ENQ_NO-3697</v>
      </c>
      <c r="CK183" s="15" t="s">
        <v>779</v>
      </c>
      <c r="CL183" s="15" t="s">
        <v>391</v>
      </c>
      <c r="CM183" s="15" t="s">
        <v>390</v>
      </c>
      <c r="CN183" s="13" t="s">
        <v>780</v>
      </c>
      <c r="CO183" s="13" t="str">
        <f t="shared" si="221"/>
        <v>GAS_JOB_ID-3697</v>
      </c>
      <c r="CP183" s="15"/>
      <c r="CQ183" s="13" t="str">
        <f t="shared" si="222"/>
        <v>100003697</v>
      </c>
      <c r="CR183" s="13" t="s">
        <v>154</v>
      </c>
      <c r="CS183" s="15" t="s">
        <v>51</v>
      </c>
      <c r="CT183" s="217" t="str">
        <f t="shared" si="223"/>
        <v>GMETER3697</v>
      </c>
      <c r="CU183" s="13" t="s">
        <v>161</v>
      </c>
      <c r="CV183" s="15" t="s">
        <v>165</v>
      </c>
      <c r="CW183" s="15" t="s">
        <v>414</v>
      </c>
      <c r="CX183" s="15"/>
      <c r="CY183" s="15"/>
      <c r="CZ183" s="15" t="s">
        <v>394</v>
      </c>
      <c r="DA183" s="15" t="s">
        <v>395</v>
      </c>
      <c r="DB183" s="13" t="str">
        <f t="shared" si="163"/>
        <v>GAS_INST_ID-3697</v>
      </c>
      <c r="DC183" s="15" t="s">
        <v>161</v>
      </c>
      <c r="DD183" s="15"/>
      <c r="DE183" s="15" t="s">
        <v>51</v>
      </c>
      <c r="DF183" s="15" t="s">
        <v>264</v>
      </c>
      <c r="DG183" s="15"/>
      <c r="DH183" s="15" t="s">
        <v>397</v>
      </c>
      <c r="DI183" s="15" t="s">
        <v>399</v>
      </c>
      <c r="DJ183" s="15" t="s">
        <v>856</v>
      </c>
      <c r="DK183" s="15" t="s">
        <v>140</v>
      </c>
      <c r="DL183" s="218"/>
      <c r="DM183" s="218"/>
      <c r="DN183" s="13" t="str">
        <f t="shared" si="164"/>
        <v>DS_Pass-3697</v>
      </c>
      <c r="DO183" s="15"/>
      <c r="DP183" s="15"/>
      <c r="DQ183" s="15"/>
      <c r="DR183" s="13"/>
      <c r="DS183" s="13"/>
      <c r="DT183" s="15" t="s">
        <v>52</v>
      </c>
      <c r="DU183" s="15"/>
      <c r="DV183" s="15"/>
      <c r="DW183" s="13"/>
      <c r="DX183" s="15" t="s">
        <v>54</v>
      </c>
      <c r="DY183" s="15" t="s">
        <v>61</v>
      </c>
      <c r="DZ183" s="15" t="s">
        <v>402</v>
      </c>
      <c r="EA183" s="19" t="str">
        <f t="shared" si="224"/>
        <v>3697CUSTOMER_ADDRESSEXCH9 ROADCUSTOMER_ADDRESSTESTINGHAMCUSTOMER_ADDRESSTESTINGHAMSHIRE</v>
      </c>
      <c r="EB183" s="15" t="s">
        <v>856</v>
      </c>
      <c r="EC183" s="218"/>
      <c r="ED183" s="218"/>
      <c r="EE183" s="218"/>
    </row>
    <row r="184" spans="1:135" s="219" customFormat="1" x14ac:dyDescent="0.2">
      <c r="A184" s="209" t="s">
        <v>1003</v>
      </c>
      <c r="B184" s="209" t="s">
        <v>892</v>
      </c>
      <c r="C184" s="209" t="s">
        <v>865</v>
      </c>
      <c r="D184" s="13">
        <f>'Run Parameters'!$B$1 + ROW()-1</f>
        <v>3698</v>
      </c>
      <c r="E184" s="15" t="s">
        <v>47</v>
      </c>
      <c r="F184" s="13" t="s">
        <v>857</v>
      </c>
      <c r="G184" s="13" t="str">
        <f t="shared" si="203"/>
        <v>Access Dtls-3698</v>
      </c>
      <c r="H184" s="15" t="s">
        <v>275</v>
      </c>
      <c r="I184" s="13" t="str">
        <f>("MR. Test_175_EXCH9_"&amp;D184&amp;"")</f>
        <v>MR. Test_175_EXCH9_3698</v>
      </c>
      <c r="J184" s="13"/>
      <c r="K184" s="19" t="s">
        <v>425</v>
      </c>
      <c r="L184" s="13" t="str">
        <f t="shared" si="204"/>
        <v>Cust. Ref-3698</v>
      </c>
      <c r="M184" s="15" t="s">
        <v>48</v>
      </c>
      <c r="N184" s="15" t="s">
        <v>425</v>
      </c>
      <c r="O184" s="13"/>
      <c r="P184" s="13" t="str">
        <f t="shared" si="205"/>
        <v>SN-3698</v>
      </c>
      <c r="Q184" s="13" t="str">
        <f t="shared" si="206"/>
        <v>SI-3698</v>
      </c>
      <c r="R184" s="13" t="str">
        <f t="shared" si="207"/>
        <v>SE-3698</v>
      </c>
      <c r="S184" s="19" t="str">
        <f t="shared" si="208"/>
        <v>Prev_RA-3698</v>
      </c>
      <c r="T184" s="19" t="str">
        <f t="shared" si="209"/>
        <v>Prev_Comms-3698</v>
      </c>
      <c r="U184" s="15" t="s">
        <v>75</v>
      </c>
      <c r="V184" s="15" t="s">
        <v>401</v>
      </c>
      <c r="W184" s="15" t="s">
        <v>75</v>
      </c>
      <c r="X184" s="15" t="s">
        <v>396</v>
      </c>
      <c r="Y184" s="13" t="str">
        <f t="shared" si="210"/>
        <v>Forward Add-3698</v>
      </c>
      <c r="Z184" s="15" t="s">
        <v>401</v>
      </c>
      <c r="AA184" s="133" t="str">
        <f>'Run Parameters'!$B$2</f>
        <v>2019-04-26 08:00</v>
      </c>
      <c r="AB184" s="213" t="str">
        <f>'Run Parameters'!B$3</f>
        <v>2019-04-26 18:00</v>
      </c>
      <c r="AC184" s="26">
        <f>('Run Parameters'!$B$2) - 7</f>
        <v>43574.333333333336</v>
      </c>
      <c r="AD184" s="15" t="s">
        <v>75</v>
      </c>
      <c r="AE184" s="13" t="str">
        <f t="shared" si="211"/>
        <v>LAST_METER-3698</v>
      </c>
      <c r="AF184" s="133" t="str">
        <f>'Run Parameters'!$B$2</f>
        <v>2019-04-26 08:00</v>
      </c>
      <c r="AG184" s="13" t="str">
        <f>'Run Parameters'!B$4</f>
        <v>AUTOTEST2</v>
      </c>
      <c r="AH184" s="19" t="str">
        <f t="shared" si="212"/>
        <v>Site_Contact_3698</v>
      </c>
      <c r="AI184" s="133" t="str">
        <f>'Run Parameters'!B$2</f>
        <v>2019-04-26 08:00</v>
      </c>
      <c r="AJ184" s="213" t="str">
        <f>'Run Parameters'!B$3</f>
        <v>2019-04-26 18:00</v>
      </c>
      <c r="AK184" s="13" t="s">
        <v>396</v>
      </c>
      <c r="AL184" s="19" t="str">
        <f t="shared" si="213"/>
        <v>011593698</v>
      </c>
      <c r="AM184" s="13" t="str">
        <f t="shared" si="214"/>
        <v>01153698</v>
      </c>
      <c r="AN184" s="15"/>
      <c r="AO184" s="15"/>
      <c r="AP184" s="13">
        <v>1</v>
      </c>
      <c r="AQ184" s="15" t="s">
        <v>49</v>
      </c>
      <c r="AR184" s="15"/>
      <c r="AS184" s="13"/>
      <c r="AT184" s="15" t="s">
        <v>400</v>
      </c>
      <c r="AU184" s="15"/>
      <c r="AV184" s="13">
        <f t="shared" si="215"/>
        <v>3698</v>
      </c>
      <c r="AW184" s="13" t="s">
        <v>858</v>
      </c>
      <c r="AX184" s="13" t="s">
        <v>420</v>
      </c>
      <c r="AY184" s="13" t="s">
        <v>421</v>
      </c>
      <c r="AZ184" s="15" t="s">
        <v>334</v>
      </c>
      <c r="BA184" s="15" t="s">
        <v>154</v>
      </c>
      <c r="BB184" s="13">
        <v>1</v>
      </c>
      <c r="BC184" s="13">
        <f t="shared" si="216"/>
        <v>3698</v>
      </c>
      <c r="BD184" s="15" t="s">
        <v>962</v>
      </c>
      <c r="BE184" s="15" t="s">
        <v>390</v>
      </c>
      <c r="BF184" s="15" t="s">
        <v>390</v>
      </c>
      <c r="BG184" s="13" t="s">
        <v>857</v>
      </c>
      <c r="BH184" s="13" t="str">
        <f t="shared" si="217"/>
        <v>3698_1</v>
      </c>
      <c r="BI184" s="13"/>
      <c r="BJ184" s="13" t="str">
        <f t="shared" si="218"/>
        <v>100000003698</v>
      </c>
      <c r="BK184" s="15" t="s">
        <v>51</v>
      </c>
      <c r="BL184" s="15" t="s">
        <v>54</v>
      </c>
      <c r="BM184" s="13" t="s">
        <v>277</v>
      </c>
      <c r="BN184" s="15" t="s">
        <v>51</v>
      </c>
      <c r="BO184" s="13" t="str">
        <f t="shared" si="219"/>
        <v>S05S3698</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GAS_ENQ_NO-3698</v>
      </c>
      <c r="CK184" s="15" t="s">
        <v>779</v>
      </c>
      <c r="CL184" s="15" t="s">
        <v>391</v>
      </c>
      <c r="CM184" s="15" t="s">
        <v>390</v>
      </c>
      <c r="CN184" s="13" t="s">
        <v>780</v>
      </c>
      <c r="CO184" s="13" t="str">
        <f t="shared" si="221"/>
        <v>GAS_JOB_ID-3698</v>
      </c>
      <c r="CP184" s="15"/>
      <c r="CQ184" s="13" t="str">
        <f t="shared" si="222"/>
        <v>100003698</v>
      </c>
      <c r="CR184" s="13" t="s">
        <v>154</v>
      </c>
      <c r="CS184" s="15" t="s">
        <v>51</v>
      </c>
      <c r="CT184" s="217" t="str">
        <f t="shared" si="223"/>
        <v>GMETER3698</v>
      </c>
      <c r="CU184" s="13" t="s">
        <v>161</v>
      </c>
      <c r="CV184" s="15" t="s">
        <v>165</v>
      </c>
      <c r="CW184" s="15" t="s">
        <v>414</v>
      </c>
      <c r="CX184" s="15"/>
      <c r="CY184" s="15"/>
      <c r="CZ184" s="15" t="s">
        <v>394</v>
      </c>
      <c r="DA184" s="15" t="s">
        <v>395</v>
      </c>
      <c r="DB184" s="13" t="str">
        <f t="shared" si="163"/>
        <v>GAS_INST_ID-3698</v>
      </c>
      <c r="DC184" s="15" t="s">
        <v>161</v>
      </c>
      <c r="DD184" s="15"/>
      <c r="DE184" s="15" t="s">
        <v>51</v>
      </c>
      <c r="DF184" s="15" t="s">
        <v>264</v>
      </c>
      <c r="DG184" s="15"/>
      <c r="DH184" s="15" t="s">
        <v>397</v>
      </c>
      <c r="DI184" s="15" t="s">
        <v>399</v>
      </c>
      <c r="DJ184" s="15" t="s">
        <v>856</v>
      </c>
      <c r="DK184" s="15" t="s">
        <v>140</v>
      </c>
      <c r="DL184" s="218"/>
      <c r="DM184" s="218"/>
      <c r="DN184" s="13" t="str">
        <f t="shared" si="164"/>
        <v>DS_Pass-3698</v>
      </c>
      <c r="DO184" s="15"/>
      <c r="DP184" s="15"/>
      <c r="DQ184" s="15"/>
      <c r="DR184" s="13"/>
      <c r="DS184" s="13"/>
      <c r="DT184" s="15" t="s">
        <v>52</v>
      </c>
      <c r="DU184" s="15"/>
      <c r="DV184" s="15"/>
      <c r="DW184" s="13"/>
      <c r="DX184" s="15" t="s">
        <v>54</v>
      </c>
      <c r="DY184" s="15" t="s">
        <v>61</v>
      </c>
      <c r="DZ184" s="15" t="s">
        <v>402</v>
      </c>
      <c r="EA184" s="19" t="str">
        <f t="shared" si="224"/>
        <v>3698CUSTOMER_ADDRESSEXCH9 ROADCUSTOMER_ADDRESSTESTINGHAMCUSTOMER_ADDRESSTESTINGHAMSHIRE</v>
      </c>
      <c r="EB184" s="15" t="s">
        <v>856</v>
      </c>
      <c r="EC184" s="218"/>
      <c r="ED184" s="218"/>
      <c r="EE184" s="218"/>
    </row>
    <row r="185" spans="1:135" s="219" customFormat="1" x14ac:dyDescent="0.2">
      <c r="A185" s="209" t="s">
        <v>1004</v>
      </c>
      <c r="B185" s="209" t="s">
        <v>868</v>
      </c>
      <c r="C185" s="209" t="s">
        <v>865</v>
      </c>
      <c r="D185" s="13">
        <f>'Run Parameters'!$B$1 + ROW()-1</f>
        <v>3699</v>
      </c>
      <c r="E185" s="15" t="s">
        <v>47</v>
      </c>
      <c r="F185" s="13" t="s">
        <v>857</v>
      </c>
      <c r="G185" s="13" t="str">
        <f t="shared" si="203"/>
        <v>Access Dtls-3699</v>
      </c>
      <c r="H185" s="15" t="s">
        <v>275</v>
      </c>
      <c r="I185" s="13" t="str">
        <f>("MR. Test_176_EXCH9_"&amp;D185&amp;"")</f>
        <v>MR. Test_176_EXCH9_3699</v>
      </c>
      <c r="J185" s="13"/>
      <c r="K185" s="19" t="s">
        <v>425</v>
      </c>
      <c r="L185" s="13" t="str">
        <f t="shared" si="204"/>
        <v>Cust. Ref-3699</v>
      </c>
      <c r="M185" s="15" t="s">
        <v>48</v>
      </c>
      <c r="N185" s="15" t="s">
        <v>425</v>
      </c>
      <c r="O185" s="13"/>
      <c r="P185" s="13" t="str">
        <f t="shared" si="205"/>
        <v>SN-3699</v>
      </c>
      <c r="Q185" s="13" t="str">
        <f t="shared" si="206"/>
        <v>SI-3699</v>
      </c>
      <c r="R185" s="13" t="str">
        <f t="shared" si="207"/>
        <v>SE-3699</v>
      </c>
      <c r="S185" s="19" t="str">
        <f t="shared" si="208"/>
        <v>Prev_RA-3699</v>
      </c>
      <c r="T185" s="19" t="str">
        <f t="shared" si="209"/>
        <v>Prev_Comms-3699</v>
      </c>
      <c r="U185" s="15" t="s">
        <v>75</v>
      </c>
      <c r="V185" s="15" t="s">
        <v>401</v>
      </c>
      <c r="W185" s="15" t="s">
        <v>75</v>
      </c>
      <c r="X185" s="15" t="s">
        <v>396</v>
      </c>
      <c r="Y185" s="13" t="str">
        <f t="shared" si="210"/>
        <v>Forward Add-3699</v>
      </c>
      <c r="Z185" s="15" t="s">
        <v>401</v>
      </c>
      <c r="AA185" s="133" t="str">
        <f>'Run Parameters'!$B$2</f>
        <v>2019-04-26 08:00</v>
      </c>
      <c r="AB185" s="213" t="str">
        <f>'Run Parameters'!B$3</f>
        <v>2019-04-26 18:00</v>
      </c>
      <c r="AC185" s="26">
        <f>('Run Parameters'!$B$2) - 7</f>
        <v>43574.333333333336</v>
      </c>
      <c r="AD185" s="15" t="s">
        <v>75</v>
      </c>
      <c r="AE185" s="13" t="str">
        <f t="shared" si="211"/>
        <v>LAST_METER-3699</v>
      </c>
      <c r="AF185" s="133" t="str">
        <f>'Run Parameters'!$B$2</f>
        <v>2019-04-26 08:00</v>
      </c>
      <c r="AG185" s="13" t="str">
        <f>'Run Parameters'!B$4</f>
        <v>AUTOTEST2</v>
      </c>
      <c r="AH185" s="19" t="str">
        <f t="shared" si="212"/>
        <v>Site_Contact_3699</v>
      </c>
      <c r="AI185" s="133" t="str">
        <f>'Run Parameters'!B$2</f>
        <v>2019-04-26 08:00</v>
      </c>
      <c r="AJ185" s="213" t="str">
        <f>'Run Parameters'!B$3</f>
        <v>2019-04-26 18:00</v>
      </c>
      <c r="AK185" s="13" t="s">
        <v>396</v>
      </c>
      <c r="AL185" s="19" t="str">
        <f t="shared" si="213"/>
        <v>011593699</v>
      </c>
      <c r="AM185" s="13" t="str">
        <f t="shared" si="214"/>
        <v>01153699</v>
      </c>
      <c r="AN185" s="15"/>
      <c r="AO185" s="15"/>
      <c r="AP185" s="13">
        <v>1</v>
      </c>
      <c r="AQ185" s="15" t="s">
        <v>49</v>
      </c>
      <c r="AR185" s="15"/>
      <c r="AS185" s="13"/>
      <c r="AT185" s="15" t="s">
        <v>400</v>
      </c>
      <c r="AU185" s="15"/>
      <c r="AV185" s="13">
        <f t="shared" si="215"/>
        <v>3699</v>
      </c>
      <c r="AW185" s="13" t="s">
        <v>858</v>
      </c>
      <c r="AX185" s="13" t="s">
        <v>420</v>
      </c>
      <c r="AY185" s="13" t="s">
        <v>421</v>
      </c>
      <c r="AZ185" s="15" t="s">
        <v>334</v>
      </c>
      <c r="BA185" s="15" t="s">
        <v>154</v>
      </c>
      <c r="BB185" s="13">
        <v>1</v>
      </c>
      <c r="BC185" s="13">
        <f t="shared" si="216"/>
        <v>3699</v>
      </c>
      <c r="BD185" s="15" t="s">
        <v>962</v>
      </c>
      <c r="BE185" s="15" t="s">
        <v>390</v>
      </c>
      <c r="BF185" s="15" t="s">
        <v>390</v>
      </c>
      <c r="BG185" s="13" t="s">
        <v>857</v>
      </c>
      <c r="BH185" s="13" t="str">
        <f t="shared" si="217"/>
        <v>3699_1</v>
      </c>
      <c r="BI185" s="13"/>
      <c r="BJ185" s="13" t="str">
        <f t="shared" si="218"/>
        <v>100000003699</v>
      </c>
      <c r="BK185" s="15" t="s">
        <v>51</v>
      </c>
      <c r="BL185" s="15" t="s">
        <v>54</v>
      </c>
      <c r="BM185" s="13" t="s">
        <v>277</v>
      </c>
      <c r="BN185" s="15" t="s">
        <v>51</v>
      </c>
      <c r="BO185" s="13" t="str">
        <f t="shared" si="219"/>
        <v>S05S3699</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GAS_ENQ_NO-3699</v>
      </c>
      <c r="CK185" s="15" t="s">
        <v>779</v>
      </c>
      <c r="CL185" s="15" t="s">
        <v>391</v>
      </c>
      <c r="CM185" s="15" t="s">
        <v>390</v>
      </c>
      <c r="CN185" s="13" t="s">
        <v>780</v>
      </c>
      <c r="CO185" s="13" t="str">
        <f t="shared" si="221"/>
        <v>GAS_JOB_ID-3699</v>
      </c>
      <c r="CP185" s="15"/>
      <c r="CQ185" s="13" t="str">
        <f t="shared" si="222"/>
        <v>100003699</v>
      </c>
      <c r="CR185" s="13" t="s">
        <v>154</v>
      </c>
      <c r="CS185" s="15" t="s">
        <v>51</v>
      </c>
      <c r="CT185" s="217" t="str">
        <f t="shared" si="223"/>
        <v>GMETER3699</v>
      </c>
      <c r="CU185" s="13" t="s">
        <v>161</v>
      </c>
      <c r="CV185" s="15" t="s">
        <v>165</v>
      </c>
      <c r="CW185" s="15" t="s">
        <v>414</v>
      </c>
      <c r="CX185" s="15"/>
      <c r="CY185" s="15"/>
      <c r="CZ185" s="15" t="s">
        <v>394</v>
      </c>
      <c r="DA185" s="15" t="s">
        <v>395</v>
      </c>
      <c r="DB185" s="13" t="str">
        <f t="shared" si="163"/>
        <v>GAS_INST_ID-3699</v>
      </c>
      <c r="DC185" s="15" t="s">
        <v>161</v>
      </c>
      <c r="DD185" s="15"/>
      <c r="DE185" s="15" t="s">
        <v>51</v>
      </c>
      <c r="DF185" s="15" t="s">
        <v>264</v>
      </c>
      <c r="DG185" s="15"/>
      <c r="DH185" s="15" t="s">
        <v>397</v>
      </c>
      <c r="DI185" s="15" t="s">
        <v>399</v>
      </c>
      <c r="DJ185" s="15" t="s">
        <v>856</v>
      </c>
      <c r="DK185" s="15" t="s">
        <v>140</v>
      </c>
      <c r="DL185" s="218"/>
      <c r="DM185" s="218"/>
      <c r="DN185" s="13" t="str">
        <f t="shared" si="164"/>
        <v>DS_Pass-3699</v>
      </c>
      <c r="DO185" s="15"/>
      <c r="DP185" s="15"/>
      <c r="DQ185" s="15"/>
      <c r="DR185" s="13"/>
      <c r="DS185" s="13"/>
      <c r="DT185" s="15" t="s">
        <v>52</v>
      </c>
      <c r="DU185" s="15"/>
      <c r="DV185" s="15"/>
      <c r="DW185" s="13"/>
      <c r="DX185" s="15" t="s">
        <v>54</v>
      </c>
      <c r="DY185" s="15" t="s">
        <v>61</v>
      </c>
      <c r="DZ185" s="15" t="s">
        <v>402</v>
      </c>
      <c r="EA185" s="19" t="str">
        <f t="shared" si="224"/>
        <v>3699CUSTOMER_ADDRESSEXCH9 ROADCUSTOMER_ADDRESSTESTINGHAMCUSTOMER_ADDRESSTESTINGHAMSHIRE</v>
      </c>
      <c r="EB185" s="15" t="s">
        <v>856</v>
      </c>
      <c r="EC185" s="218"/>
      <c r="ED185" s="218"/>
      <c r="EE185" s="218"/>
    </row>
    <row r="186" spans="1:135" s="219" customFormat="1" x14ac:dyDescent="0.2">
      <c r="A186" s="209" t="s">
        <v>1005</v>
      </c>
      <c r="B186" s="209" t="s">
        <v>892</v>
      </c>
      <c r="C186" s="209" t="s">
        <v>865</v>
      </c>
      <c r="D186" s="13">
        <f>'Run Parameters'!$B$1 + ROW()-1</f>
        <v>3700</v>
      </c>
      <c r="E186" s="15" t="s">
        <v>47</v>
      </c>
      <c r="F186" s="13" t="s">
        <v>857</v>
      </c>
      <c r="G186" s="13" t="str">
        <f t="shared" si="203"/>
        <v>Access Dtls-3700</v>
      </c>
      <c r="H186" s="15" t="s">
        <v>275</v>
      </c>
      <c r="I186" s="13" t="str">
        <f>("MR. Test_177_EXCH9_"&amp;D186&amp;"")</f>
        <v>MR. Test_177_EXCH9_3700</v>
      </c>
      <c r="J186" s="13"/>
      <c r="K186" s="19" t="s">
        <v>425</v>
      </c>
      <c r="L186" s="13" t="str">
        <f t="shared" si="204"/>
        <v>Cust. Ref-3700</v>
      </c>
      <c r="M186" s="15" t="s">
        <v>48</v>
      </c>
      <c r="N186" s="15" t="s">
        <v>425</v>
      </c>
      <c r="O186" s="13"/>
      <c r="P186" s="13" t="str">
        <f t="shared" si="205"/>
        <v>SN-3700</v>
      </c>
      <c r="Q186" s="13" t="str">
        <f t="shared" si="206"/>
        <v>SI-3700</v>
      </c>
      <c r="R186" s="13" t="str">
        <f t="shared" si="207"/>
        <v>SE-3700</v>
      </c>
      <c r="S186" s="19" t="str">
        <f t="shared" si="208"/>
        <v>Prev_RA-3700</v>
      </c>
      <c r="T186" s="19" t="str">
        <f t="shared" si="209"/>
        <v>Prev_Comms-3700</v>
      </c>
      <c r="U186" s="15" t="s">
        <v>75</v>
      </c>
      <c r="V186" s="15" t="s">
        <v>401</v>
      </c>
      <c r="W186" s="15" t="s">
        <v>75</v>
      </c>
      <c r="X186" s="15" t="s">
        <v>396</v>
      </c>
      <c r="Y186" s="13" t="str">
        <f t="shared" si="210"/>
        <v>Forward Add-3700</v>
      </c>
      <c r="Z186" s="15" t="s">
        <v>401</v>
      </c>
      <c r="AA186" s="133" t="str">
        <f>'Run Parameters'!$B$2</f>
        <v>2019-04-26 08:00</v>
      </c>
      <c r="AB186" s="213" t="str">
        <f>'Run Parameters'!B$3</f>
        <v>2019-04-26 18:00</v>
      </c>
      <c r="AC186" s="26">
        <f>('Run Parameters'!$B$2) - 7</f>
        <v>43574.333333333336</v>
      </c>
      <c r="AD186" s="15" t="s">
        <v>75</v>
      </c>
      <c r="AE186" s="13" t="str">
        <f t="shared" si="211"/>
        <v>LAST_METER-3700</v>
      </c>
      <c r="AF186" s="133" t="str">
        <f>'Run Parameters'!$B$2</f>
        <v>2019-04-26 08:00</v>
      </c>
      <c r="AG186" s="13" t="str">
        <f>'Run Parameters'!B$4</f>
        <v>AUTOTEST2</v>
      </c>
      <c r="AH186" s="19" t="str">
        <f t="shared" si="212"/>
        <v>Site_Contact_3700</v>
      </c>
      <c r="AI186" s="133" t="str">
        <f>'Run Parameters'!B$2</f>
        <v>2019-04-26 08:00</v>
      </c>
      <c r="AJ186" s="213" t="str">
        <f>'Run Parameters'!B$3</f>
        <v>2019-04-26 18:00</v>
      </c>
      <c r="AK186" s="13" t="s">
        <v>396</v>
      </c>
      <c r="AL186" s="19" t="str">
        <f t="shared" si="213"/>
        <v>011593700</v>
      </c>
      <c r="AM186" s="13" t="str">
        <f t="shared" si="214"/>
        <v>01153700</v>
      </c>
      <c r="AN186" s="15"/>
      <c r="AO186" s="15"/>
      <c r="AP186" s="13">
        <v>1</v>
      </c>
      <c r="AQ186" s="15" t="s">
        <v>49</v>
      </c>
      <c r="AR186" s="15"/>
      <c r="AS186" s="13"/>
      <c r="AT186" s="15" t="s">
        <v>400</v>
      </c>
      <c r="AU186" s="15"/>
      <c r="AV186" s="13">
        <f t="shared" si="215"/>
        <v>3700</v>
      </c>
      <c r="AW186" s="13" t="s">
        <v>858</v>
      </c>
      <c r="AX186" s="13" t="s">
        <v>420</v>
      </c>
      <c r="AY186" s="13" t="s">
        <v>421</v>
      </c>
      <c r="AZ186" s="15" t="s">
        <v>334</v>
      </c>
      <c r="BA186" s="15" t="s">
        <v>154</v>
      </c>
      <c r="BB186" s="13">
        <v>1</v>
      </c>
      <c r="BC186" s="13">
        <f t="shared" si="216"/>
        <v>3700</v>
      </c>
      <c r="BD186" s="15" t="s">
        <v>962</v>
      </c>
      <c r="BE186" s="15" t="s">
        <v>390</v>
      </c>
      <c r="BF186" s="15" t="s">
        <v>390</v>
      </c>
      <c r="BG186" s="13" t="s">
        <v>857</v>
      </c>
      <c r="BH186" s="13" t="str">
        <f t="shared" si="217"/>
        <v>3700_1</v>
      </c>
      <c r="BI186" s="13"/>
      <c r="BJ186" s="13" t="str">
        <f t="shared" si="218"/>
        <v>100000003700</v>
      </c>
      <c r="BK186" s="15" t="s">
        <v>51</v>
      </c>
      <c r="BL186" s="15" t="s">
        <v>54</v>
      </c>
      <c r="BM186" s="13" t="s">
        <v>277</v>
      </c>
      <c r="BN186" s="15" t="s">
        <v>51</v>
      </c>
      <c r="BO186" s="13" t="str">
        <f t="shared" si="219"/>
        <v>S05S3700</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GAS_ENQ_NO-3700</v>
      </c>
      <c r="CK186" s="15" t="s">
        <v>779</v>
      </c>
      <c r="CL186" s="15" t="s">
        <v>391</v>
      </c>
      <c r="CM186" s="15" t="s">
        <v>390</v>
      </c>
      <c r="CN186" s="13" t="s">
        <v>780</v>
      </c>
      <c r="CO186" s="13" t="str">
        <f t="shared" si="221"/>
        <v>GAS_JOB_ID-3700</v>
      </c>
      <c r="CP186" s="15"/>
      <c r="CQ186" s="13" t="str">
        <f t="shared" si="222"/>
        <v>100003700</v>
      </c>
      <c r="CR186" s="13" t="s">
        <v>154</v>
      </c>
      <c r="CS186" s="15" t="s">
        <v>51</v>
      </c>
      <c r="CT186" s="217" t="str">
        <f t="shared" si="223"/>
        <v>GMETER3700</v>
      </c>
      <c r="CU186" s="13" t="s">
        <v>161</v>
      </c>
      <c r="CV186" s="15" t="s">
        <v>165</v>
      </c>
      <c r="CW186" s="15" t="s">
        <v>414</v>
      </c>
      <c r="CX186" s="15"/>
      <c r="CY186" s="15"/>
      <c r="CZ186" s="15" t="s">
        <v>394</v>
      </c>
      <c r="DA186" s="15" t="s">
        <v>395</v>
      </c>
      <c r="DB186" s="13" t="str">
        <f t="shared" si="163"/>
        <v>GAS_INST_ID-3700</v>
      </c>
      <c r="DC186" s="15" t="s">
        <v>161</v>
      </c>
      <c r="DD186" s="15"/>
      <c r="DE186" s="15" t="s">
        <v>51</v>
      </c>
      <c r="DF186" s="15" t="s">
        <v>264</v>
      </c>
      <c r="DG186" s="15"/>
      <c r="DH186" s="15" t="s">
        <v>397</v>
      </c>
      <c r="DI186" s="15" t="s">
        <v>399</v>
      </c>
      <c r="DJ186" s="15" t="s">
        <v>856</v>
      </c>
      <c r="DK186" s="15" t="s">
        <v>140</v>
      </c>
      <c r="DL186" s="218"/>
      <c r="DM186" s="218"/>
      <c r="DN186" s="13" t="str">
        <f t="shared" si="164"/>
        <v>DS_Pass-3700</v>
      </c>
      <c r="DO186" s="15"/>
      <c r="DP186" s="15"/>
      <c r="DQ186" s="15"/>
      <c r="DR186" s="13"/>
      <c r="DS186" s="13"/>
      <c r="DT186" s="15" t="s">
        <v>52</v>
      </c>
      <c r="DU186" s="15"/>
      <c r="DV186" s="15"/>
      <c r="DW186" s="13"/>
      <c r="DX186" s="15" t="s">
        <v>54</v>
      </c>
      <c r="DY186" s="15" t="s">
        <v>61</v>
      </c>
      <c r="DZ186" s="15" t="s">
        <v>402</v>
      </c>
      <c r="EA186" s="19" t="str">
        <f t="shared" si="224"/>
        <v>3700CUSTOMER_ADDRESSEXCH9 ROADCUSTOMER_ADDRESSTESTINGHAMCUSTOMER_ADDRESSTESTINGHAMSHIRE</v>
      </c>
      <c r="EB186" s="15" t="s">
        <v>856</v>
      </c>
      <c r="EC186" s="218"/>
      <c r="ED186" s="218"/>
      <c r="EE186" s="218"/>
    </row>
    <row r="187" spans="1:135" s="219" customFormat="1" x14ac:dyDescent="0.2">
      <c r="A187" s="209" t="s">
        <v>1006</v>
      </c>
      <c r="B187" s="209" t="s">
        <v>868</v>
      </c>
      <c r="C187" s="209" t="s">
        <v>865</v>
      </c>
      <c r="D187" s="13">
        <f>'Run Parameters'!$B$1 + ROW()-1</f>
        <v>3701</v>
      </c>
      <c r="E187" s="15" t="s">
        <v>47</v>
      </c>
      <c r="F187" s="13" t="s">
        <v>857</v>
      </c>
      <c r="G187" s="13" t="str">
        <f t="shared" si="203"/>
        <v>Access Dtls-3701</v>
      </c>
      <c r="H187" s="15" t="s">
        <v>275</v>
      </c>
      <c r="I187" s="13" t="str">
        <f>("MR. Test_178_EXCH9_"&amp;D187&amp;"")</f>
        <v>MR. Test_178_EXCH9_3701</v>
      </c>
      <c r="J187" s="13"/>
      <c r="K187" s="19" t="s">
        <v>425</v>
      </c>
      <c r="L187" s="13" t="str">
        <f t="shared" si="204"/>
        <v>Cust. Ref-3701</v>
      </c>
      <c r="M187" s="15" t="s">
        <v>48</v>
      </c>
      <c r="N187" s="15" t="s">
        <v>425</v>
      </c>
      <c r="O187" s="13"/>
      <c r="P187" s="13" t="str">
        <f t="shared" si="205"/>
        <v>SN-3701</v>
      </c>
      <c r="Q187" s="13" t="str">
        <f t="shared" si="206"/>
        <v>SI-3701</v>
      </c>
      <c r="R187" s="13" t="str">
        <f t="shared" si="207"/>
        <v>SE-3701</v>
      </c>
      <c r="S187" s="19" t="str">
        <f t="shared" si="208"/>
        <v>Prev_RA-3701</v>
      </c>
      <c r="T187" s="19" t="str">
        <f t="shared" si="209"/>
        <v>Prev_Comms-3701</v>
      </c>
      <c r="U187" s="15" t="s">
        <v>75</v>
      </c>
      <c r="V187" s="15" t="s">
        <v>401</v>
      </c>
      <c r="W187" s="15" t="s">
        <v>75</v>
      </c>
      <c r="X187" s="15" t="s">
        <v>396</v>
      </c>
      <c r="Y187" s="13" t="str">
        <f t="shared" si="210"/>
        <v>Forward Add-3701</v>
      </c>
      <c r="Z187" s="15" t="s">
        <v>401</v>
      </c>
      <c r="AA187" s="133" t="str">
        <f>'Run Parameters'!$B$2</f>
        <v>2019-04-26 08:00</v>
      </c>
      <c r="AB187" s="213" t="str">
        <f>'Run Parameters'!B$3</f>
        <v>2019-04-26 18:00</v>
      </c>
      <c r="AC187" s="26">
        <f>('Run Parameters'!$B$2) - 7</f>
        <v>43574.333333333336</v>
      </c>
      <c r="AD187" s="15" t="s">
        <v>75</v>
      </c>
      <c r="AE187" s="13" t="str">
        <f t="shared" si="211"/>
        <v>LAST_METER-3701</v>
      </c>
      <c r="AF187" s="133" t="str">
        <f>'Run Parameters'!$B$2</f>
        <v>2019-04-26 08:00</v>
      </c>
      <c r="AG187" s="13" t="str">
        <f>'Run Parameters'!B$4</f>
        <v>AUTOTEST2</v>
      </c>
      <c r="AH187" s="19" t="str">
        <f t="shared" si="212"/>
        <v>Site_Contact_3701</v>
      </c>
      <c r="AI187" s="133" t="str">
        <f>'Run Parameters'!B$2</f>
        <v>2019-04-26 08:00</v>
      </c>
      <c r="AJ187" s="213" t="str">
        <f>'Run Parameters'!B$3</f>
        <v>2019-04-26 18:00</v>
      </c>
      <c r="AK187" s="13" t="s">
        <v>396</v>
      </c>
      <c r="AL187" s="19" t="str">
        <f t="shared" si="213"/>
        <v>011593701</v>
      </c>
      <c r="AM187" s="13" t="str">
        <f t="shared" si="214"/>
        <v>01153701</v>
      </c>
      <c r="AN187" s="15"/>
      <c r="AO187" s="15"/>
      <c r="AP187" s="13">
        <v>1</v>
      </c>
      <c r="AQ187" s="15" t="s">
        <v>49</v>
      </c>
      <c r="AR187" s="15"/>
      <c r="AS187" s="13"/>
      <c r="AT187" s="15" t="s">
        <v>400</v>
      </c>
      <c r="AU187" s="15"/>
      <c r="AV187" s="13">
        <f t="shared" si="215"/>
        <v>3701</v>
      </c>
      <c r="AW187" s="13" t="s">
        <v>858</v>
      </c>
      <c r="AX187" s="13" t="s">
        <v>420</v>
      </c>
      <c r="AY187" s="13" t="s">
        <v>421</v>
      </c>
      <c r="AZ187" s="15" t="s">
        <v>334</v>
      </c>
      <c r="BA187" s="15" t="s">
        <v>154</v>
      </c>
      <c r="BB187" s="13">
        <v>1</v>
      </c>
      <c r="BC187" s="13">
        <f t="shared" si="216"/>
        <v>3701</v>
      </c>
      <c r="BD187" s="15" t="s">
        <v>962</v>
      </c>
      <c r="BE187" s="15" t="s">
        <v>390</v>
      </c>
      <c r="BF187" s="15" t="s">
        <v>390</v>
      </c>
      <c r="BG187" s="13" t="s">
        <v>857</v>
      </c>
      <c r="BH187" s="13" t="str">
        <f t="shared" si="217"/>
        <v>3701_1</v>
      </c>
      <c r="BI187" s="13"/>
      <c r="BJ187" s="13" t="str">
        <f t="shared" si="218"/>
        <v>100000003701</v>
      </c>
      <c r="BK187" s="15" t="s">
        <v>51</v>
      </c>
      <c r="BL187" s="15" t="s">
        <v>54</v>
      </c>
      <c r="BM187" s="13" t="s">
        <v>277</v>
      </c>
      <c r="BN187" s="15" t="s">
        <v>51</v>
      </c>
      <c r="BO187" s="13" t="str">
        <f t="shared" si="219"/>
        <v>S05S3701</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GAS_ENQ_NO-3701</v>
      </c>
      <c r="CK187" s="15" t="s">
        <v>779</v>
      </c>
      <c r="CL187" s="15" t="s">
        <v>391</v>
      </c>
      <c r="CM187" s="15" t="s">
        <v>390</v>
      </c>
      <c r="CN187" s="13" t="s">
        <v>780</v>
      </c>
      <c r="CO187" s="13" t="str">
        <f t="shared" si="221"/>
        <v>GAS_JOB_ID-3701</v>
      </c>
      <c r="CP187" s="15"/>
      <c r="CQ187" s="13" t="str">
        <f t="shared" si="222"/>
        <v>100003701</v>
      </c>
      <c r="CR187" s="13" t="s">
        <v>154</v>
      </c>
      <c r="CS187" s="15" t="s">
        <v>51</v>
      </c>
      <c r="CT187" s="217" t="str">
        <f t="shared" si="223"/>
        <v>GMETER3701</v>
      </c>
      <c r="CU187" s="13" t="s">
        <v>161</v>
      </c>
      <c r="CV187" s="15" t="s">
        <v>165</v>
      </c>
      <c r="CW187" s="15" t="s">
        <v>414</v>
      </c>
      <c r="CX187" s="15"/>
      <c r="CY187" s="15"/>
      <c r="CZ187" s="15" t="s">
        <v>394</v>
      </c>
      <c r="DA187" s="15" t="s">
        <v>395</v>
      </c>
      <c r="DB187" s="13" t="str">
        <f t="shared" si="163"/>
        <v>GAS_INST_ID-3701</v>
      </c>
      <c r="DC187" s="15" t="s">
        <v>161</v>
      </c>
      <c r="DD187" s="15"/>
      <c r="DE187" s="15" t="s">
        <v>51</v>
      </c>
      <c r="DF187" s="15" t="s">
        <v>264</v>
      </c>
      <c r="DG187" s="15"/>
      <c r="DH187" s="15" t="s">
        <v>397</v>
      </c>
      <c r="DI187" s="15" t="s">
        <v>399</v>
      </c>
      <c r="DJ187" s="15" t="s">
        <v>856</v>
      </c>
      <c r="DK187" s="15" t="s">
        <v>140</v>
      </c>
      <c r="DL187" s="218"/>
      <c r="DM187" s="218"/>
      <c r="DN187" s="13" t="str">
        <f t="shared" si="164"/>
        <v>DS_Pass-3701</v>
      </c>
      <c r="DO187" s="15"/>
      <c r="DP187" s="15"/>
      <c r="DQ187" s="15"/>
      <c r="DR187" s="13"/>
      <c r="DS187" s="13"/>
      <c r="DT187" s="15" t="s">
        <v>52</v>
      </c>
      <c r="DU187" s="15"/>
      <c r="DV187" s="15"/>
      <c r="DW187" s="13"/>
      <c r="DX187" s="15" t="s">
        <v>54</v>
      </c>
      <c r="DY187" s="15" t="s">
        <v>61</v>
      </c>
      <c r="DZ187" s="15" t="s">
        <v>402</v>
      </c>
      <c r="EA187" s="19" t="str">
        <f t="shared" si="224"/>
        <v>3701CUSTOMER_ADDRESSEXCH9 ROADCUSTOMER_ADDRESSTESTINGHAMCUSTOMER_ADDRESSTESTINGHAMSHIRE</v>
      </c>
      <c r="EB187" s="15" t="s">
        <v>856</v>
      </c>
      <c r="EC187" s="218"/>
      <c r="ED187" s="218"/>
      <c r="EE187" s="218"/>
    </row>
    <row r="188" spans="1:135" s="219" customFormat="1" x14ac:dyDescent="0.2">
      <c r="A188" s="209" t="s">
        <v>1007</v>
      </c>
      <c r="B188" s="209" t="s">
        <v>892</v>
      </c>
      <c r="C188" s="209" t="s">
        <v>865</v>
      </c>
      <c r="D188" s="13">
        <f>'Run Parameters'!$B$1 + ROW()-1</f>
        <v>3702</v>
      </c>
      <c r="E188" s="15" t="s">
        <v>47</v>
      </c>
      <c r="F188" s="13" t="s">
        <v>857</v>
      </c>
      <c r="G188" s="13" t="str">
        <f t="shared" si="203"/>
        <v>Access Dtls-3702</v>
      </c>
      <c r="H188" s="15" t="s">
        <v>275</v>
      </c>
      <c r="I188" s="13" t="str">
        <f>("MR. Test_179_EXCH9_"&amp;D188&amp;"")</f>
        <v>MR. Test_179_EXCH9_3702</v>
      </c>
      <c r="J188" s="13"/>
      <c r="K188" s="19" t="s">
        <v>425</v>
      </c>
      <c r="L188" s="13" t="str">
        <f t="shared" si="204"/>
        <v>Cust. Ref-3702</v>
      </c>
      <c r="M188" s="15" t="s">
        <v>48</v>
      </c>
      <c r="N188" s="15" t="s">
        <v>425</v>
      </c>
      <c r="O188" s="13"/>
      <c r="P188" s="13" t="str">
        <f t="shared" si="205"/>
        <v>SN-3702</v>
      </c>
      <c r="Q188" s="13" t="str">
        <f t="shared" si="206"/>
        <v>SI-3702</v>
      </c>
      <c r="R188" s="13" t="str">
        <f t="shared" si="207"/>
        <v>SE-3702</v>
      </c>
      <c r="S188" s="19" t="str">
        <f t="shared" si="208"/>
        <v>Prev_RA-3702</v>
      </c>
      <c r="T188" s="19" t="str">
        <f t="shared" si="209"/>
        <v>Prev_Comms-3702</v>
      </c>
      <c r="U188" s="15" t="s">
        <v>75</v>
      </c>
      <c r="V188" s="15" t="s">
        <v>401</v>
      </c>
      <c r="W188" s="15" t="s">
        <v>75</v>
      </c>
      <c r="X188" s="15" t="s">
        <v>396</v>
      </c>
      <c r="Y188" s="13" t="str">
        <f t="shared" si="210"/>
        <v>Forward Add-3702</v>
      </c>
      <c r="Z188" s="15" t="s">
        <v>401</v>
      </c>
      <c r="AA188" s="133" t="str">
        <f>'Run Parameters'!$B$2</f>
        <v>2019-04-26 08:00</v>
      </c>
      <c r="AB188" s="213" t="str">
        <f>'Run Parameters'!B$3</f>
        <v>2019-04-26 18:00</v>
      </c>
      <c r="AC188" s="26">
        <f>('Run Parameters'!$B$2) - 7</f>
        <v>43574.333333333336</v>
      </c>
      <c r="AD188" s="15" t="s">
        <v>75</v>
      </c>
      <c r="AE188" s="13" t="str">
        <f t="shared" si="211"/>
        <v>LAST_METER-3702</v>
      </c>
      <c r="AF188" s="133" t="str">
        <f>'Run Parameters'!$B$2</f>
        <v>2019-04-26 08:00</v>
      </c>
      <c r="AG188" s="13" t="str">
        <f>'Run Parameters'!B$4</f>
        <v>AUTOTEST2</v>
      </c>
      <c r="AH188" s="19" t="str">
        <f t="shared" si="212"/>
        <v>Site_Contact_3702</v>
      </c>
      <c r="AI188" s="133" t="str">
        <f>'Run Parameters'!B$2</f>
        <v>2019-04-26 08:00</v>
      </c>
      <c r="AJ188" s="213" t="str">
        <f>'Run Parameters'!B$3</f>
        <v>2019-04-26 18:00</v>
      </c>
      <c r="AK188" s="13" t="s">
        <v>396</v>
      </c>
      <c r="AL188" s="19" t="str">
        <f t="shared" si="213"/>
        <v>011593702</v>
      </c>
      <c r="AM188" s="13" t="str">
        <f t="shared" si="214"/>
        <v>01153702</v>
      </c>
      <c r="AN188" s="15"/>
      <c r="AO188" s="15"/>
      <c r="AP188" s="13">
        <v>1</v>
      </c>
      <c r="AQ188" s="15" t="s">
        <v>49</v>
      </c>
      <c r="AR188" s="15"/>
      <c r="AS188" s="13"/>
      <c r="AT188" s="15" t="s">
        <v>400</v>
      </c>
      <c r="AU188" s="15"/>
      <c r="AV188" s="13">
        <f t="shared" si="215"/>
        <v>3702</v>
      </c>
      <c r="AW188" s="13" t="s">
        <v>858</v>
      </c>
      <c r="AX188" s="13" t="s">
        <v>420</v>
      </c>
      <c r="AY188" s="13" t="s">
        <v>421</v>
      </c>
      <c r="AZ188" s="15" t="s">
        <v>334</v>
      </c>
      <c r="BA188" s="15" t="s">
        <v>154</v>
      </c>
      <c r="BB188" s="13">
        <v>1</v>
      </c>
      <c r="BC188" s="13">
        <f t="shared" si="216"/>
        <v>3702</v>
      </c>
      <c r="BD188" s="15" t="s">
        <v>962</v>
      </c>
      <c r="BE188" s="15" t="s">
        <v>390</v>
      </c>
      <c r="BF188" s="15" t="s">
        <v>390</v>
      </c>
      <c r="BG188" s="13" t="s">
        <v>857</v>
      </c>
      <c r="BH188" s="13" t="str">
        <f t="shared" si="217"/>
        <v>3702_1</v>
      </c>
      <c r="BI188" s="13"/>
      <c r="BJ188" s="13" t="str">
        <f t="shared" si="218"/>
        <v>100000003702</v>
      </c>
      <c r="BK188" s="15" t="s">
        <v>51</v>
      </c>
      <c r="BL188" s="15" t="s">
        <v>54</v>
      </c>
      <c r="BM188" s="13" t="s">
        <v>277</v>
      </c>
      <c r="BN188" s="15" t="s">
        <v>51</v>
      </c>
      <c r="BO188" s="13" t="str">
        <f t="shared" si="219"/>
        <v>S05S3702</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GAS_ENQ_NO-3702</v>
      </c>
      <c r="CK188" s="15" t="s">
        <v>779</v>
      </c>
      <c r="CL188" s="15" t="s">
        <v>391</v>
      </c>
      <c r="CM188" s="15" t="s">
        <v>390</v>
      </c>
      <c r="CN188" s="13" t="s">
        <v>780</v>
      </c>
      <c r="CO188" s="13" t="str">
        <f t="shared" si="221"/>
        <v>GAS_JOB_ID-3702</v>
      </c>
      <c r="CP188" s="15"/>
      <c r="CQ188" s="13" t="str">
        <f t="shared" si="222"/>
        <v>100003702</v>
      </c>
      <c r="CR188" s="13" t="s">
        <v>154</v>
      </c>
      <c r="CS188" s="15" t="s">
        <v>51</v>
      </c>
      <c r="CT188" s="217" t="str">
        <f t="shared" si="223"/>
        <v>GMETER3702</v>
      </c>
      <c r="CU188" s="13" t="s">
        <v>161</v>
      </c>
      <c r="CV188" s="15" t="s">
        <v>165</v>
      </c>
      <c r="CW188" s="15" t="s">
        <v>414</v>
      </c>
      <c r="CX188" s="15"/>
      <c r="CY188" s="15"/>
      <c r="CZ188" s="15" t="s">
        <v>394</v>
      </c>
      <c r="DA188" s="15" t="s">
        <v>395</v>
      </c>
      <c r="DB188" s="13" t="str">
        <f t="shared" si="163"/>
        <v>GAS_INST_ID-3702</v>
      </c>
      <c r="DC188" s="15" t="s">
        <v>161</v>
      </c>
      <c r="DD188" s="15"/>
      <c r="DE188" s="15" t="s">
        <v>51</v>
      </c>
      <c r="DF188" s="15" t="s">
        <v>264</v>
      </c>
      <c r="DG188" s="15"/>
      <c r="DH188" s="15" t="s">
        <v>397</v>
      </c>
      <c r="DI188" s="15" t="s">
        <v>399</v>
      </c>
      <c r="DJ188" s="15" t="s">
        <v>856</v>
      </c>
      <c r="DK188" s="15" t="s">
        <v>140</v>
      </c>
      <c r="DL188" s="218"/>
      <c r="DM188" s="218"/>
      <c r="DN188" s="13" t="str">
        <f t="shared" si="164"/>
        <v>DS_Pass-3702</v>
      </c>
      <c r="DO188" s="15"/>
      <c r="DP188" s="15"/>
      <c r="DQ188" s="15"/>
      <c r="DR188" s="13"/>
      <c r="DS188" s="13"/>
      <c r="DT188" s="15" t="s">
        <v>52</v>
      </c>
      <c r="DU188" s="15"/>
      <c r="DV188" s="15"/>
      <c r="DW188" s="13"/>
      <c r="DX188" s="15" t="s">
        <v>54</v>
      </c>
      <c r="DY188" s="15" t="s">
        <v>61</v>
      </c>
      <c r="DZ188" s="15" t="s">
        <v>402</v>
      </c>
      <c r="EA188" s="19" t="str">
        <f t="shared" si="224"/>
        <v>3702CUSTOMER_ADDRESSEXCH9 ROADCUSTOMER_ADDRESSTESTINGHAMCUSTOMER_ADDRESSTESTINGHAMSHIRE</v>
      </c>
      <c r="EB188" s="15" t="s">
        <v>856</v>
      </c>
      <c r="EC188" s="218"/>
      <c r="ED188" s="218"/>
      <c r="EE188" s="218"/>
    </row>
    <row r="189" spans="1:135" s="219" customFormat="1" x14ac:dyDescent="0.2">
      <c r="A189" s="209" t="s">
        <v>1008</v>
      </c>
      <c r="B189" s="209" t="s">
        <v>868</v>
      </c>
      <c r="C189" s="209" t="s">
        <v>865</v>
      </c>
      <c r="D189" s="13">
        <f>'Run Parameters'!$B$1 + ROW()-1</f>
        <v>3703</v>
      </c>
      <c r="E189" s="15" t="s">
        <v>47</v>
      </c>
      <c r="F189" s="13" t="s">
        <v>857</v>
      </c>
      <c r="G189" s="13" t="str">
        <f t="shared" si="203"/>
        <v>Access Dtls-3703</v>
      </c>
      <c r="H189" s="15" t="s">
        <v>275</v>
      </c>
      <c r="I189" s="13" t="str">
        <f>("MR. Test_180_EXCH9_"&amp;D189&amp;"")</f>
        <v>MR. Test_180_EXCH9_3703</v>
      </c>
      <c r="J189" s="13"/>
      <c r="K189" s="19" t="s">
        <v>425</v>
      </c>
      <c r="L189" s="13" t="str">
        <f t="shared" si="204"/>
        <v>Cust. Ref-3703</v>
      </c>
      <c r="M189" s="15" t="s">
        <v>48</v>
      </c>
      <c r="N189" s="15" t="s">
        <v>425</v>
      </c>
      <c r="O189" s="13"/>
      <c r="P189" s="13" t="str">
        <f t="shared" si="205"/>
        <v>SN-3703</v>
      </c>
      <c r="Q189" s="13" t="str">
        <f t="shared" si="206"/>
        <v>SI-3703</v>
      </c>
      <c r="R189" s="13" t="str">
        <f t="shared" si="207"/>
        <v>SE-3703</v>
      </c>
      <c r="S189" s="19" t="str">
        <f t="shared" si="208"/>
        <v>Prev_RA-3703</v>
      </c>
      <c r="T189" s="19" t="str">
        <f t="shared" si="209"/>
        <v>Prev_Comms-3703</v>
      </c>
      <c r="U189" s="15" t="s">
        <v>75</v>
      </c>
      <c r="V189" s="15" t="s">
        <v>401</v>
      </c>
      <c r="W189" s="15" t="s">
        <v>75</v>
      </c>
      <c r="X189" s="15" t="s">
        <v>396</v>
      </c>
      <c r="Y189" s="13" t="str">
        <f t="shared" si="210"/>
        <v>Forward Add-3703</v>
      </c>
      <c r="Z189" s="15" t="s">
        <v>401</v>
      </c>
      <c r="AA189" s="133" t="str">
        <f>'Run Parameters'!$B$2</f>
        <v>2019-04-26 08:00</v>
      </c>
      <c r="AB189" s="213" t="str">
        <f>'Run Parameters'!B$3</f>
        <v>2019-04-26 18:00</v>
      </c>
      <c r="AC189" s="26">
        <f>('Run Parameters'!$B$2) - 7</f>
        <v>43574.333333333336</v>
      </c>
      <c r="AD189" s="15" t="s">
        <v>75</v>
      </c>
      <c r="AE189" s="13" t="str">
        <f t="shared" si="211"/>
        <v>LAST_METER-3703</v>
      </c>
      <c r="AF189" s="133" t="str">
        <f>'Run Parameters'!$B$2</f>
        <v>2019-04-26 08:00</v>
      </c>
      <c r="AG189" s="13" t="str">
        <f>'Run Parameters'!B$4</f>
        <v>AUTOTEST2</v>
      </c>
      <c r="AH189" s="19" t="str">
        <f t="shared" si="212"/>
        <v>Site_Contact_3703</v>
      </c>
      <c r="AI189" s="133" t="str">
        <f>'Run Parameters'!B$2</f>
        <v>2019-04-26 08:00</v>
      </c>
      <c r="AJ189" s="213" t="str">
        <f>'Run Parameters'!B$3</f>
        <v>2019-04-26 18:00</v>
      </c>
      <c r="AK189" s="13" t="s">
        <v>396</v>
      </c>
      <c r="AL189" s="19" t="str">
        <f t="shared" si="213"/>
        <v>011593703</v>
      </c>
      <c r="AM189" s="13" t="str">
        <f t="shared" si="214"/>
        <v>01153703</v>
      </c>
      <c r="AN189" s="15"/>
      <c r="AO189" s="15"/>
      <c r="AP189" s="13">
        <v>1</v>
      </c>
      <c r="AQ189" s="15" t="s">
        <v>49</v>
      </c>
      <c r="AR189" s="15"/>
      <c r="AS189" s="13"/>
      <c r="AT189" s="15" t="s">
        <v>400</v>
      </c>
      <c r="AU189" s="15"/>
      <c r="AV189" s="13">
        <f t="shared" si="215"/>
        <v>3703</v>
      </c>
      <c r="AW189" s="13" t="s">
        <v>858</v>
      </c>
      <c r="AX189" s="13" t="s">
        <v>420</v>
      </c>
      <c r="AY189" s="13" t="s">
        <v>421</v>
      </c>
      <c r="AZ189" s="15" t="s">
        <v>334</v>
      </c>
      <c r="BA189" s="15" t="s">
        <v>154</v>
      </c>
      <c r="BB189" s="13">
        <v>1</v>
      </c>
      <c r="BC189" s="13">
        <f t="shared" si="216"/>
        <v>3703</v>
      </c>
      <c r="BD189" s="15" t="s">
        <v>962</v>
      </c>
      <c r="BE189" s="15" t="s">
        <v>390</v>
      </c>
      <c r="BF189" s="15" t="s">
        <v>390</v>
      </c>
      <c r="BG189" s="13" t="s">
        <v>857</v>
      </c>
      <c r="BH189" s="13" t="str">
        <f t="shared" si="217"/>
        <v>3703_1</v>
      </c>
      <c r="BI189" s="13"/>
      <c r="BJ189" s="13" t="str">
        <f t="shared" si="218"/>
        <v>100000003703</v>
      </c>
      <c r="BK189" s="15" t="s">
        <v>51</v>
      </c>
      <c r="BL189" s="15" t="s">
        <v>54</v>
      </c>
      <c r="BM189" s="13" t="s">
        <v>277</v>
      </c>
      <c r="BN189" s="15" t="s">
        <v>51</v>
      </c>
      <c r="BO189" s="13" t="str">
        <f t="shared" si="219"/>
        <v>S05S3703</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GAS_ENQ_NO-3703</v>
      </c>
      <c r="CK189" s="15" t="s">
        <v>779</v>
      </c>
      <c r="CL189" s="15" t="s">
        <v>391</v>
      </c>
      <c r="CM189" s="15" t="s">
        <v>390</v>
      </c>
      <c r="CN189" s="13" t="s">
        <v>780</v>
      </c>
      <c r="CO189" s="13" t="str">
        <f t="shared" si="221"/>
        <v>GAS_JOB_ID-3703</v>
      </c>
      <c r="CP189" s="15"/>
      <c r="CQ189" s="13" t="str">
        <f t="shared" si="222"/>
        <v>100003703</v>
      </c>
      <c r="CR189" s="13" t="s">
        <v>154</v>
      </c>
      <c r="CS189" s="15" t="s">
        <v>51</v>
      </c>
      <c r="CT189" s="217" t="str">
        <f t="shared" si="223"/>
        <v>GMETER3703</v>
      </c>
      <c r="CU189" s="13" t="s">
        <v>161</v>
      </c>
      <c r="CV189" s="15" t="s">
        <v>165</v>
      </c>
      <c r="CW189" s="15" t="s">
        <v>414</v>
      </c>
      <c r="CX189" s="15"/>
      <c r="CY189" s="15"/>
      <c r="CZ189" s="15" t="s">
        <v>394</v>
      </c>
      <c r="DA189" s="15" t="s">
        <v>395</v>
      </c>
      <c r="DB189" s="13" t="str">
        <f t="shared" si="163"/>
        <v>GAS_INST_ID-3703</v>
      </c>
      <c r="DC189" s="15" t="s">
        <v>161</v>
      </c>
      <c r="DD189" s="15"/>
      <c r="DE189" s="15" t="s">
        <v>51</v>
      </c>
      <c r="DF189" s="15" t="s">
        <v>264</v>
      </c>
      <c r="DG189" s="15"/>
      <c r="DH189" s="15" t="s">
        <v>397</v>
      </c>
      <c r="DI189" s="15" t="s">
        <v>399</v>
      </c>
      <c r="DJ189" s="15" t="s">
        <v>856</v>
      </c>
      <c r="DK189" s="15" t="s">
        <v>140</v>
      </c>
      <c r="DL189" s="218"/>
      <c r="DM189" s="218"/>
      <c r="DN189" s="13" t="str">
        <f t="shared" si="164"/>
        <v>DS_Pass-3703</v>
      </c>
      <c r="DO189" s="15"/>
      <c r="DP189" s="15"/>
      <c r="DQ189" s="15"/>
      <c r="DR189" s="13"/>
      <c r="DS189" s="13"/>
      <c r="DT189" s="15" t="s">
        <v>52</v>
      </c>
      <c r="DU189" s="15"/>
      <c r="DV189" s="15"/>
      <c r="DW189" s="13"/>
      <c r="DX189" s="15" t="s">
        <v>54</v>
      </c>
      <c r="DY189" s="15" t="s">
        <v>61</v>
      </c>
      <c r="DZ189" s="15" t="s">
        <v>402</v>
      </c>
      <c r="EA189" s="19" t="str">
        <f t="shared" si="224"/>
        <v>3703CUSTOMER_ADDRESSEXCH9 ROADCUSTOMER_ADDRESSTESTINGHAMCUSTOMER_ADDRESSTESTINGHAMSHIRE</v>
      </c>
      <c r="EB189" s="15" t="s">
        <v>856</v>
      </c>
      <c r="EC189" s="218"/>
      <c r="ED189" s="218"/>
      <c r="EE189" s="218"/>
    </row>
    <row r="190" spans="1:135" s="219" customFormat="1" x14ac:dyDescent="0.2">
      <c r="A190" s="209" t="s">
        <v>1009</v>
      </c>
      <c r="B190" s="209" t="s">
        <v>892</v>
      </c>
      <c r="C190" s="209" t="s">
        <v>865</v>
      </c>
      <c r="D190" s="13">
        <f>'Run Parameters'!$B$1 + ROW()-1</f>
        <v>3704</v>
      </c>
      <c r="E190" s="15" t="s">
        <v>47</v>
      </c>
      <c r="F190" s="13" t="s">
        <v>857</v>
      </c>
      <c r="G190" s="13" t="str">
        <f t="shared" si="203"/>
        <v>Access Dtls-3704</v>
      </c>
      <c r="H190" s="15" t="s">
        <v>275</v>
      </c>
      <c r="I190" s="13" t="str">
        <f>("MR. Test_181_EXCH9_"&amp;D190&amp;"")</f>
        <v>MR. Test_181_EXCH9_3704</v>
      </c>
      <c r="J190" s="13"/>
      <c r="K190" s="19" t="s">
        <v>425</v>
      </c>
      <c r="L190" s="13" t="str">
        <f t="shared" si="204"/>
        <v>Cust. Ref-3704</v>
      </c>
      <c r="M190" s="15" t="s">
        <v>48</v>
      </c>
      <c r="N190" s="15" t="s">
        <v>425</v>
      </c>
      <c r="O190" s="13"/>
      <c r="P190" s="13" t="str">
        <f t="shared" si="205"/>
        <v>SN-3704</v>
      </c>
      <c r="Q190" s="13" t="str">
        <f t="shared" si="206"/>
        <v>SI-3704</v>
      </c>
      <c r="R190" s="13" t="str">
        <f t="shared" si="207"/>
        <v>SE-3704</v>
      </c>
      <c r="S190" s="19" t="str">
        <f t="shared" si="208"/>
        <v>Prev_RA-3704</v>
      </c>
      <c r="T190" s="19" t="str">
        <f t="shared" si="209"/>
        <v>Prev_Comms-3704</v>
      </c>
      <c r="U190" s="15" t="s">
        <v>75</v>
      </c>
      <c r="V190" s="15" t="s">
        <v>401</v>
      </c>
      <c r="W190" s="15" t="s">
        <v>75</v>
      </c>
      <c r="X190" s="15" t="s">
        <v>396</v>
      </c>
      <c r="Y190" s="13" t="str">
        <f t="shared" si="210"/>
        <v>Forward Add-3704</v>
      </c>
      <c r="Z190" s="15" t="s">
        <v>401</v>
      </c>
      <c r="AA190" s="133" t="str">
        <f>'Run Parameters'!$B$2</f>
        <v>2019-04-26 08:00</v>
      </c>
      <c r="AB190" s="213" t="str">
        <f>'Run Parameters'!B$3</f>
        <v>2019-04-26 18:00</v>
      </c>
      <c r="AC190" s="26">
        <f>('Run Parameters'!$B$2) - 7</f>
        <v>43574.333333333336</v>
      </c>
      <c r="AD190" s="15" t="s">
        <v>75</v>
      </c>
      <c r="AE190" s="13" t="str">
        <f t="shared" si="211"/>
        <v>LAST_METER-3704</v>
      </c>
      <c r="AF190" s="133" t="str">
        <f>'Run Parameters'!$B$2</f>
        <v>2019-04-26 08:00</v>
      </c>
      <c r="AG190" s="13" t="str">
        <f>'Run Parameters'!B$4</f>
        <v>AUTOTEST2</v>
      </c>
      <c r="AH190" s="19" t="str">
        <f t="shared" si="212"/>
        <v>Site_Contact_3704</v>
      </c>
      <c r="AI190" s="133" t="str">
        <f>'Run Parameters'!B$2</f>
        <v>2019-04-26 08:00</v>
      </c>
      <c r="AJ190" s="213" t="str">
        <f>'Run Parameters'!B$3</f>
        <v>2019-04-26 18:00</v>
      </c>
      <c r="AK190" s="13" t="s">
        <v>396</v>
      </c>
      <c r="AL190" s="19" t="str">
        <f t="shared" si="213"/>
        <v>011593704</v>
      </c>
      <c r="AM190" s="13" t="str">
        <f t="shared" si="214"/>
        <v>01153704</v>
      </c>
      <c r="AN190" s="15"/>
      <c r="AO190" s="15"/>
      <c r="AP190" s="13">
        <v>1</v>
      </c>
      <c r="AQ190" s="15" t="s">
        <v>49</v>
      </c>
      <c r="AR190" s="15"/>
      <c r="AS190" s="13"/>
      <c r="AT190" s="15" t="s">
        <v>400</v>
      </c>
      <c r="AU190" s="15"/>
      <c r="AV190" s="13">
        <f t="shared" si="215"/>
        <v>3704</v>
      </c>
      <c r="AW190" s="13" t="s">
        <v>858</v>
      </c>
      <c r="AX190" s="13" t="s">
        <v>420</v>
      </c>
      <c r="AY190" s="13" t="s">
        <v>421</v>
      </c>
      <c r="AZ190" s="15" t="s">
        <v>334</v>
      </c>
      <c r="BA190" s="15" t="s">
        <v>154</v>
      </c>
      <c r="BB190" s="13">
        <v>1</v>
      </c>
      <c r="BC190" s="13">
        <f t="shared" si="216"/>
        <v>3704</v>
      </c>
      <c r="BD190" s="15" t="s">
        <v>962</v>
      </c>
      <c r="BE190" s="15" t="s">
        <v>390</v>
      </c>
      <c r="BF190" s="15" t="s">
        <v>390</v>
      </c>
      <c r="BG190" s="13" t="s">
        <v>857</v>
      </c>
      <c r="BH190" s="13" t="str">
        <f t="shared" si="217"/>
        <v>3704_1</v>
      </c>
      <c r="BI190" s="13"/>
      <c r="BJ190" s="13" t="str">
        <f t="shared" si="218"/>
        <v>100000003704</v>
      </c>
      <c r="BK190" s="15" t="s">
        <v>51</v>
      </c>
      <c r="BL190" s="15" t="s">
        <v>54</v>
      </c>
      <c r="BM190" s="13" t="s">
        <v>277</v>
      </c>
      <c r="BN190" s="15" t="s">
        <v>51</v>
      </c>
      <c r="BO190" s="13" t="str">
        <f t="shared" si="219"/>
        <v>S05S3704</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GAS_ENQ_NO-3704</v>
      </c>
      <c r="CK190" s="15" t="s">
        <v>779</v>
      </c>
      <c r="CL190" s="15" t="s">
        <v>391</v>
      </c>
      <c r="CM190" s="15" t="s">
        <v>390</v>
      </c>
      <c r="CN190" s="13" t="s">
        <v>780</v>
      </c>
      <c r="CO190" s="13" t="str">
        <f t="shared" si="221"/>
        <v>GAS_JOB_ID-3704</v>
      </c>
      <c r="CP190" s="15"/>
      <c r="CQ190" s="13" t="str">
        <f t="shared" si="222"/>
        <v>100003704</v>
      </c>
      <c r="CR190" s="13" t="s">
        <v>154</v>
      </c>
      <c r="CS190" s="15" t="s">
        <v>51</v>
      </c>
      <c r="CT190" s="217" t="str">
        <f t="shared" si="223"/>
        <v>GMETER3704</v>
      </c>
      <c r="CU190" s="13" t="s">
        <v>161</v>
      </c>
      <c r="CV190" s="15" t="s">
        <v>165</v>
      </c>
      <c r="CW190" s="15" t="s">
        <v>414</v>
      </c>
      <c r="CX190" s="15"/>
      <c r="CY190" s="15"/>
      <c r="CZ190" s="15" t="s">
        <v>394</v>
      </c>
      <c r="DA190" s="15" t="s">
        <v>395</v>
      </c>
      <c r="DB190" s="13" t="str">
        <f t="shared" si="163"/>
        <v>GAS_INST_ID-3704</v>
      </c>
      <c r="DC190" s="15" t="s">
        <v>161</v>
      </c>
      <c r="DD190" s="15"/>
      <c r="DE190" s="15" t="s">
        <v>51</v>
      </c>
      <c r="DF190" s="15" t="s">
        <v>264</v>
      </c>
      <c r="DG190" s="15"/>
      <c r="DH190" s="15" t="s">
        <v>397</v>
      </c>
      <c r="DI190" s="15" t="s">
        <v>399</v>
      </c>
      <c r="DJ190" s="15" t="s">
        <v>856</v>
      </c>
      <c r="DK190" s="15" t="s">
        <v>140</v>
      </c>
      <c r="DL190" s="218"/>
      <c r="DM190" s="218"/>
      <c r="DN190" s="13" t="str">
        <f t="shared" si="164"/>
        <v>DS_Pass-3704</v>
      </c>
      <c r="DO190" s="15"/>
      <c r="DP190" s="15"/>
      <c r="DQ190" s="15"/>
      <c r="DR190" s="13"/>
      <c r="DS190" s="13"/>
      <c r="DT190" s="15" t="s">
        <v>52</v>
      </c>
      <c r="DU190" s="15"/>
      <c r="DV190" s="15"/>
      <c r="DW190" s="13"/>
      <c r="DX190" s="15" t="s">
        <v>54</v>
      </c>
      <c r="DY190" s="15" t="s">
        <v>61</v>
      </c>
      <c r="DZ190" s="15" t="s">
        <v>402</v>
      </c>
      <c r="EA190" s="19" t="str">
        <f t="shared" si="224"/>
        <v>3704CUSTOMER_ADDRESSEXCH9 ROADCUSTOMER_ADDRESSTESTINGHAMCUSTOMER_ADDRESSTESTINGHAMSHIRE</v>
      </c>
      <c r="EB190" s="15" t="s">
        <v>856</v>
      </c>
      <c r="EC190" s="218"/>
      <c r="ED190" s="218"/>
      <c r="EE190" s="218"/>
    </row>
    <row r="191" spans="1:135" s="219" customFormat="1" x14ac:dyDescent="0.2">
      <c r="A191" s="209" t="s">
        <v>1093</v>
      </c>
      <c r="B191" s="209" t="s">
        <v>892</v>
      </c>
      <c r="C191" s="209" t="s">
        <v>865</v>
      </c>
      <c r="D191" s="13">
        <f>'Run Parameters'!$B$1 + ROW()-1</f>
        <v>3705</v>
      </c>
      <c r="E191" s="15" t="s">
        <v>47</v>
      </c>
      <c r="F191" s="13" t="s">
        <v>857</v>
      </c>
      <c r="G191" s="13" t="str">
        <f t="shared" si="203"/>
        <v>Access Dtls-3705</v>
      </c>
      <c r="H191" s="15" t="s">
        <v>275</v>
      </c>
      <c r="I191" s="13" t="str">
        <f>("MR. Test_182_EXCH9_"&amp;D191&amp;"")</f>
        <v>MR. Test_182_EXCH9_3705</v>
      </c>
      <c r="J191" s="13"/>
      <c r="K191" s="19" t="s">
        <v>425</v>
      </c>
      <c r="L191" s="13" t="str">
        <f t="shared" si="204"/>
        <v>Cust. Ref-3705</v>
      </c>
      <c r="M191" s="15" t="s">
        <v>48</v>
      </c>
      <c r="N191" s="15" t="s">
        <v>425</v>
      </c>
      <c r="O191" s="13"/>
      <c r="P191" s="13" t="str">
        <f t="shared" si="205"/>
        <v>SN-3705</v>
      </c>
      <c r="Q191" s="13" t="str">
        <f t="shared" si="206"/>
        <v>SI-3705</v>
      </c>
      <c r="R191" s="13" t="str">
        <f t="shared" si="207"/>
        <v>SE-3705</v>
      </c>
      <c r="S191" s="19" t="str">
        <f t="shared" si="208"/>
        <v>Prev_RA-3705</v>
      </c>
      <c r="T191" s="19" t="str">
        <f t="shared" si="209"/>
        <v>Prev_Comms-3705</v>
      </c>
      <c r="U191" s="15" t="s">
        <v>75</v>
      </c>
      <c r="V191" s="15" t="s">
        <v>401</v>
      </c>
      <c r="W191" s="15" t="s">
        <v>75</v>
      </c>
      <c r="X191" s="15" t="s">
        <v>1087</v>
      </c>
      <c r="Y191" s="13" t="str">
        <f t="shared" si="210"/>
        <v>Forward Add-3705</v>
      </c>
      <c r="Z191" s="15" t="s">
        <v>401</v>
      </c>
      <c r="AA191" s="133" t="str">
        <f>'Run Parameters'!$B$2</f>
        <v>2019-04-26 08:00</v>
      </c>
      <c r="AB191" s="213" t="str">
        <f>'Run Parameters'!B$3</f>
        <v>2019-04-26 18:00</v>
      </c>
      <c r="AC191" s="26">
        <f>('Run Parameters'!$B$2) - 7</f>
        <v>43574.333333333336</v>
      </c>
      <c r="AD191" s="15" t="s">
        <v>75</v>
      </c>
      <c r="AE191" s="13" t="str">
        <f t="shared" si="211"/>
        <v>LAST_METER-3705</v>
      </c>
      <c r="AF191" s="133" t="str">
        <f>'Run Parameters'!$B$2</f>
        <v>2019-04-26 08:00</v>
      </c>
      <c r="AG191" s="13" t="str">
        <f>'Run Parameters'!B$4</f>
        <v>AUTOTEST2</v>
      </c>
      <c r="AH191" s="19" t="str">
        <f t="shared" si="212"/>
        <v>Site_Contact_3705</v>
      </c>
      <c r="AI191" s="133" t="str">
        <f>'Run Parameters'!B$2</f>
        <v>2019-04-26 08:00</v>
      </c>
      <c r="AJ191" s="213" t="str">
        <f>'Run Parameters'!B$3</f>
        <v>2019-04-26 18:00</v>
      </c>
      <c r="AK191" s="13" t="s">
        <v>1087</v>
      </c>
      <c r="AL191" s="19" t="str">
        <f t="shared" si="213"/>
        <v>011593705</v>
      </c>
      <c r="AM191" s="13" t="str">
        <f t="shared" si="214"/>
        <v>01153705</v>
      </c>
      <c r="AN191" s="15"/>
      <c r="AO191" s="15"/>
      <c r="AP191" s="13">
        <v>1</v>
      </c>
      <c r="AQ191" s="15" t="s">
        <v>49</v>
      </c>
      <c r="AR191" s="15"/>
      <c r="AS191" s="13"/>
      <c r="AT191" s="15" t="s">
        <v>400</v>
      </c>
      <c r="AU191" s="15"/>
      <c r="AV191" s="13">
        <f t="shared" si="215"/>
        <v>3705</v>
      </c>
      <c r="AW191" s="13" t="s">
        <v>858</v>
      </c>
      <c r="AX191" s="13" t="s">
        <v>420</v>
      </c>
      <c r="AY191" s="13" t="s">
        <v>421</v>
      </c>
      <c r="AZ191" s="15" t="s">
        <v>334</v>
      </c>
      <c r="BA191" s="15" t="s">
        <v>154</v>
      </c>
      <c r="BB191" s="13">
        <v>1</v>
      </c>
      <c r="BC191" s="13">
        <f t="shared" si="216"/>
        <v>3705</v>
      </c>
      <c r="BD191" s="15" t="s">
        <v>1110</v>
      </c>
      <c r="BE191" s="15" t="s">
        <v>390</v>
      </c>
      <c r="BF191" s="15" t="s">
        <v>390</v>
      </c>
      <c r="BG191" s="13" t="s">
        <v>857</v>
      </c>
      <c r="BH191" s="13" t="str">
        <f t="shared" si="217"/>
        <v>3705_1</v>
      </c>
      <c r="BI191" s="13"/>
      <c r="BJ191" s="13" t="str">
        <f t="shared" si="218"/>
        <v>100000003705</v>
      </c>
      <c r="BK191" s="15" t="s">
        <v>51</v>
      </c>
      <c r="BL191" s="15" t="s">
        <v>54</v>
      </c>
      <c r="BM191" s="13" t="s">
        <v>277</v>
      </c>
      <c r="BN191" s="15" t="s">
        <v>51</v>
      </c>
      <c r="BO191" s="13" t="str">
        <f t="shared" si="219"/>
        <v>S05S3705</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1087</v>
      </c>
      <c r="CF191" s="15" t="s">
        <v>398</v>
      </c>
      <c r="CG191" s="15" t="s">
        <v>856</v>
      </c>
      <c r="CH191" s="15" t="s">
        <v>159</v>
      </c>
      <c r="CI191" s="13">
        <v>1</v>
      </c>
      <c r="CJ191" s="13" t="str">
        <f t="shared" si="220"/>
        <v>GAS_ENQ_NO-3705</v>
      </c>
      <c r="CK191" s="15" t="s">
        <v>779</v>
      </c>
      <c r="CL191" s="15" t="s">
        <v>391</v>
      </c>
      <c r="CM191" s="15" t="s">
        <v>390</v>
      </c>
      <c r="CN191" s="13" t="s">
        <v>780</v>
      </c>
      <c r="CO191" s="13" t="str">
        <f t="shared" si="221"/>
        <v>GAS_JOB_ID-3705</v>
      </c>
      <c r="CP191" s="15"/>
      <c r="CQ191" s="13" t="str">
        <f t="shared" si="222"/>
        <v>100003705</v>
      </c>
      <c r="CR191" s="13" t="s">
        <v>154</v>
      </c>
      <c r="CS191" s="15" t="s">
        <v>51</v>
      </c>
      <c r="CT191" s="217" t="str">
        <f t="shared" si="223"/>
        <v>GMETER3705</v>
      </c>
      <c r="CU191" s="13" t="s">
        <v>161</v>
      </c>
      <c r="CV191" s="15" t="s">
        <v>165</v>
      </c>
      <c r="CW191" s="15" t="s">
        <v>414</v>
      </c>
      <c r="CX191" s="15"/>
      <c r="CY191" s="15"/>
      <c r="CZ191" s="15" t="s">
        <v>394</v>
      </c>
      <c r="DA191" s="15" t="s">
        <v>395</v>
      </c>
      <c r="DB191" s="13" t="str">
        <f t="shared" si="163"/>
        <v>GAS_INST_ID-3705</v>
      </c>
      <c r="DC191" s="15" t="s">
        <v>161</v>
      </c>
      <c r="DD191" s="15"/>
      <c r="DE191" s="15" t="s">
        <v>51</v>
      </c>
      <c r="DF191" s="15" t="s">
        <v>264</v>
      </c>
      <c r="DG191" s="15"/>
      <c r="DH191" s="15" t="s">
        <v>397</v>
      </c>
      <c r="DI191" s="15" t="s">
        <v>399</v>
      </c>
      <c r="DJ191" s="15" t="s">
        <v>856</v>
      </c>
      <c r="DK191" s="15" t="s">
        <v>140</v>
      </c>
      <c r="DL191" s="218"/>
      <c r="DM191" s="218"/>
      <c r="DN191" s="13" t="str">
        <f t="shared" si="164"/>
        <v>DS_Pass-3705</v>
      </c>
      <c r="DO191" s="15"/>
      <c r="DP191" s="15"/>
      <c r="DQ191" s="15"/>
      <c r="DR191" s="13"/>
      <c r="DS191" s="13"/>
      <c r="DT191" s="15" t="s">
        <v>52</v>
      </c>
      <c r="DU191" s="15"/>
      <c r="DV191" s="15"/>
      <c r="DW191" s="13"/>
      <c r="DX191" s="15" t="s">
        <v>54</v>
      </c>
      <c r="DY191" s="15" t="s">
        <v>61</v>
      </c>
      <c r="DZ191" s="15" t="s">
        <v>402</v>
      </c>
      <c r="EA191" s="19" t="str">
        <f t="shared" si="224"/>
        <v>3705CUSTOMER_ADDRESSEXCH9 ROADCUSTOMER_ADDRESSTESTINGHAMCUSTOMER_ADDRESSTESTINGHAMSHIRE</v>
      </c>
      <c r="EB191" s="15" t="s">
        <v>856</v>
      </c>
      <c r="EC191" s="218"/>
      <c r="ED191" s="218"/>
      <c r="EE191" s="218"/>
    </row>
    <row r="192" spans="1:135" s="219" customFormat="1" x14ac:dyDescent="0.2">
      <c r="A192" s="209" t="s">
        <v>1010</v>
      </c>
      <c r="B192" s="209" t="s">
        <v>892</v>
      </c>
      <c r="C192" s="209" t="s">
        <v>865</v>
      </c>
      <c r="D192" s="13">
        <f>'Run Parameters'!$B$1 + ROW()-1</f>
        <v>3706</v>
      </c>
      <c r="E192" s="15" t="s">
        <v>47</v>
      </c>
      <c r="F192" s="13" t="s">
        <v>857</v>
      </c>
      <c r="G192" s="13" t="str">
        <f t="shared" si="203"/>
        <v>Access Dtls-3706</v>
      </c>
      <c r="H192" s="15" t="s">
        <v>275</v>
      </c>
      <c r="I192" s="13" t="str">
        <f>("MR. Test_183_EXCH9_"&amp;D192&amp;"")</f>
        <v>MR. Test_183_EXCH9_3706</v>
      </c>
      <c r="J192" s="13"/>
      <c r="K192" s="19" t="s">
        <v>425</v>
      </c>
      <c r="L192" s="13" t="str">
        <f t="shared" si="204"/>
        <v>Cust. Ref-3706</v>
      </c>
      <c r="M192" s="15" t="s">
        <v>48</v>
      </c>
      <c r="N192" s="15" t="s">
        <v>425</v>
      </c>
      <c r="O192" s="13"/>
      <c r="P192" s="13" t="str">
        <f t="shared" si="205"/>
        <v>SN-3706</v>
      </c>
      <c r="Q192" s="13" t="str">
        <f t="shared" si="206"/>
        <v>SI-3706</v>
      </c>
      <c r="R192" s="13" t="str">
        <f t="shared" si="207"/>
        <v>SE-3706</v>
      </c>
      <c r="S192" s="19" t="str">
        <f t="shared" si="208"/>
        <v>Prev_RA-3706</v>
      </c>
      <c r="T192" s="19" t="str">
        <f t="shared" si="209"/>
        <v>Prev_Comms-3706</v>
      </c>
      <c r="U192" s="15" t="s">
        <v>75</v>
      </c>
      <c r="V192" s="15" t="s">
        <v>401</v>
      </c>
      <c r="W192" s="15" t="s">
        <v>75</v>
      </c>
      <c r="X192" s="15" t="s">
        <v>396</v>
      </c>
      <c r="Y192" s="13" t="str">
        <f t="shared" si="210"/>
        <v>Forward Add-3706</v>
      </c>
      <c r="Z192" s="15" t="s">
        <v>401</v>
      </c>
      <c r="AA192" s="133" t="str">
        <f>'Run Parameters'!$B$2</f>
        <v>2019-04-26 08:00</v>
      </c>
      <c r="AB192" s="213" t="str">
        <f>'Run Parameters'!B$3</f>
        <v>2019-04-26 18:00</v>
      </c>
      <c r="AC192" s="26">
        <f>('Run Parameters'!$B$2) - 7</f>
        <v>43574.333333333336</v>
      </c>
      <c r="AD192" s="15" t="s">
        <v>75</v>
      </c>
      <c r="AE192" s="13" t="str">
        <f t="shared" si="211"/>
        <v>LAST_METER-3706</v>
      </c>
      <c r="AF192" s="133" t="str">
        <f>'Run Parameters'!$B$2</f>
        <v>2019-04-26 08:00</v>
      </c>
      <c r="AG192" s="13" t="str">
        <f>'Run Parameters'!B$4</f>
        <v>AUTOTEST2</v>
      </c>
      <c r="AH192" s="19" t="str">
        <f t="shared" si="212"/>
        <v>Site_Contact_3706</v>
      </c>
      <c r="AI192" s="133" t="str">
        <f>'Run Parameters'!B$2</f>
        <v>2019-04-26 08:00</v>
      </c>
      <c r="AJ192" s="213" t="str">
        <f>'Run Parameters'!B$3</f>
        <v>2019-04-26 18:00</v>
      </c>
      <c r="AK192" s="13" t="s">
        <v>396</v>
      </c>
      <c r="AL192" s="19" t="str">
        <f t="shared" si="213"/>
        <v>011593706</v>
      </c>
      <c r="AM192" s="13" t="str">
        <f t="shared" si="214"/>
        <v>01153706</v>
      </c>
      <c r="AN192" s="15"/>
      <c r="AO192" s="15"/>
      <c r="AP192" s="13">
        <v>1</v>
      </c>
      <c r="AQ192" s="15" t="s">
        <v>49</v>
      </c>
      <c r="AR192" s="15"/>
      <c r="AS192" s="13"/>
      <c r="AT192" s="15" t="s">
        <v>400</v>
      </c>
      <c r="AU192" s="15"/>
      <c r="AV192" s="13">
        <f t="shared" si="215"/>
        <v>3706</v>
      </c>
      <c r="AW192" s="13" t="s">
        <v>858</v>
      </c>
      <c r="AX192" s="13" t="s">
        <v>420</v>
      </c>
      <c r="AY192" s="13" t="s">
        <v>421</v>
      </c>
      <c r="AZ192" s="15" t="s">
        <v>334</v>
      </c>
      <c r="BA192" s="15" t="s">
        <v>154</v>
      </c>
      <c r="BB192" s="13">
        <v>1</v>
      </c>
      <c r="BC192" s="13">
        <f t="shared" si="216"/>
        <v>3706</v>
      </c>
      <c r="BD192" s="15" t="s">
        <v>962</v>
      </c>
      <c r="BE192" s="15" t="s">
        <v>390</v>
      </c>
      <c r="BF192" s="15" t="s">
        <v>390</v>
      </c>
      <c r="BG192" s="13" t="s">
        <v>857</v>
      </c>
      <c r="BH192" s="13" t="str">
        <f t="shared" si="217"/>
        <v>3706_1</v>
      </c>
      <c r="BI192" s="13"/>
      <c r="BJ192" s="13" t="str">
        <f t="shared" si="218"/>
        <v>100000003706</v>
      </c>
      <c r="BK192" s="15" t="s">
        <v>51</v>
      </c>
      <c r="BL192" s="15" t="s">
        <v>54</v>
      </c>
      <c r="BM192" s="13" t="s">
        <v>277</v>
      </c>
      <c r="BN192" s="15" t="s">
        <v>51</v>
      </c>
      <c r="BO192" s="13" t="str">
        <f t="shared" si="219"/>
        <v>S05S3706</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GAS_ENQ_NO-3706</v>
      </c>
      <c r="CK192" s="15" t="s">
        <v>779</v>
      </c>
      <c r="CL192" s="15" t="s">
        <v>391</v>
      </c>
      <c r="CM192" s="15" t="s">
        <v>390</v>
      </c>
      <c r="CN192" s="13" t="s">
        <v>780</v>
      </c>
      <c r="CO192" s="13" t="str">
        <f t="shared" si="221"/>
        <v>GAS_JOB_ID-3706</v>
      </c>
      <c r="CP192" s="15"/>
      <c r="CQ192" s="13" t="str">
        <f t="shared" si="222"/>
        <v>100003706</v>
      </c>
      <c r="CR192" s="13" t="s">
        <v>154</v>
      </c>
      <c r="CS192" s="15" t="s">
        <v>51</v>
      </c>
      <c r="CT192" s="217" t="str">
        <f t="shared" si="223"/>
        <v>GMETER3706</v>
      </c>
      <c r="CU192" s="13" t="s">
        <v>161</v>
      </c>
      <c r="CV192" s="15" t="s">
        <v>165</v>
      </c>
      <c r="CW192" s="15" t="s">
        <v>414</v>
      </c>
      <c r="CX192" s="15"/>
      <c r="CY192" s="15"/>
      <c r="CZ192" s="15" t="s">
        <v>394</v>
      </c>
      <c r="DA192" s="15" t="s">
        <v>395</v>
      </c>
      <c r="DB192" s="13" t="str">
        <f t="shared" si="163"/>
        <v>GAS_INST_ID-3706</v>
      </c>
      <c r="DC192" s="15" t="s">
        <v>161</v>
      </c>
      <c r="DD192" s="15"/>
      <c r="DE192" s="15" t="s">
        <v>51</v>
      </c>
      <c r="DF192" s="15" t="s">
        <v>264</v>
      </c>
      <c r="DG192" s="15"/>
      <c r="DH192" s="15" t="s">
        <v>397</v>
      </c>
      <c r="DI192" s="15" t="s">
        <v>399</v>
      </c>
      <c r="DJ192" s="15" t="s">
        <v>856</v>
      </c>
      <c r="DK192" s="15" t="s">
        <v>140</v>
      </c>
      <c r="DL192" s="218"/>
      <c r="DM192" s="218"/>
      <c r="DN192" s="13" t="str">
        <f t="shared" si="164"/>
        <v>DS_Pass-3706</v>
      </c>
      <c r="DO192" s="15"/>
      <c r="DP192" s="15"/>
      <c r="DQ192" s="15"/>
      <c r="DR192" s="13"/>
      <c r="DS192" s="13"/>
      <c r="DT192" s="15" t="s">
        <v>52</v>
      </c>
      <c r="DU192" s="15"/>
      <c r="DV192" s="15"/>
      <c r="DW192" s="13"/>
      <c r="DX192" s="15" t="s">
        <v>54</v>
      </c>
      <c r="DY192" s="15" t="s">
        <v>61</v>
      </c>
      <c r="DZ192" s="15" t="s">
        <v>402</v>
      </c>
      <c r="EA192" s="19" t="str">
        <f t="shared" si="224"/>
        <v>3706CUSTOMER_ADDRESSEXCH9 ROADCUSTOMER_ADDRESSTESTINGHAMCUSTOMER_ADDRESSTESTINGHAMSHIRE</v>
      </c>
      <c r="EB192" s="15" t="s">
        <v>856</v>
      </c>
      <c r="EC192" s="218"/>
      <c r="ED192" s="218"/>
      <c r="EE192" s="218"/>
    </row>
    <row r="193" spans="1:135" s="219" customFormat="1" x14ac:dyDescent="0.2">
      <c r="A193" s="209" t="s">
        <v>1011</v>
      </c>
      <c r="B193" s="209" t="s">
        <v>868</v>
      </c>
      <c r="C193" s="209" t="s">
        <v>865</v>
      </c>
      <c r="D193" s="13">
        <f>'Run Parameters'!$B$1 + ROW()-1</f>
        <v>3707</v>
      </c>
      <c r="E193" s="15" t="s">
        <v>47</v>
      </c>
      <c r="F193" s="13" t="s">
        <v>857</v>
      </c>
      <c r="G193" s="13" t="str">
        <f t="shared" si="203"/>
        <v>Access Dtls-3707</v>
      </c>
      <c r="H193" s="15" t="s">
        <v>275</v>
      </c>
      <c r="I193" s="13" t="str">
        <f>("MR. Test_184_EXCH9_"&amp;D193&amp;"")</f>
        <v>MR. Test_184_EXCH9_3707</v>
      </c>
      <c r="J193" s="13"/>
      <c r="K193" s="19" t="s">
        <v>425</v>
      </c>
      <c r="L193" s="13" t="str">
        <f t="shared" si="204"/>
        <v>Cust. Ref-3707</v>
      </c>
      <c r="M193" s="15" t="s">
        <v>48</v>
      </c>
      <c r="N193" s="15" t="s">
        <v>425</v>
      </c>
      <c r="O193" s="13"/>
      <c r="P193" s="13" t="str">
        <f t="shared" si="205"/>
        <v>SN-3707</v>
      </c>
      <c r="Q193" s="13" t="str">
        <f t="shared" si="206"/>
        <v>SI-3707</v>
      </c>
      <c r="R193" s="13" t="str">
        <f t="shared" si="207"/>
        <v>SE-3707</v>
      </c>
      <c r="S193" s="19" t="str">
        <f t="shared" si="208"/>
        <v>Prev_RA-3707</v>
      </c>
      <c r="T193" s="19" t="str">
        <f t="shared" si="209"/>
        <v>Prev_Comms-3707</v>
      </c>
      <c r="U193" s="15" t="s">
        <v>75</v>
      </c>
      <c r="V193" s="15" t="s">
        <v>401</v>
      </c>
      <c r="W193" s="15" t="s">
        <v>75</v>
      </c>
      <c r="X193" s="15" t="s">
        <v>396</v>
      </c>
      <c r="Y193" s="13" t="str">
        <f t="shared" si="210"/>
        <v>Forward Add-3707</v>
      </c>
      <c r="Z193" s="15" t="s">
        <v>401</v>
      </c>
      <c r="AA193" s="133" t="str">
        <f>'Run Parameters'!$B$2</f>
        <v>2019-04-26 08:00</v>
      </c>
      <c r="AB193" s="213" t="str">
        <f>'Run Parameters'!B$3</f>
        <v>2019-04-26 18:00</v>
      </c>
      <c r="AC193" s="26">
        <f>('Run Parameters'!$B$2) - 7</f>
        <v>43574.333333333336</v>
      </c>
      <c r="AD193" s="15" t="s">
        <v>75</v>
      </c>
      <c r="AE193" s="13" t="str">
        <f t="shared" si="211"/>
        <v>LAST_METER-3707</v>
      </c>
      <c r="AF193" s="133" t="str">
        <f>'Run Parameters'!$B$2</f>
        <v>2019-04-26 08:00</v>
      </c>
      <c r="AG193" s="13" t="str">
        <f>'Run Parameters'!B$4</f>
        <v>AUTOTEST2</v>
      </c>
      <c r="AH193" s="19" t="str">
        <f t="shared" si="212"/>
        <v>Site_Contact_3707</v>
      </c>
      <c r="AI193" s="133" t="str">
        <f>'Run Parameters'!B$2</f>
        <v>2019-04-26 08:00</v>
      </c>
      <c r="AJ193" s="213" t="str">
        <f>'Run Parameters'!B$3</f>
        <v>2019-04-26 18:00</v>
      </c>
      <c r="AK193" s="13" t="s">
        <v>396</v>
      </c>
      <c r="AL193" s="19" t="str">
        <f t="shared" si="213"/>
        <v>011593707</v>
      </c>
      <c r="AM193" s="13" t="str">
        <f t="shared" si="214"/>
        <v>01153707</v>
      </c>
      <c r="AN193" s="15"/>
      <c r="AO193" s="15"/>
      <c r="AP193" s="13">
        <v>1</v>
      </c>
      <c r="AQ193" s="15" t="s">
        <v>49</v>
      </c>
      <c r="AR193" s="15"/>
      <c r="AS193" s="13"/>
      <c r="AT193" s="15" t="s">
        <v>400</v>
      </c>
      <c r="AU193" s="15"/>
      <c r="AV193" s="13">
        <f t="shared" si="215"/>
        <v>3707</v>
      </c>
      <c r="AW193" s="13" t="s">
        <v>858</v>
      </c>
      <c r="AX193" s="13" t="s">
        <v>420</v>
      </c>
      <c r="AY193" s="13" t="s">
        <v>421</v>
      </c>
      <c r="AZ193" s="15" t="s">
        <v>334</v>
      </c>
      <c r="BA193" s="15" t="s">
        <v>154</v>
      </c>
      <c r="BB193" s="13">
        <v>1</v>
      </c>
      <c r="BC193" s="13">
        <f t="shared" si="216"/>
        <v>3707</v>
      </c>
      <c r="BD193" s="15" t="s">
        <v>962</v>
      </c>
      <c r="BE193" s="15" t="s">
        <v>390</v>
      </c>
      <c r="BF193" s="15" t="s">
        <v>390</v>
      </c>
      <c r="BG193" s="13" t="s">
        <v>857</v>
      </c>
      <c r="BH193" s="13" t="str">
        <f t="shared" si="217"/>
        <v>3707_1</v>
      </c>
      <c r="BI193" s="13"/>
      <c r="BJ193" s="13" t="str">
        <f t="shared" si="218"/>
        <v>100000003707</v>
      </c>
      <c r="BK193" s="15" t="s">
        <v>51</v>
      </c>
      <c r="BL193" s="15" t="s">
        <v>54</v>
      </c>
      <c r="BM193" s="13" t="s">
        <v>277</v>
      </c>
      <c r="BN193" s="15" t="s">
        <v>51</v>
      </c>
      <c r="BO193" s="13" t="str">
        <f t="shared" si="219"/>
        <v>S05S3707</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GAS_ENQ_NO-3707</v>
      </c>
      <c r="CK193" s="15" t="s">
        <v>779</v>
      </c>
      <c r="CL193" s="15" t="s">
        <v>391</v>
      </c>
      <c r="CM193" s="15" t="s">
        <v>390</v>
      </c>
      <c r="CN193" s="13" t="s">
        <v>780</v>
      </c>
      <c r="CO193" s="13" t="str">
        <f t="shared" si="221"/>
        <v>GAS_JOB_ID-3707</v>
      </c>
      <c r="CP193" s="15"/>
      <c r="CQ193" s="13" t="str">
        <f t="shared" si="222"/>
        <v>100003707</v>
      </c>
      <c r="CR193" s="13" t="s">
        <v>154</v>
      </c>
      <c r="CS193" s="15" t="s">
        <v>51</v>
      </c>
      <c r="CT193" s="217" t="str">
        <f t="shared" si="223"/>
        <v>GMETER3707</v>
      </c>
      <c r="CU193" s="13" t="s">
        <v>161</v>
      </c>
      <c r="CV193" s="15" t="s">
        <v>165</v>
      </c>
      <c r="CW193" s="15" t="s">
        <v>414</v>
      </c>
      <c r="CX193" s="15"/>
      <c r="CY193" s="15"/>
      <c r="CZ193" s="15" t="s">
        <v>394</v>
      </c>
      <c r="DA193" s="15" t="s">
        <v>395</v>
      </c>
      <c r="DB193" s="13" t="str">
        <f t="shared" si="163"/>
        <v>GAS_INST_ID-3707</v>
      </c>
      <c r="DC193" s="15" t="s">
        <v>161</v>
      </c>
      <c r="DD193" s="15"/>
      <c r="DE193" s="15" t="s">
        <v>51</v>
      </c>
      <c r="DF193" s="15" t="s">
        <v>264</v>
      </c>
      <c r="DG193" s="15"/>
      <c r="DH193" s="15" t="s">
        <v>397</v>
      </c>
      <c r="DI193" s="15" t="s">
        <v>399</v>
      </c>
      <c r="DJ193" s="15" t="s">
        <v>856</v>
      </c>
      <c r="DK193" s="15" t="s">
        <v>140</v>
      </c>
      <c r="DL193" s="218"/>
      <c r="DM193" s="218"/>
      <c r="DN193" s="13" t="str">
        <f t="shared" si="164"/>
        <v>DS_Pass-3707</v>
      </c>
      <c r="DO193" s="15"/>
      <c r="DP193" s="15"/>
      <c r="DQ193" s="15"/>
      <c r="DR193" s="13"/>
      <c r="DS193" s="13"/>
      <c r="DT193" s="15" t="s">
        <v>52</v>
      </c>
      <c r="DU193" s="15"/>
      <c r="DV193" s="15"/>
      <c r="DW193" s="13"/>
      <c r="DX193" s="15" t="s">
        <v>54</v>
      </c>
      <c r="DY193" s="15" t="s">
        <v>61</v>
      </c>
      <c r="DZ193" s="15" t="s">
        <v>402</v>
      </c>
      <c r="EA193" s="19" t="str">
        <f t="shared" si="224"/>
        <v>3707CUSTOMER_ADDRESSEXCH9 ROADCUSTOMER_ADDRESSTESTINGHAMCUSTOMER_ADDRESSTESTINGHAMSHIRE</v>
      </c>
      <c r="EB193" s="15" t="s">
        <v>856</v>
      </c>
      <c r="EC193" s="218"/>
      <c r="ED193" s="218"/>
      <c r="EE193" s="218"/>
    </row>
    <row r="194" spans="1:135" s="219" customFormat="1" x14ac:dyDescent="0.2">
      <c r="A194" s="209" t="s">
        <v>1012</v>
      </c>
      <c r="B194" s="209" t="s">
        <v>892</v>
      </c>
      <c r="C194" s="209" t="s">
        <v>865</v>
      </c>
      <c r="D194" s="13">
        <f>'Run Parameters'!$B$1 + ROW()-1</f>
        <v>3708</v>
      </c>
      <c r="E194" s="15" t="s">
        <v>47</v>
      </c>
      <c r="F194" s="13" t="s">
        <v>857</v>
      </c>
      <c r="G194" s="13" t="str">
        <f t="shared" si="203"/>
        <v>Access Dtls-3708</v>
      </c>
      <c r="H194" s="15" t="s">
        <v>275</v>
      </c>
      <c r="I194" s="13" t="str">
        <f>("MR. Test_185_EXCH9_"&amp;D194&amp;"")</f>
        <v>MR. Test_185_EXCH9_3708</v>
      </c>
      <c r="J194" s="13"/>
      <c r="K194" s="19" t="s">
        <v>425</v>
      </c>
      <c r="L194" s="13" t="str">
        <f t="shared" si="204"/>
        <v>Cust. Ref-3708</v>
      </c>
      <c r="M194" s="15" t="s">
        <v>48</v>
      </c>
      <c r="N194" s="15" t="s">
        <v>425</v>
      </c>
      <c r="O194" s="13"/>
      <c r="P194" s="13" t="str">
        <f t="shared" si="205"/>
        <v>SN-3708</v>
      </c>
      <c r="Q194" s="13" t="str">
        <f t="shared" si="206"/>
        <v>SI-3708</v>
      </c>
      <c r="R194" s="13" t="str">
        <f t="shared" si="207"/>
        <v>SE-3708</v>
      </c>
      <c r="S194" s="19" t="str">
        <f t="shared" si="208"/>
        <v>Prev_RA-3708</v>
      </c>
      <c r="T194" s="19" t="str">
        <f t="shared" si="209"/>
        <v>Prev_Comms-3708</v>
      </c>
      <c r="U194" s="15" t="s">
        <v>75</v>
      </c>
      <c r="V194" s="15" t="s">
        <v>401</v>
      </c>
      <c r="W194" s="15" t="s">
        <v>75</v>
      </c>
      <c r="X194" s="15" t="s">
        <v>396</v>
      </c>
      <c r="Y194" s="13" t="str">
        <f t="shared" si="210"/>
        <v>Forward Add-3708</v>
      </c>
      <c r="Z194" s="15" t="s">
        <v>401</v>
      </c>
      <c r="AA194" s="133" t="str">
        <f>'Run Parameters'!$B$2</f>
        <v>2019-04-26 08:00</v>
      </c>
      <c r="AB194" s="213" t="str">
        <f>'Run Parameters'!B$3</f>
        <v>2019-04-26 18:00</v>
      </c>
      <c r="AC194" s="26">
        <f>('Run Parameters'!$B$2) - 7</f>
        <v>43574.333333333336</v>
      </c>
      <c r="AD194" s="15" t="s">
        <v>75</v>
      </c>
      <c r="AE194" s="13" t="str">
        <f t="shared" si="211"/>
        <v>LAST_METER-3708</v>
      </c>
      <c r="AF194" s="133" t="str">
        <f>'Run Parameters'!$B$2</f>
        <v>2019-04-26 08:00</v>
      </c>
      <c r="AG194" s="13" t="str">
        <f>'Run Parameters'!B$4</f>
        <v>AUTOTEST2</v>
      </c>
      <c r="AH194" s="19" t="str">
        <f t="shared" si="212"/>
        <v>Site_Contact_3708</v>
      </c>
      <c r="AI194" s="133" t="str">
        <f>'Run Parameters'!B$2</f>
        <v>2019-04-26 08:00</v>
      </c>
      <c r="AJ194" s="213" t="str">
        <f>'Run Parameters'!B$3</f>
        <v>2019-04-26 18:00</v>
      </c>
      <c r="AK194" s="13" t="s">
        <v>396</v>
      </c>
      <c r="AL194" s="19" t="str">
        <f t="shared" si="213"/>
        <v>011593708</v>
      </c>
      <c r="AM194" s="13" t="str">
        <f t="shared" si="214"/>
        <v>01153708</v>
      </c>
      <c r="AN194" s="15"/>
      <c r="AO194" s="15"/>
      <c r="AP194" s="13">
        <v>1</v>
      </c>
      <c r="AQ194" s="15" t="s">
        <v>49</v>
      </c>
      <c r="AR194" s="15"/>
      <c r="AS194" s="13"/>
      <c r="AT194" s="15" t="s">
        <v>400</v>
      </c>
      <c r="AU194" s="15"/>
      <c r="AV194" s="13">
        <f t="shared" si="215"/>
        <v>3708</v>
      </c>
      <c r="AW194" s="13" t="s">
        <v>858</v>
      </c>
      <c r="AX194" s="13" t="s">
        <v>420</v>
      </c>
      <c r="AY194" s="13" t="s">
        <v>421</v>
      </c>
      <c r="AZ194" s="15" t="s">
        <v>334</v>
      </c>
      <c r="BA194" s="15" t="s">
        <v>154</v>
      </c>
      <c r="BB194" s="13">
        <v>1</v>
      </c>
      <c r="BC194" s="13">
        <f t="shared" si="216"/>
        <v>3708</v>
      </c>
      <c r="BD194" s="15" t="s">
        <v>962</v>
      </c>
      <c r="BE194" s="15" t="s">
        <v>390</v>
      </c>
      <c r="BF194" s="15" t="s">
        <v>390</v>
      </c>
      <c r="BG194" s="13" t="s">
        <v>857</v>
      </c>
      <c r="BH194" s="13" t="str">
        <f t="shared" si="217"/>
        <v>3708_1</v>
      </c>
      <c r="BI194" s="13"/>
      <c r="BJ194" s="13" t="str">
        <f t="shared" si="218"/>
        <v>100000003708</v>
      </c>
      <c r="BK194" s="15" t="s">
        <v>51</v>
      </c>
      <c r="BL194" s="15" t="s">
        <v>54</v>
      </c>
      <c r="BM194" s="13" t="s">
        <v>277</v>
      </c>
      <c r="BN194" s="15" t="s">
        <v>51</v>
      </c>
      <c r="BO194" s="13" t="str">
        <f t="shared" si="219"/>
        <v>S05S3708</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GAS_ENQ_NO-3708</v>
      </c>
      <c r="CK194" s="15" t="s">
        <v>779</v>
      </c>
      <c r="CL194" s="15" t="s">
        <v>391</v>
      </c>
      <c r="CM194" s="15" t="s">
        <v>390</v>
      </c>
      <c r="CN194" s="13" t="s">
        <v>780</v>
      </c>
      <c r="CO194" s="13" t="str">
        <f t="shared" si="221"/>
        <v>GAS_JOB_ID-3708</v>
      </c>
      <c r="CP194" s="15"/>
      <c r="CQ194" s="13" t="str">
        <f t="shared" si="222"/>
        <v>100003708</v>
      </c>
      <c r="CR194" s="13" t="s">
        <v>154</v>
      </c>
      <c r="CS194" s="15" t="s">
        <v>51</v>
      </c>
      <c r="CT194" s="217" t="str">
        <f t="shared" si="223"/>
        <v>GMETER3708</v>
      </c>
      <c r="CU194" s="13" t="s">
        <v>161</v>
      </c>
      <c r="CV194" s="15" t="s">
        <v>165</v>
      </c>
      <c r="CW194" s="15" t="s">
        <v>414</v>
      </c>
      <c r="CX194" s="15"/>
      <c r="CY194" s="15"/>
      <c r="CZ194" s="15" t="s">
        <v>394</v>
      </c>
      <c r="DA194" s="15" t="s">
        <v>395</v>
      </c>
      <c r="DB194" s="13" t="str">
        <f t="shared" si="163"/>
        <v>GAS_INST_ID-3708</v>
      </c>
      <c r="DC194" s="15" t="s">
        <v>161</v>
      </c>
      <c r="DD194" s="15"/>
      <c r="DE194" s="15" t="s">
        <v>51</v>
      </c>
      <c r="DF194" s="15" t="s">
        <v>264</v>
      </c>
      <c r="DG194" s="15"/>
      <c r="DH194" s="15" t="s">
        <v>397</v>
      </c>
      <c r="DI194" s="15" t="s">
        <v>399</v>
      </c>
      <c r="DJ194" s="15" t="s">
        <v>856</v>
      </c>
      <c r="DK194" s="15" t="s">
        <v>140</v>
      </c>
      <c r="DL194" s="218"/>
      <c r="DM194" s="218"/>
      <c r="DN194" s="13" t="str">
        <f t="shared" si="164"/>
        <v>DS_Pass-3708</v>
      </c>
      <c r="DO194" s="15"/>
      <c r="DP194" s="15"/>
      <c r="DQ194" s="15"/>
      <c r="DR194" s="13"/>
      <c r="DS194" s="13"/>
      <c r="DT194" s="15" t="s">
        <v>52</v>
      </c>
      <c r="DU194" s="15"/>
      <c r="DV194" s="15"/>
      <c r="DW194" s="13"/>
      <c r="DX194" s="15" t="s">
        <v>54</v>
      </c>
      <c r="DY194" s="15" t="s">
        <v>61</v>
      </c>
      <c r="DZ194" s="15" t="s">
        <v>402</v>
      </c>
      <c r="EA194" s="19" t="str">
        <f t="shared" si="224"/>
        <v>3708CUSTOMER_ADDRESSEXCH9 ROADCUSTOMER_ADDRESSTESTINGHAMCUSTOMER_ADDRESSTESTINGHAMSHIRE</v>
      </c>
      <c r="EB194" s="15" t="s">
        <v>856</v>
      </c>
      <c r="EC194" s="218"/>
      <c r="ED194" s="218"/>
      <c r="EE194" s="218"/>
    </row>
    <row r="195" spans="1:135" s="219" customFormat="1" x14ac:dyDescent="0.2">
      <c r="A195" s="209" t="s">
        <v>1013</v>
      </c>
      <c r="B195" s="209" t="s">
        <v>868</v>
      </c>
      <c r="C195" s="209" t="s">
        <v>865</v>
      </c>
      <c r="D195" s="13">
        <f>'Run Parameters'!$B$1 + ROW()-1</f>
        <v>3709</v>
      </c>
      <c r="E195" s="15" t="s">
        <v>47</v>
      </c>
      <c r="F195" s="13" t="s">
        <v>857</v>
      </c>
      <c r="G195" s="13" t="str">
        <f t="shared" si="203"/>
        <v>Access Dtls-3709</v>
      </c>
      <c r="H195" s="15" t="s">
        <v>275</v>
      </c>
      <c r="I195" s="13" t="str">
        <f>("MR. Test_186_EXCH9_"&amp;D195&amp;"")</f>
        <v>MR. Test_186_EXCH9_3709</v>
      </c>
      <c r="J195" s="13"/>
      <c r="K195" s="19" t="s">
        <v>425</v>
      </c>
      <c r="L195" s="13" t="str">
        <f t="shared" si="204"/>
        <v>Cust. Ref-3709</v>
      </c>
      <c r="M195" s="15" t="s">
        <v>48</v>
      </c>
      <c r="N195" s="15" t="s">
        <v>425</v>
      </c>
      <c r="O195" s="13"/>
      <c r="P195" s="13" t="str">
        <f t="shared" si="205"/>
        <v>SN-3709</v>
      </c>
      <c r="Q195" s="13" t="str">
        <f t="shared" si="206"/>
        <v>SI-3709</v>
      </c>
      <c r="R195" s="13" t="str">
        <f t="shared" si="207"/>
        <v>SE-3709</v>
      </c>
      <c r="S195" s="19" t="str">
        <f t="shared" si="208"/>
        <v>Prev_RA-3709</v>
      </c>
      <c r="T195" s="19" t="str">
        <f t="shared" si="209"/>
        <v>Prev_Comms-3709</v>
      </c>
      <c r="U195" s="15" t="s">
        <v>75</v>
      </c>
      <c r="V195" s="15" t="s">
        <v>401</v>
      </c>
      <c r="W195" s="15" t="s">
        <v>75</v>
      </c>
      <c r="X195" s="15" t="s">
        <v>396</v>
      </c>
      <c r="Y195" s="13" t="str">
        <f t="shared" si="210"/>
        <v>Forward Add-3709</v>
      </c>
      <c r="Z195" s="15" t="s">
        <v>401</v>
      </c>
      <c r="AA195" s="133" t="str">
        <f>'Run Parameters'!$B$2</f>
        <v>2019-04-26 08:00</v>
      </c>
      <c r="AB195" s="213" t="str">
        <f>'Run Parameters'!B$3</f>
        <v>2019-04-26 18:00</v>
      </c>
      <c r="AC195" s="26">
        <f>('Run Parameters'!$B$2) - 7</f>
        <v>43574.333333333336</v>
      </c>
      <c r="AD195" s="15" t="s">
        <v>75</v>
      </c>
      <c r="AE195" s="13" t="str">
        <f t="shared" si="211"/>
        <v>LAST_METER-3709</v>
      </c>
      <c r="AF195" s="133" t="str">
        <f>'Run Parameters'!$B$2</f>
        <v>2019-04-26 08:00</v>
      </c>
      <c r="AG195" s="13" t="str">
        <f>'Run Parameters'!B$4</f>
        <v>AUTOTEST2</v>
      </c>
      <c r="AH195" s="19" t="str">
        <f t="shared" si="212"/>
        <v>Site_Contact_3709</v>
      </c>
      <c r="AI195" s="133" t="str">
        <f>'Run Parameters'!B$2</f>
        <v>2019-04-26 08:00</v>
      </c>
      <c r="AJ195" s="213" t="str">
        <f>'Run Parameters'!B$3</f>
        <v>2019-04-26 18:00</v>
      </c>
      <c r="AK195" s="13" t="s">
        <v>396</v>
      </c>
      <c r="AL195" s="19" t="str">
        <f t="shared" si="213"/>
        <v>011593709</v>
      </c>
      <c r="AM195" s="13" t="str">
        <f t="shared" si="214"/>
        <v>01153709</v>
      </c>
      <c r="AN195" s="15"/>
      <c r="AO195" s="15"/>
      <c r="AP195" s="13">
        <v>1</v>
      </c>
      <c r="AQ195" s="15" t="s">
        <v>49</v>
      </c>
      <c r="AR195" s="15"/>
      <c r="AS195" s="13"/>
      <c r="AT195" s="15" t="s">
        <v>400</v>
      </c>
      <c r="AU195" s="15"/>
      <c r="AV195" s="13">
        <f t="shared" si="215"/>
        <v>3709</v>
      </c>
      <c r="AW195" s="13" t="s">
        <v>858</v>
      </c>
      <c r="AX195" s="13" t="s">
        <v>420</v>
      </c>
      <c r="AY195" s="13" t="s">
        <v>421</v>
      </c>
      <c r="AZ195" s="15" t="s">
        <v>334</v>
      </c>
      <c r="BA195" s="15" t="s">
        <v>154</v>
      </c>
      <c r="BB195" s="13">
        <v>1</v>
      </c>
      <c r="BC195" s="13">
        <f t="shared" si="216"/>
        <v>3709</v>
      </c>
      <c r="BD195" s="15" t="s">
        <v>962</v>
      </c>
      <c r="BE195" s="15" t="s">
        <v>390</v>
      </c>
      <c r="BF195" s="15" t="s">
        <v>390</v>
      </c>
      <c r="BG195" s="13" t="s">
        <v>857</v>
      </c>
      <c r="BH195" s="13" t="str">
        <f t="shared" si="217"/>
        <v>3709_1</v>
      </c>
      <c r="BI195" s="13"/>
      <c r="BJ195" s="13" t="str">
        <f t="shared" si="218"/>
        <v>100000003709</v>
      </c>
      <c r="BK195" s="15" t="s">
        <v>51</v>
      </c>
      <c r="BL195" s="15" t="s">
        <v>54</v>
      </c>
      <c r="BM195" s="13" t="s">
        <v>277</v>
      </c>
      <c r="BN195" s="15" t="s">
        <v>51</v>
      </c>
      <c r="BO195" s="13" t="str">
        <f t="shared" si="219"/>
        <v>S05S3709</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GAS_ENQ_NO-3709</v>
      </c>
      <c r="CK195" s="15" t="s">
        <v>779</v>
      </c>
      <c r="CL195" s="15" t="s">
        <v>391</v>
      </c>
      <c r="CM195" s="15" t="s">
        <v>390</v>
      </c>
      <c r="CN195" s="13" t="s">
        <v>780</v>
      </c>
      <c r="CO195" s="13" t="str">
        <f t="shared" si="221"/>
        <v>GAS_JOB_ID-3709</v>
      </c>
      <c r="CP195" s="15"/>
      <c r="CQ195" s="13" t="str">
        <f t="shared" si="222"/>
        <v>100003709</v>
      </c>
      <c r="CR195" s="13" t="s">
        <v>154</v>
      </c>
      <c r="CS195" s="15" t="s">
        <v>51</v>
      </c>
      <c r="CT195" s="217" t="str">
        <f t="shared" si="223"/>
        <v>GMETER3709</v>
      </c>
      <c r="CU195" s="13" t="s">
        <v>161</v>
      </c>
      <c r="CV195" s="15" t="s">
        <v>165</v>
      </c>
      <c r="CW195" s="15" t="s">
        <v>414</v>
      </c>
      <c r="CX195" s="15"/>
      <c r="CY195" s="15"/>
      <c r="CZ195" s="15" t="s">
        <v>394</v>
      </c>
      <c r="DA195" s="15" t="s">
        <v>395</v>
      </c>
      <c r="DB195" s="13" t="str">
        <f t="shared" si="163"/>
        <v>GAS_INST_ID-3709</v>
      </c>
      <c r="DC195" s="15" t="s">
        <v>161</v>
      </c>
      <c r="DD195" s="15"/>
      <c r="DE195" s="15" t="s">
        <v>51</v>
      </c>
      <c r="DF195" s="15" t="s">
        <v>264</v>
      </c>
      <c r="DG195" s="15"/>
      <c r="DH195" s="15" t="s">
        <v>397</v>
      </c>
      <c r="DI195" s="15" t="s">
        <v>399</v>
      </c>
      <c r="DJ195" s="15" t="s">
        <v>856</v>
      </c>
      <c r="DK195" s="15" t="s">
        <v>140</v>
      </c>
      <c r="DL195" s="218"/>
      <c r="DM195" s="218"/>
      <c r="DN195" s="13" t="str">
        <f t="shared" si="164"/>
        <v>DS_Pass-3709</v>
      </c>
      <c r="DO195" s="15"/>
      <c r="DP195" s="15"/>
      <c r="DQ195" s="15"/>
      <c r="DR195" s="13"/>
      <c r="DS195" s="13"/>
      <c r="DT195" s="15" t="s">
        <v>52</v>
      </c>
      <c r="DU195" s="15"/>
      <c r="DV195" s="15"/>
      <c r="DW195" s="13"/>
      <c r="DX195" s="15" t="s">
        <v>54</v>
      </c>
      <c r="DY195" s="15" t="s">
        <v>61</v>
      </c>
      <c r="DZ195" s="15" t="s">
        <v>402</v>
      </c>
      <c r="EA195" s="19" t="str">
        <f t="shared" si="224"/>
        <v>3709CUSTOMER_ADDRESSEXCH9 ROADCUSTOMER_ADDRESSTESTINGHAMCUSTOMER_ADDRESSTESTINGHAMSHIRE</v>
      </c>
      <c r="EB195" s="15" t="s">
        <v>856</v>
      </c>
      <c r="EC195" s="218"/>
      <c r="ED195" s="218"/>
      <c r="EE195" s="218"/>
    </row>
    <row r="196" spans="1:135" s="219" customFormat="1" x14ac:dyDescent="0.2">
      <c r="A196" s="209" t="s">
        <v>1014</v>
      </c>
      <c r="B196" s="209" t="s">
        <v>892</v>
      </c>
      <c r="C196" s="209" t="s">
        <v>865</v>
      </c>
      <c r="D196" s="13">
        <f>'Run Parameters'!$B$1 + ROW()-1</f>
        <v>3710</v>
      </c>
      <c r="E196" s="15" t="s">
        <v>47</v>
      </c>
      <c r="F196" s="13" t="s">
        <v>857</v>
      </c>
      <c r="G196" s="13" t="str">
        <f t="shared" si="203"/>
        <v>Access Dtls-3710</v>
      </c>
      <c r="H196" s="15" t="s">
        <v>275</v>
      </c>
      <c r="I196" s="13" t="str">
        <f>("MR. Test_187_EXCH9_"&amp;D196&amp;"")</f>
        <v>MR. Test_187_EXCH9_3710</v>
      </c>
      <c r="J196" s="13"/>
      <c r="K196" s="19" t="s">
        <v>425</v>
      </c>
      <c r="L196" s="13" t="str">
        <f t="shared" si="204"/>
        <v>Cust. Ref-3710</v>
      </c>
      <c r="M196" s="15" t="s">
        <v>48</v>
      </c>
      <c r="N196" s="15" t="s">
        <v>425</v>
      </c>
      <c r="O196" s="13"/>
      <c r="P196" s="13" t="str">
        <f t="shared" si="205"/>
        <v>SN-3710</v>
      </c>
      <c r="Q196" s="13" t="str">
        <f t="shared" si="206"/>
        <v>SI-3710</v>
      </c>
      <c r="R196" s="13" t="str">
        <f t="shared" si="207"/>
        <v>SE-3710</v>
      </c>
      <c r="S196" s="19" t="str">
        <f t="shared" si="208"/>
        <v>Prev_RA-3710</v>
      </c>
      <c r="T196" s="19" t="str">
        <f t="shared" si="209"/>
        <v>Prev_Comms-3710</v>
      </c>
      <c r="U196" s="15" t="s">
        <v>75</v>
      </c>
      <c r="V196" s="15" t="s">
        <v>401</v>
      </c>
      <c r="W196" s="15" t="s">
        <v>75</v>
      </c>
      <c r="X196" s="15" t="s">
        <v>396</v>
      </c>
      <c r="Y196" s="13" t="str">
        <f t="shared" si="210"/>
        <v>Forward Add-3710</v>
      </c>
      <c r="Z196" s="15" t="s">
        <v>401</v>
      </c>
      <c r="AA196" s="133" t="str">
        <f>'Run Parameters'!$B$2</f>
        <v>2019-04-26 08:00</v>
      </c>
      <c r="AB196" s="213" t="str">
        <f>'Run Parameters'!B$3</f>
        <v>2019-04-26 18:00</v>
      </c>
      <c r="AC196" s="26">
        <f>('Run Parameters'!$B$2) - 7</f>
        <v>43574.333333333336</v>
      </c>
      <c r="AD196" s="15" t="s">
        <v>75</v>
      </c>
      <c r="AE196" s="13" t="str">
        <f t="shared" si="211"/>
        <v>LAST_METER-3710</v>
      </c>
      <c r="AF196" s="133" t="str">
        <f>'Run Parameters'!$B$2</f>
        <v>2019-04-26 08:00</v>
      </c>
      <c r="AG196" s="13" t="str">
        <f>'Run Parameters'!B$4</f>
        <v>AUTOTEST2</v>
      </c>
      <c r="AH196" s="19" t="str">
        <f t="shared" si="212"/>
        <v>Site_Contact_3710</v>
      </c>
      <c r="AI196" s="133" t="str">
        <f>'Run Parameters'!B$2</f>
        <v>2019-04-26 08:00</v>
      </c>
      <c r="AJ196" s="213" t="str">
        <f>'Run Parameters'!B$3</f>
        <v>2019-04-26 18:00</v>
      </c>
      <c r="AK196" s="13" t="s">
        <v>396</v>
      </c>
      <c r="AL196" s="19" t="str">
        <f t="shared" si="213"/>
        <v>011593710</v>
      </c>
      <c r="AM196" s="13" t="str">
        <f t="shared" si="214"/>
        <v>01153710</v>
      </c>
      <c r="AN196" s="15"/>
      <c r="AO196" s="15"/>
      <c r="AP196" s="13">
        <v>1</v>
      </c>
      <c r="AQ196" s="15" t="s">
        <v>49</v>
      </c>
      <c r="AR196" s="15"/>
      <c r="AS196" s="13"/>
      <c r="AT196" s="15" t="s">
        <v>400</v>
      </c>
      <c r="AU196" s="15"/>
      <c r="AV196" s="13">
        <f t="shared" si="215"/>
        <v>3710</v>
      </c>
      <c r="AW196" s="13" t="s">
        <v>858</v>
      </c>
      <c r="AX196" s="13" t="s">
        <v>420</v>
      </c>
      <c r="AY196" s="13" t="s">
        <v>421</v>
      </c>
      <c r="AZ196" s="15" t="s">
        <v>334</v>
      </c>
      <c r="BA196" s="15" t="s">
        <v>154</v>
      </c>
      <c r="BB196" s="13">
        <v>1</v>
      </c>
      <c r="BC196" s="13">
        <f t="shared" si="216"/>
        <v>3710</v>
      </c>
      <c r="BD196" s="15" t="s">
        <v>962</v>
      </c>
      <c r="BE196" s="15" t="s">
        <v>390</v>
      </c>
      <c r="BF196" s="15" t="s">
        <v>390</v>
      </c>
      <c r="BG196" s="13" t="s">
        <v>857</v>
      </c>
      <c r="BH196" s="13" t="str">
        <f t="shared" si="217"/>
        <v>3710_1</v>
      </c>
      <c r="BI196" s="13"/>
      <c r="BJ196" s="13" t="str">
        <f t="shared" si="218"/>
        <v>100000003710</v>
      </c>
      <c r="BK196" s="15" t="s">
        <v>51</v>
      </c>
      <c r="BL196" s="15" t="s">
        <v>54</v>
      </c>
      <c r="BM196" s="13" t="s">
        <v>277</v>
      </c>
      <c r="BN196" s="15" t="s">
        <v>51</v>
      </c>
      <c r="BO196" s="13" t="str">
        <f t="shared" si="219"/>
        <v>S05S3710</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GAS_ENQ_NO-3710</v>
      </c>
      <c r="CK196" s="15" t="s">
        <v>779</v>
      </c>
      <c r="CL196" s="15" t="s">
        <v>391</v>
      </c>
      <c r="CM196" s="15" t="s">
        <v>390</v>
      </c>
      <c r="CN196" s="13" t="s">
        <v>780</v>
      </c>
      <c r="CO196" s="13" t="str">
        <f t="shared" si="221"/>
        <v>GAS_JOB_ID-3710</v>
      </c>
      <c r="CP196" s="15"/>
      <c r="CQ196" s="13" t="str">
        <f t="shared" si="222"/>
        <v>100003710</v>
      </c>
      <c r="CR196" s="13" t="s">
        <v>154</v>
      </c>
      <c r="CS196" s="15" t="s">
        <v>51</v>
      </c>
      <c r="CT196" s="217" t="str">
        <f t="shared" si="223"/>
        <v>GMETER3710</v>
      </c>
      <c r="CU196" s="13" t="s">
        <v>161</v>
      </c>
      <c r="CV196" s="15" t="s">
        <v>165</v>
      </c>
      <c r="CW196" s="15" t="s">
        <v>414</v>
      </c>
      <c r="CX196" s="15"/>
      <c r="CY196" s="15"/>
      <c r="CZ196" s="15" t="s">
        <v>394</v>
      </c>
      <c r="DA196" s="15" t="s">
        <v>395</v>
      </c>
      <c r="DB196" s="13" t="str">
        <f t="shared" si="163"/>
        <v>GAS_INST_ID-3710</v>
      </c>
      <c r="DC196" s="15" t="s">
        <v>161</v>
      </c>
      <c r="DD196" s="15"/>
      <c r="DE196" s="15" t="s">
        <v>51</v>
      </c>
      <c r="DF196" s="15" t="s">
        <v>264</v>
      </c>
      <c r="DG196" s="15"/>
      <c r="DH196" s="15" t="s">
        <v>397</v>
      </c>
      <c r="DI196" s="15" t="s">
        <v>399</v>
      </c>
      <c r="DJ196" s="15" t="s">
        <v>856</v>
      </c>
      <c r="DK196" s="15" t="s">
        <v>140</v>
      </c>
      <c r="DL196" s="218"/>
      <c r="DM196" s="218"/>
      <c r="DN196" s="13" t="str">
        <f t="shared" si="164"/>
        <v>DS_Pass-3710</v>
      </c>
      <c r="DO196" s="15"/>
      <c r="DP196" s="15"/>
      <c r="DQ196" s="15"/>
      <c r="DR196" s="13"/>
      <c r="DS196" s="13"/>
      <c r="DT196" s="15" t="s">
        <v>52</v>
      </c>
      <c r="DU196" s="15"/>
      <c r="DV196" s="15"/>
      <c r="DW196" s="13"/>
      <c r="DX196" s="15" t="s">
        <v>54</v>
      </c>
      <c r="DY196" s="15" t="s">
        <v>61</v>
      </c>
      <c r="DZ196" s="15" t="s">
        <v>402</v>
      </c>
      <c r="EA196" s="19" t="str">
        <f t="shared" si="224"/>
        <v>3710CUSTOMER_ADDRESSEXCH9 ROADCUSTOMER_ADDRESSTESTINGHAMCUSTOMER_ADDRESSTESTINGHAMSHIRE</v>
      </c>
      <c r="EB196" s="15" t="s">
        <v>856</v>
      </c>
      <c r="EC196" s="218"/>
      <c r="ED196" s="218"/>
      <c r="EE196" s="218"/>
    </row>
    <row r="197" spans="1:135" s="219" customFormat="1" x14ac:dyDescent="0.2">
      <c r="A197" s="209" t="s">
        <v>1015</v>
      </c>
      <c r="B197" s="209" t="s">
        <v>868</v>
      </c>
      <c r="C197" s="209" t="s">
        <v>865</v>
      </c>
      <c r="D197" s="13">
        <f>'Run Parameters'!$B$1 + ROW()-1</f>
        <v>3711</v>
      </c>
      <c r="E197" s="15" t="s">
        <v>47</v>
      </c>
      <c r="F197" s="13" t="s">
        <v>857</v>
      </c>
      <c r="G197" s="13" t="str">
        <f t="shared" si="203"/>
        <v>Access Dtls-3711</v>
      </c>
      <c r="H197" s="15" t="s">
        <v>275</v>
      </c>
      <c r="I197" s="13" t="str">
        <f>("MR. Test_188_EXCH9_"&amp;D197&amp;"")</f>
        <v>MR. Test_188_EXCH9_3711</v>
      </c>
      <c r="J197" s="13"/>
      <c r="K197" s="19" t="s">
        <v>425</v>
      </c>
      <c r="L197" s="13" t="str">
        <f t="shared" si="204"/>
        <v>Cust. Ref-3711</v>
      </c>
      <c r="M197" s="15" t="s">
        <v>48</v>
      </c>
      <c r="N197" s="15" t="s">
        <v>425</v>
      </c>
      <c r="O197" s="13"/>
      <c r="P197" s="13" t="str">
        <f t="shared" si="205"/>
        <v>SN-3711</v>
      </c>
      <c r="Q197" s="13" t="str">
        <f t="shared" si="206"/>
        <v>SI-3711</v>
      </c>
      <c r="R197" s="13" t="str">
        <f t="shared" si="207"/>
        <v>SE-3711</v>
      </c>
      <c r="S197" s="19" t="str">
        <f t="shared" si="208"/>
        <v>Prev_RA-3711</v>
      </c>
      <c r="T197" s="19" t="str">
        <f t="shared" si="209"/>
        <v>Prev_Comms-3711</v>
      </c>
      <c r="U197" s="15" t="s">
        <v>75</v>
      </c>
      <c r="V197" s="15" t="s">
        <v>401</v>
      </c>
      <c r="W197" s="15" t="s">
        <v>75</v>
      </c>
      <c r="X197" s="15" t="s">
        <v>396</v>
      </c>
      <c r="Y197" s="13" t="str">
        <f t="shared" si="210"/>
        <v>Forward Add-3711</v>
      </c>
      <c r="Z197" s="15" t="s">
        <v>401</v>
      </c>
      <c r="AA197" s="133" t="str">
        <f>'Run Parameters'!$B$2</f>
        <v>2019-04-26 08:00</v>
      </c>
      <c r="AB197" s="213" t="str">
        <f>'Run Parameters'!B$3</f>
        <v>2019-04-26 18:00</v>
      </c>
      <c r="AC197" s="26">
        <f>('Run Parameters'!$B$2) - 7</f>
        <v>43574.333333333336</v>
      </c>
      <c r="AD197" s="15" t="s">
        <v>75</v>
      </c>
      <c r="AE197" s="13" t="str">
        <f t="shared" si="211"/>
        <v>LAST_METER-3711</v>
      </c>
      <c r="AF197" s="133" t="str">
        <f>'Run Parameters'!$B$2</f>
        <v>2019-04-26 08:00</v>
      </c>
      <c r="AG197" s="13" t="str">
        <f>'Run Parameters'!B$4</f>
        <v>AUTOTEST2</v>
      </c>
      <c r="AH197" s="19" t="str">
        <f t="shared" si="212"/>
        <v>Site_Contact_3711</v>
      </c>
      <c r="AI197" s="133" t="str">
        <f>'Run Parameters'!B$2</f>
        <v>2019-04-26 08:00</v>
      </c>
      <c r="AJ197" s="213" t="str">
        <f>'Run Parameters'!B$3</f>
        <v>2019-04-26 18:00</v>
      </c>
      <c r="AK197" s="13" t="s">
        <v>396</v>
      </c>
      <c r="AL197" s="19" t="str">
        <f t="shared" si="213"/>
        <v>011593711</v>
      </c>
      <c r="AM197" s="13" t="str">
        <f t="shared" si="214"/>
        <v>01153711</v>
      </c>
      <c r="AN197" s="15"/>
      <c r="AO197" s="15"/>
      <c r="AP197" s="13">
        <v>1</v>
      </c>
      <c r="AQ197" s="15" t="s">
        <v>49</v>
      </c>
      <c r="AR197" s="15"/>
      <c r="AS197" s="13"/>
      <c r="AT197" s="15" t="s">
        <v>400</v>
      </c>
      <c r="AU197" s="15"/>
      <c r="AV197" s="13">
        <f t="shared" si="215"/>
        <v>3711</v>
      </c>
      <c r="AW197" s="13" t="s">
        <v>858</v>
      </c>
      <c r="AX197" s="13" t="s">
        <v>420</v>
      </c>
      <c r="AY197" s="13" t="s">
        <v>421</v>
      </c>
      <c r="AZ197" s="15" t="s">
        <v>334</v>
      </c>
      <c r="BA197" s="15" t="s">
        <v>154</v>
      </c>
      <c r="BB197" s="13">
        <v>1</v>
      </c>
      <c r="BC197" s="13">
        <f t="shared" si="216"/>
        <v>3711</v>
      </c>
      <c r="BD197" s="15" t="s">
        <v>962</v>
      </c>
      <c r="BE197" s="15" t="s">
        <v>390</v>
      </c>
      <c r="BF197" s="15" t="s">
        <v>390</v>
      </c>
      <c r="BG197" s="13" t="s">
        <v>857</v>
      </c>
      <c r="BH197" s="13" t="str">
        <f t="shared" si="217"/>
        <v>3711_1</v>
      </c>
      <c r="BI197" s="13"/>
      <c r="BJ197" s="13" t="str">
        <f t="shared" si="218"/>
        <v>100000003711</v>
      </c>
      <c r="BK197" s="15" t="s">
        <v>51</v>
      </c>
      <c r="BL197" s="15" t="s">
        <v>54</v>
      </c>
      <c r="BM197" s="13" t="s">
        <v>277</v>
      </c>
      <c r="BN197" s="15" t="s">
        <v>51</v>
      </c>
      <c r="BO197" s="13" t="str">
        <f t="shared" si="219"/>
        <v>S05S3711</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GAS_ENQ_NO-3711</v>
      </c>
      <c r="CK197" s="15" t="s">
        <v>779</v>
      </c>
      <c r="CL197" s="15" t="s">
        <v>391</v>
      </c>
      <c r="CM197" s="15" t="s">
        <v>390</v>
      </c>
      <c r="CN197" s="13" t="s">
        <v>780</v>
      </c>
      <c r="CO197" s="13" t="str">
        <f t="shared" si="221"/>
        <v>GAS_JOB_ID-3711</v>
      </c>
      <c r="CP197" s="15"/>
      <c r="CQ197" s="13" t="str">
        <f t="shared" si="222"/>
        <v>100003711</v>
      </c>
      <c r="CR197" s="13" t="s">
        <v>154</v>
      </c>
      <c r="CS197" s="15" t="s">
        <v>51</v>
      </c>
      <c r="CT197" s="217" t="str">
        <f t="shared" si="223"/>
        <v>GMETER3711</v>
      </c>
      <c r="CU197" s="13" t="s">
        <v>161</v>
      </c>
      <c r="CV197" s="15" t="s">
        <v>165</v>
      </c>
      <c r="CW197" s="15" t="s">
        <v>414</v>
      </c>
      <c r="CX197" s="15"/>
      <c r="CY197" s="15"/>
      <c r="CZ197" s="15" t="s">
        <v>394</v>
      </c>
      <c r="DA197" s="15" t="s">
        <v>395</v>
      </c>
      <c r="DB197" s="13" t="str">
        <f t="shared" si="163"/>
        <v>GAS_INST_ID-3711</v>
      </c>
      <c r="DC197" s="15" t="s">
        <v>161</v>
      </c>
      <c r="DD197" s="15"/>
      <c r="DE197" s="15" t="s">
        <v>51</v>
      </c>
      <c r="DF197" s="15" t="s">
        <v>264</v>
      </c>
      <c r="DG197" s="15"/>
      <c r="DH197" s="15" t="s">
        <v>397</v>
      </c>
      <c r="DI197" s="15" t="s">
        <v>399</v>
      </c>
      <c r="DJ197" s="15" t="s">
        <v>856</v>
      </c>
      <c r="DK197" s="15" t="s">
        <v>140</v>
      </c>
      <c r="DL197" s="218"/>
      <c r="DM197" s="218"/>
      <c r="DN197" s="13" t="str">
        <f t="shared" si="164"/>
        <v>DS_Pass-3711</v>
      </c>
      <c r="DO197" s="15"/>
      <c r="DP197" s="15"/>
      <c r="DQ197" s="15"/>
      <c r="DR197" s="13"/>
      <c r="DS197" s="13"/>
      <c r="DT197" s="15" t="s">
        <v>52</v>
      </c>
      <c r="DU197" s="15"/>
      <c r="DV197" s="15"/>
      <c r="DW197" s="13"/>
      <c r="DX197" s="15" t="s">
        <v>54</v>
      </c>
      <c r="DY197" s="15" t="s">
        <v>61</v>
      </c>
      <c r="DZ197" s="15" t="s">
        <v>402</v>
      </c>
      <c r="EA197" s="19" t="str">
        <f t="shared" si="224"/>
        <v>3711CUSTOMER_ADDRESSEXCH9 ROADCUSTOMER_ADDRESSTESTINGHAMCUSTOMER_ADDRESSTESTINGHAMSHIRE</v>
      </c>
      <c r="EB197" s="15" t="s">
        <v>856</v>
      </c>
      <c r="EC197" s="218"/>
      <c r="ED197" s="218"/>
      <c r="EE197" s="218"/>
    </row>
    <row r="198" spans="1:135" s="219" customFormat="1" x14ac:dyDescent="0.2">
      <c r="A198" s="209" t="s">
        <v>1016</v>
      </c>
      <c r="B198" s="209" t="s">
        <v>892</v>
      </c>
      <c r="C198" s="209" t="s">
        <v>865</v>
      </c>
      <c r="D198" s="13">
        <f>'Run Parameters'!$B$1 + ROW()-1</f>
        <v>3712</v>
      </c>
      <c r="E198" s="15" t="s">
        <v>47</v>
      </c>
      <c r="F198" s="13" t="s">
        <v>857</v>
      </c>
      <c r="G198" s="13" t="str">
        <f t="shared" si="203"/>
        <v>Access Dtls-3712</v>
      </c>
      <c r="H198" s="15" t="s">
        <v>275</v>
      </c>
      <c r="I198" s="13" t="str">
        <f>("MR. Test_189_EXCH9_"&amp;D198&amp;"")</f>
        <v>MR. Test_189_EXCH9_3712</v>
      </c>
      <c r="J198" s="13"/>
      <c r="K198" s="19" t="s">
        <v>425</v>
      </c>
      <c r="L198" s="13" t="str">
        <f t="shared" si="204"/>
        <v>Cust. Ref-3712</v>
      </c>
      <c r="M198" s="15" t="s">
        <v>48</v>
      </c>
      <c r="N198" s="15" t="s">
        <v>425</v>
      </c>
      <c r="O198" s="13"/>
      <c r="P198" s="13" t="str">
        <f t="shared" si="205"/>
        <v>SN-3712</v>
      </c>
      <c r="Q198" s="13" t="str">
        <f t="shared" si="206"/>
        <v>SI-3712</v>
      </c>
      <c r="R198" s="13" t="str">
        <f t="shared" si="207"/>
        <v>SE-3712</v>
      </c>
      <c r="S198" s="19" t="str">
        <f t="shared" si="208"/>
        <v>Prev_RA-3712</v>
      </c>
      <c r="T198" s="19" t="str">
        <f t="shared" si="209"/>
        <v>Prev_Comms-3712</v>
      </c>
      <c r="U198" s="15" t="s">
        <v>75</v>
      </c>
      <c r="V198" s="15" t="s">
        <v>401</v>
      </c>
      <c r="W198" s="15" t="s">
        <v>75</v>
      </c>
      <c r="X198" s="15" t="s">
        <v>396</v>
      </c>
      <c r="Y198" s="13" t="str">
        <f t="shared" si="210"/>
        <v>Forward Add-3712</v>
      </c>
      <c r="Z198" s="15" t="s">
        <v>401</v>
      </c>
      <c r="AA198" s="133" t="str">
        <f>'Run Parameters'!$B$2</f>
        <v>2019-04-26 08:00</v>
      </c>
      <c r="AB198" s="213" t="str">
        <f>'Run Parameters'!B$3</f>
        <v>2019-04-26 18:00</v>
      </c>
      <c r="AC198" s="26">
        <f>('Run Parameters'!$B$2) - 7</f>
        <v>43574.333333333336</v>
      </c>
      <c r="AD198" s="15" t="s">
        <v>75</v>
      </c>
      <c r="AE198" s="13" t="str">
        <f t="shared" si="211"/>
        <v>LAST_METER-3712</v>
      </c>
      <c r="AF198" s="133" t="str">
        <f>'Run Parameters'!$B$2</f>
        <v>2019-04-26 08:00</v>
      </c>
      <c r="AG198" s="13" t="str">
        <f>'Run Parameters'!B$4</f>
        <v>AUTOTEST2</v>
      </c>
      <c r="AH198" s="19" t="str">
        <f t="shared" si="212"/>
        <v>Site_Contact_3712</v>
      </c>
      <c r="AI198" s="133" t="str">
        <f>'Run Parameters'!B$2</f>
        <v>2019-04-26 08:00</v>
      </c>
      <c r="AJ198" s="213" t="str">
        <f>'Run Parameters'!B$3</f>
        <v>2019-04-26 18:00</v>
      </c>
      <c r="AK198" s="13" t="s">
        <v>396</v>
      </c>
      <c r="AL198" s="19" t="str">
        <f t="shared" si="213"/>
        <v>011593712</v>
      </c>
      <c r="AM198" s="13" t="str">
        <f t="shared" si="214"/>
        <v>01153712</v>
      </c>
      <c r="AN198" s="15"/>
      <c r="AO198" s="15"/>
      <c r="AP198" s="13">
        <v>1</v>
      </c>
      <c r="AQ198" s="15" t="s">
        <v>49</v>
      </c>
      <c r="AR198" s="15"/>
      <c r="AS198" s="13"/>
      <c r="AT198" s="15" t="s">
        <v>400</v>
      </c>
      <c r="AU198" s="15"/>
      <c r="AV198" s="13">
        <f t="shared" si="215"/>
        <v>3712</v>
      </c>
      <c r="AW198" s="13" t="s">
        <v>858</v>
      </c>
      <c r="AX198" s="13" t="s">
        <v>420</v>
      </c>
      <c r="AY198" s="13" t="s">
        <v>421</v>
      </c>
      <c r="AZ198" s="15" t="s">
        <v>334</v>
      </c>
      <c r="BA198" s="15" t="s">
        <v>154</v>
      </c>
      <c r="BB198" s="13">
        <v>1</v>
      </c>
      <c r="BC198" s="13">
        <f t="shared" si="216"/>
        <v>3712</v>
      </c>
      <c r="BD198" s="15" t="s">
        <v>962</v>
      </c>
      <c r="BE198" s="15" t="s">
        <v>390</v>
      </c>
      <c r="BF198" s="15" t="s">
        <v>390</v>
      </c>
      <c r="BG198" s="13" t="s">
        <v>857</v>
      </c>
      <c r="BH198" s="13" t="str">
        <f t="shared" si="217"/>
        <v>3712_1</v>
      </c>
      <c r="BI198" s="13"/>
      <c r="BJ198" s="13" t="str">
        <f t="shared" si="218"/>
        <v>100000003712</v>
      </c>
      <c r="BK198" s="15" t="s">
        <v>51</v>
      </c>
      <c r="BL198" s="15" t="s">
        <v>54</v>
      </c>
      <c r="BM198" s="13" t="s">
        <v>277</v>
      </c>
      <c r="BN198" s="15" t="s">
        <v>51</v>
      </c>
      <c r="BO198" s="13" t="str">
        <f t="shared" si="219"/>
        <v>S05S3712</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GAS_ENQ_NO-3712</v>
      </c>
      <c r="CK198" s="15" t="s">
        <v>779</v>
      </c>
      <c r="CL198" s="15" t="s">
        <v>391</v>
      </c>
      <c r="CM198" s="15" t="s">
        <v>390</v>
      </c>
      <c r="CN198" s="13" t="s">
        <v>780</v>
      </c>
      <c r="CO198" s="13" t="str">
        <f t="shared" si="221"/>
        <v>GAS_JOB_ID-3712</v>
      </c>
      <c r="CP198" s="15"/>
      <c r="CQ198" s="13" t="str">
        <f t="shared" si="222"/>
        <v>100003712</v>
      </c>
      <c r="CR198" s="13" t="s">
        <v>154</v>
      </c>
      <c r="CS198" s="15" t="s">
        <v>51</v>
      </c>
      <c r="CT198" s="217" t="str">
        <f t="shared" si="223"/>
        <v>GMETER3712</v>
      </c>
      <c r="CU198" s="13" t="s">
        <v>161</v>
      </c>
      <c r="CV198" s="15" t="s">
        <v>165</v>
      </c>
      <c r="CW198" s="15" t="s">
        <v>414</v>
      </c>
      <c r="CX198" s="15"/>
      <c r="CY198" s="15"/>
      <c r="CZ198" s="15" t="s">
        <v>394</v>
      </c>
      <c r="DA198" s="15" t="s">
        <v>395</v>
      </c>
      <c r="DB198" s="13" t="str">
        <f t="shared" si="163"/>
        <v>GAS_INST_ID-3712</v>
      </c>
      <c r="DC198" s="15" t="s">
        <v>161</v>
      </c>
      <c r="DD198" s="15"/>
      <c r="DE198" s="15" t="s">
        <v>51</v>
      </c>
      <c r="DF198" s="15" t="s">
        <v>264</v>
      </c>
      <c r="DG198" s="15"/>
      <c r="DH198" s="15" t="s">
        <v>397</v>
      </c>
      <c r="DI198" s="15" t="s">
        <v>399</v>
      </c>
      <c r="DJ198" s="15" t="s">
        <v>856</v>
      </c>
      <c r="DK198" s="15" t="s">
        <v>140</v>
      </c>
      <c r="DL198" s="218"/>
      <c r="DM198" s="218"/>
      <c r="DN198" s="13" t="str">
        <f t="shared" si="164"/>
        <v>DS_Pass-3712</v>
      </c>
      <c r="DO198" s="15"/>
      <c r="DP198" s="15"/>
      <c r="DQ198" s="15"/>
      <c r="DR198" s="13"/>
      <c r="DS198" s="13"/>
      <c r="DT198" s="15" t="s">
        <v>52</v>
      </c>
      <c r="DU198" s="15"/>
      <c r="DV198" s="15"/>
      <c r="DW198" s="13"/>
      <c r="DX198" s="15" t="s">
        <v>54</v>
      </c>
      <c r="DY198" s="15" t="s">
        <v>61</v>
      </c>
      <c r="DZ198" s="15" t="s">
        <v>402</v>
      </c>
      <c r="EA198" s="19" t="str">
        <f t="shared" si="224"/>
        <v>3712CUSTOMER_ADDRESSEXCH9 ROADCUSTOMER_ADDRESSTESTINGHAMCUSTOMER_ADDRESSTESTINGHAMSHIRE</v>
      </c>
      <c r="EB198" s="15" t="s">
        <v>856</v>
      </c>
      <c r="EC198" s="218"/>
      <c r="ED198" s="218"/>
      <c r="EE198" s="218"/>
    </row>
    <row r="199" spans="1:135" s="219" customFormat="1" x14ac:dyDescent="0.2">
      <c r="A199" s="209" t="s">
        <v>1017</v>
      </c>
      <c r="B199" s="209" t="s">
        <v>868</v>
      </c>
      <c r="C199" s="209" t="s">
        <v>865</v>
      </c>
      <c r="D199" s="13">
        <f>'Run Parameters'!$B$1 + ROW()-1</f>
        <v>3713</v>
      </c>
      <c r="E199" s="15" t="s">
        <v>47</v>
      </c>
      <c r="F199" s="13" t="s">
        <v>857</v>
      </c>
      <c r="G199" s="13" t="str">
        <f t="shared" si="203"/>
        <v>Access Dtls-3713</v>
      </c>
      <c r="H199" s="15" t="s">
        <v>275</v>
      </c>
      <c r="I199" s="13" t="str">
        <f>("MR. Test_190_EXCH9_"&amp;D199&amp;"")</f>
        <v>MR. Test_190_EXCH9_3713</v>
      </c>
      <c r="J199" s="13"/>
      <c r="K199" s="19" t="s">
        <v>425</v>
      </c>
      <c r="L199" s="13" t="str">
        <f t="shared" si="204"/>
        <v>Cust. Ref-3713</v>
      </c>
      <c r="M199" s="15" t="s">
        <v>48</v>
      </c>
      <c r="N199" s="15" t="s">
        <v>425</v>
      </c>
      <c r="O199" s="13"/>
      <c r="P199" s="13" t="str">
        <f t="shared" si="205"/>
        <v>SN-3713</v>
      </c>
      <c r="Q199" s="13" t="str">
        <f t="shared" si="206"/>
        <v>SI-3713</v>
      </c>
      <c r="R199" s="13" t="str">
        <f t="shared" si="207"/>
        <v>SE-3713</v>
      </c>
      <c r="S199" s="19" t="str">
        <f t="shared" si="208"/>
        <v>Prev_RA-3713</v>
      </c>
      <c r="T199" s="19" t="str">
        <f t="shared" si="209"/>
        <v>Prev_Comms-3713</v>
      </c>
      <c r="U199" s="15" t="s">
        <v>75</v>
      </c>
      <c r="V199" s="15" t="s">
        <v>401</v>
      </c>
      <c r="W199" s="15" t="s">
        <v>75</v>
      </c>
      <c r="X199" s="15" t="s">
        <v>396</v>
      </c>
      <c r="Y199" s="13" t="str">
        <f t="shared" si="210"/>
        <v>Forward Add-3713</v>
      </c>
      <c r="Z199" s="15" t="s">
        <v>401</v>
      </c>
      <c r="AA199" s="133" t="str">
        <f>'Run Parameters'!$B$2</f>
        <v>2019-04-26 08:00</v>
      </c>
      <c r="AB199" s="213" t="str">
        <f>'Run Parameters'!B$3</f>
        <v>2019-04-26 18:00</v>
      </c>
      <c r="AC199" s="26">
        <f>('Run Parameters'!$B$2) - 7</f>
        <v>43574.333333333336</v>
      </c>
      <c r="AD199" s="15" t="s">
        <v>75</v>
      </c>
      <c r="AE199" s="13" t="str">
        <f t="shared" si="211"/>
        <v>LAST_METER-3713</v>
      </c>
      <c r="AF199" s="133" t="str">
        <f>'Run Parameters'!$B$2</f>
        <v>2019-04-26 08:00</v>
      </c>
      <c r="AG199" s="13" t="str">
        <f>'Run Parameters'!B$4</f>
        <v>AUTOTEST2</v>
      </c>
      <c r="AH199" s="19" t="str">
        <f t="shared" si="212"/>
        <v>Site_Contact_3713</v>
      </c>
      <c r="AI199" s="133" t="str">
        <f>'Run Parameters'!B$2</f>
        <v>2019-04-26 08:00</v>
      </c>
      <c r="AJ199" s="213" t="str">
        <f>'Run Parameters'!B$3</f>
        <v>2019-04-26 18:00</v>
      </c>
      <c r="AK199" s="13" t="s">
        <v>396</v>
      </c>
      <c r="AL199" s="19" t="str">
        <f t="shared" si="213"/>
        <v>011593713</v>
      </c>
      <c r="AM199" s="13" t="str">
        <f t="shared" si="214"/>
        <v>01153713</v>
      </c>
      <c r="AN199" s="15"/>
      <c r="AO199" s="15"/>
      <c r="AP199" s="13">
        <v>1</v>
      </c>
      <c r="AQ199" s="15" t="s">
        <v>49</v>
      </c>
      <c r="AR199" s="15"/>
      <c r="AS199" s="13"/>
      <c r="AT199" s="15" t="s">
        <v>400</v>
      </c>
      <c r="AU199" s="15"/>
      <c r="AV199" s="13">
        <f t="shared" si="215"/>
        <v>3713</v>
      </c>
      <c r="AW199" s="13" t="s">
        <v>858</v>
      </c>
      <c r="AX199" s="13" t="s">
        <v>420</v>
      </c>
      <c r="AY199" s="13" t="s">
        <v>421</v>
      </c>
      <c r="AZ199" s="15" t="s">
        <v>334</v>
      </c>
      <c r="BA199" s="15" t="s">
        <v>154</v>
      </c>
      <c r="BB199" s="13">
        <v>1</v>
      </c>
      <c r="BC199" s="13">
        <f t="shared" si="216"/>
        <v>3713</v>
      </c>
      <c r="BD199" s="15" t="s">
        <v>962</v>
      </c>
      <c r="BE199" s="15" t="s">
        <v>390</v>
      </c>
      <c r="BF199" s="15" t="s">
        <v>390</v>
      </c>
      <c r="BG199" s="13" t="s">
        <v>857</v>
      </c>
      <c r="BH199" s="13" t="str">
        <f t="shared" si="217"/>
        <v>3713_1</v>
      </c>
      <c r="BI199" s="13"/>
      <c r="BJ199" s="13" t="str">
        <f t="shared" si="218"/>
        <v>100000003713</v>
      </c>
      <c r="BK199" s="15" t="s">
        <v>51</v>
      </c>
      <c r="BL199" s="15" t="s">
        <v>54</v>
      </c>
      <c r="BM199" s="13" t="s">
        <v>277</v>
      </c>
      <c r="BN199" s="15" t="s">
        <v>51</v>
      </c>
      <c r="BO199" s="13" t="str">
        <f t="shared" si="219"/>
        <v>S05S3713</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GAS_ENQ_NO-3713</v>
      </c>
      <c r="CK199" s="15" t="s">
        <v>779</v>
      </c>
      <c r="CL199" s="15" t="s">
        <v>391</v>
      </c>
      <c r="CM199" s="15" t="s">
        <v>390</v>
      </c>
      <c r="CN199" s="13" t="s">
        <v>780</v>
      </c>
      <c r="CO199" s="13" t="str">
        <f t="shared" si="221"/>
        <v>GAS_JOB_ID-3713</v>
      </c>
      <c r="CP199" s="15"/>
      <c r="CQ199" s="13" t="str">
        <f t="shared" si="222"/>
        <v>100003713</v>
      </c>
      <c r="CR199" s="13" t="s">
        <v>154</v>
      </c>
      <c r="CS199" s="15" t="s">
        <v>51</v>
      </c>
      <c r="CT199" s="217" t="str">
        <f t="shared" si="223"/>
        <v>GMETER3713</v>
      </c>
      <c r="CU199" s="13" t="s">
        <v>161</v>
      </c>
      <c r="CV199" s="15" t="s">
        <v>165</v>
      </c>
      <c r="CW199" s="15" t="s">
        <v>414</v>
      </c>
      <c r="CX199" s="15"/>
      <c r="CY199" s="15"/>
      <c r="CZ199" s="15" t="s">
        <v>394</v>
      </c>
      <c r="DA199" s="15" t="s">
        <v>395</v>
      </c>
      <c r="DB199" s="13" t="str">
        <f t="shared" si="163"/>
        <v>GAS_INST_ID-3713</v>
      </c>
      <c r="DC199" s="15" t="s">
        <v>161</v>
      </c>
      <c r="DD199" s="15"/>
      <c r="DE199" s="15" t="s">
        <v>51</v>
      </c>
      <c r="DF199" s="15" t="s">
        <v>264</v>
      </c>
      <c r="DG199" s="15"/>
      <c r="DH199" s="15" t="s">
        <v>397</v>
      </c>
      <c r="DI199" s="15" t="s">
        <v>399</v>
      </c>
      <c r="DJ199" s="15" t="s">
        <v>856</v>
      </c>
      <c r="DK199" s="15" t="s">
        <v>140</v>
      </c>
      <c r="DL199" s="218"/>
      <c r="DM199" s="218"/>
      <c r="DN199" s="13" t="str">
        <f t="shared" si="164"/>
        <v>DS_Pass-3713</v>
      </c>
      <c r="DO199" s="15"/>
      <c r="DP199" s="15"/>
      <c r="DQ199" s="15"/>
      <c r="DR199" s="13"/>
      <c r="DS199" s="13"/>
      <c r="DT199" s="15" t="s">
        <v>52</v>
      </c>
      <c r="DU199" s="15"/>
      <c r="DV199" s="15"/>
      <c r="DW199" s="13"/>
      <c r="DX199" s="15" t="s">
        <v>54</v>
      </c>
      <c r="DY199" s="15" t="s">
        <v>61</v>
      </c>
      <c r="DZ199" s="15" t="s">
        <v>402</v>
      </c>
      <c r="EA199" s="19" t="str">
        <f t="shared" si="224"/>
        <v>3713CUSTOMER_ADDRESSEXCH9 ROADCUSTOMER_ADDRESSTESTINGHAMCUSTOMER_ADDRESSTESTINGHAMSHIRE</v>
      </c>
      <c r="EB199" s="15" t="s">
        <v>856</v>
      </c>
      <c r="EC199" s="218"/>
      <c r="ED199" s="218"/>
      <c r="EE199" s="218"/>
    </row>
    <row r="200" spans="1:135" s="219" customFormat="1" x14ac:dyDescent="0.2">
      <c r="A200" s="209" t="s">
        <v>1018</v>
      </c>
      <c r="B200" s="209" t="s">
        <v>892</v>
      </c>
      <c r="C200" s="209" t="s">
        <v>865</v>
      </c>
      <c r="D200" s="13">
        <f>'Run Parameters'!$B$1 + ROW()-1</f>
        <v>3714</v>
      </c>
      <c r="E200" s="15" t="s">
        <v>47</v>
      </c>
      <c r="F200" s="13" t="s">
        <v>857</v>
      </c>
      <c r="G200" s="13" t="str">
        <f t="shared" si="203"/>
        <v>Access Dtls-3714</v>
      </c>
      <c r="H200" s="15" t="s">
        <v>275</v>
      </c>
      <c r="I200" s="13" t="str">
        <f>("MR. Test_191_EXCH9_"&amp;D200&amp;"")</f>
        <v>MR. Test_191_EXCH9_3714</v>
      </c>
      <c r="J200" s="13"/>
      <c r="K200" s="19" t="s">
        <v>425</v>
      </c>
      <c r="L200" s="13" t="str">
        <f t="shared" si="204"/>
        <v>Cust. Ref-3714</v>
      </c>
      <c r="M200" s="15" t="s">
        <v>48</v>
      </c>
      <c r="N200" s="15" t="s">
        <v>425</v>
      </c>
      <c r="O200" s="13"/>
      <c r="P200" s="13" t="str">
        <f t="shared" si="205"/>
        <v>SN-3714</v>
      </c>
      <c r="Q200" s="13" t="str">
        <f t="shared" si="206"/>
        <v>SI-3714</v>
      </c>
      <c r="R200" s="13" t="str">
        <f t="shared" si="207"/>
        <v>SE-3714</v>
      </c>
      <c r="S200" s="19" t="str">
        <f t="shared" si="208"/>
        <v>Prev_RA-3714</v>
      </c>
      <c r="T200" s="19" t="str">
        <f t="shared" si="209"/>
        <v>Prev_Comms-3714</v>
      </c>
      <c r="U200" s="15" t="s">
        <v>75</v>
      </c>
      <c r="V200" s="15" t="s">
        <v>401</v>
      </c>
      <c r="W200" s="15" t="s">
        <v>75</v>
      </c>
      <c r="X200" s="15" t="s">
        <v>396</v>
      </c>
      <c r="Y200" s="13" t="str">
        <f t="shared" si="210"/>
        <v>Forward Add-3714</v>
      </c>
      <c r="Z200" s="15" t="s">
        <v>401</v>
      </c>
      <c r="AA200" s="133" t="str">
        <f>'Run Parameters'!$B$2</f>
        <v>2019-04-26 08:00</v>
      </c>
      <c r="AB200" s="213" t="str">
        <f>'Run Parameters'!B$3</f>
        <v>2019-04-26 18:00</v>
      </c>
      <c r="AC200" s="26">
        <f>('Run Parameters'!$B$2) - 7</f>
        <v>43574.333333333336</v>
      </c>
      <c r="AD200" s="15" t="s">
        <v>75</v>
      </c>
      <c r="AE200" s="13" t="str">
        <f t="shared" si="211"/>
        <v>LAST_METER-3714</v>
      </c>
      <c r="AF200" s="133" t="str">
        <f>'Run Parameters'!$B$2</f>
        <v>2019-04-26 08:00</v>
      </c>
      <c r="AG200" s="13" t="str">
        <f>'Run Parameters'!B$4</f>
        <v>AUTOTEST2</v>
      </c>
      <c r="AH200" s="19" t="str">
        <f t="shared" si="212"/>
        <v>Site_Contact_3714</v>
      </c>
      <c r="AI200" s="133" t="str">
        <f>'Run Parameters'!B$2</f>
        <v>2019-04-26 08:00</v>
      </c>
      <c r="AJ200" s="213" t="str">
        <f>'Run Parameters'!B$3</f>
        <v>2019-04-26 18:00</v>
      </c>
      <c r="AK200" s="13" t="s">
        <v>396</v>
      </c>
      <c r="AL200" s="19" t="str">
        <f t="shared" si="213"/>
        <v>011593714</v>
      </c>
      <c r="AM200" s="13" t="str">
        <f t="shared" si="214"/>
        <v>01153714</v>
      </c>
      <c r="AN200" s="15"/>
      <c r="AO200" s="15"/>
      <c r="AP200" s="13">
        <v>1</v>
      </c>
      <c r="AQ200" s="15" t="s">
        <v>49</v>
      </c>
      <c r="AR200" s="15"/>
      <c r="AS200" s="13"/>
      <c r="AT200" s="15" t="s">
        <v>400</v>
      </c>
      <c r="AU200" s="15"/>
      <c r="AV200" s="13">
        <f t="shared" si="215"/>
        <v>3714</v>
      </c>
      <c r="AW200" s="13" t="s">
        <v>858</v>
      </c>
      <c r="AX200" s="13" t="s">
        <v>420</v>
      </c>
      <c r="AY200" s="13" t="s">
        <v>421</v>
      </c>
      <c r="AZ200" s="15" t="s">
        <v>334</v>
      </c>
      <c r="BA200" s="15" t="s">
        <v>154</v>
      </c>
      <c r="BB200" s="13">
        <v>1</v>
      </c>
      <c r="BC200" s="13">
        <f t="shared" si="216"/>
        <v>3714</v>
      </c>
      <c r="BD200" s="15" t="s">
        <v>962</v>
      </c>
      <c r="BE200" s="15" t="s">
        <v>390</v>
      </c>
      <c r="BF200" s="15" t="s">
        <v>390</v>
      </c>
      <c r="BG200" s="13" t="s">
        <v>857</v>
      </c>
      <c r="BH200" s="13" t="str">
        <f t="shared" si="217"/>
        <v>3714_1</v>
      </c>
      <c r="BI200" s="13"/>
      <c r="BJ200" s="13" t="str">
        <f t="shared" si="218"/>
        <v>100000003714</v>
      </c>
      <c r="BK200" s="15" t="s">
        <v>51</v>
      </c>
      <c r="BL200" s="15" t="s">
        <v>54</v>
      </c>
      <c r="BM200" s="13" t="s">
        <v>277</v>
      </c>
      <c r="BN200" s="15" t="s">
        <v>51</v>
      </c>
      <c r="BO200" s="13" t="str">
        <f t="shared" si="219"/>
        <v>S05S3714</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GAS_ENQ_NO-3714</v>
      </c>
      <c r="CK200" s="15" t="s">
        <v>779</v>
      </c>
      <c r="CL200" s="15" t="s">
        <v>391</v>
      </c>
      <c r="CM200" s="15" t="s">
        <v>390</v>
      </c>
      <c r="CN200" s="13" t="s">
        <v>780</v>
      </c>
      <c r="CO200" s="13" t="str">
        <f t="shared" si="221"/>
        <v>GAS_JOB_ID-3714</v>
      </c>
      <c r="CP200" s="15"/>
      <c r="CQ200" s="13" t="str">
        <f t="shared" si="222"/>
        <v>100003714</v>
      </c>
      <c r="CR200" s="13" t="s">
        <v>154</v>
      </c>
      <c r="CS200" s="15" t="s">
        <v>51</v>
      </c>
      <c r="CT200" s="217" t="str">
        <f t="shared" si="223"/>
        <v>GMETER3714</v>
      </c>
      <c r="CU200" s="13" t="s">
        <v>161</v>
      </c>
      <c r="CV200" s="15" t="s">
        <v>165</v>
      </c>
      <c r="CW200" s="15" t="s">
        <v>414</v>
      </c>
      <c r="CX200" s="15"/>
      <c r="CY200" s="15"/>
      <c r="CZ200" s="15" t="s">
        <v>394</v>
      </c>
      <c r="DA200" s="15" t="s">
        <v>395</v>
      </c>
      <c r="DB200" s="13" t="str">
        <f t="shared" si="163"/>
        <v>GAS_INST_ID-3714</v>
      </c>
      <c r="DC200" s="15" t="s">
        <v>161</v>
      </c>
      <c r="DD200" s="15"/>
      <c r="DE200" s="15" t="s">
        <v>51</v>
      </c>
      <c r="DF200" s="15" t="s">
        <v>264</v>
      </c>
      <c r="DG200" s="15"/>
      <c r="DH200" s="15" t="s">
        <v>397</v>
      </c>
      <c r="DI200" s="15" t="s">
        <v>399</v>
      </c>
      <c r="DJ200" s="15" t="s">
        <v>856</v>
      </c>
      <c r="DK200" s="15" t="s">
        <v>140</v>
      </c>
      <c r="DL200" s="218"/>
      <c r="DM200" s="218"/>
      <c r="DN200" s="13" t="str">
        <f t="shared" si="164"/>
        <v>DS_Pass-3714</v>
      </c>
      <c r="DO200" s="15"/>
      <c r="DP200" s="15"/>
      <c r="DQ200" s="15"/>
      <c r="DR200" s="13"/>
      <c r="DS200" s="13"/>
      <c r="DT200" s="15" t="s">
        <v>52</v>
      </c>
      <c r="DU200" s="15"/>
      <c r="DV200" s="15"/>
      <c r="DW200" s="13"/>
      <c r="DX200" s="15" t="s">
        <v>54</v>
      </c>
      <c r="DY200" s="15" t="s">
        <v>61</v>
      </c>
      <c r="DZ200" s="15" t="s">
        <v>402</v>
      </c>
      <c r="EA200" s="19" t="str">
        <f t="shared" si="224"/>
        <v>3714CUSTOMER_ADDRESSEXCH9 ROADCUSTOMER_ADDRESSTESTINGHAMCUSTOMER_ADDRESSTESTINGHAMSHIRE</v>
      </c>
      <c r="EB200" s="15" t="s">
        <v>856</v>
      </c>
      <c r="EC200" s="218"/>
      <c r="ED200" s="218"/>
      <c r="EE200" s="218"/>
    </row>
    <row r="201" spans="1:135" s="219" customFormat="1" x14ac:dyDescent="0.2">
      <c r="A201" s="209" t="s">
        <v>1019</v>
      </c>
      <c r="B201" s="209" t="s">
        <v>868</v>
      </c>
      <c r="C201" s="209" t="s">
        <v>865</v>
      </c>
      <c r="D201" s="13">
        <f>'Run Parameters'!$B$1 + ROW()-1</f>
        <v>3715</v>
      </c>
      <c r="E201" s="15" t="s">
        <v>47</v>
      </c>
      <c r="F201" s="13" t="s">
        <v>857</v>
      </c>
      <c r="G201" s="13" t="str">
        <f t="shared" si="203"/>
        <v>Access Dtls-3715</v>
      </c>
      <c r="H201" s="15" t="s">
        <v>275</v>
      </c>
      <c r="I201" s="13" t="str">
        <f>("MR. Test_192_EXCH9_"&amp;D201&amp;"")</f>
        <v>MR. Test_192_EXCH9_3715</v>
      </c>
      <c r="J201" s="13"/>
      <c r="K201" s="19" t="s">
        <v>425</v>
      </c>
      <c r="L201" s="13" t="str">
        <f t="shared" si="204"/>
        <v>Cust. Ref-3715</v>
      </c>
      <c r="M201" s="15" t="s">
        <v>48</v>
      </c>
      <c r="N201" s="15" t="s">
        <v>425</v>
      </c>
      <c r="O201" s="13"/>
      <c r="P201" s="13" t="str">
        <f t="shared" si="205"/>
        <v>SN-3715</v>
      </c>
      <c r="Q201" s="13" t="str">
        <f t="shared" si="206"/>
        <v>SI-3715</v>
      </c>
      <c r="R201" s="13" t="str">
        <f t="shared" si="207"/>
        <v>SE-3715</v>
      </c>
      <c r="S201" s="19" t="str">
        <f t="shared" si="208"/>
        <v>Prev_RA-3715</v>
      </c>
      <c r="T201" s="19" t="str">
        <f t="shared" si="209"/>
        <v>Prev_Comms-3715</v>
      </c>
      <c r="U201" s="15" t="s">
        <v>75</v>
      </c>
      <c r="V201" s="15" t="s">
        <v>401</v>
      </c>
      <c r="W201" s="15" t="s">
        <v>75</v>
      </c>
      <c r="X201" s="15" t="s">
        <v>396</v>
      </c>
      <c r="Y201" s="13" t="str">
        <f t="shared" si="210"/>
        <v>Forward Add-3715</v>
      </c>
      <c r="Z201" s="15" t="s">
        <v>401</v>
      </c>
      <c r="AA201" s="133" t="str">
        <f>'Run Parameters'!$B$2</f>
        <v>2019-04-26 08:00</v>
      </c>
      <c r="AB201" s="213" t="str">
        <f>'Run Parameters'!B$3</f>
        <v>2019-04-26 18:00</v>
      </c>
      <c r="AC201" s="26">
        <f>('Run Parameters'!$B$2) - 7</f>
        <v>43574.333333333336</v>
      </c>
      <c r="AD201" s="15" t="s">
        <v>75</v>
      </c>
      <c r="AE201" s="13" t="str">
        <f t="shared" si="211"/>
        <v>LAST_METER-3715</v>
      </c>
      <c r="AF201" s="133" t="str">
        <f>'Run Parameters'!$B$2</f>
        <v>2019-04-26 08:00</v>
      </c>
      <c r="AG201" s="13" t="str">
        <f>'Run Parameters'!B$4</f>
        <v>AUTOTEST2</v>
      </c>
      <c r="AH201" s="19" t="str">
        <f t="shared" si="212"/>
        <v>Site_Contact_3715</v>
      </c>
      <c r="AI201" s="133" t="str">
        <f>'Run Parameters'!B$2</f>
        <v>2019-04-26 08:00</v>
      </c>
      <c r="AJ201" s="213" t="str">
        <f>'Run Parameters'!B$3</f>
        <v>2019-04-26 18:00</v>
      </c>
      <c r="AK201" s="13" t="s">
        <v>396</v>
      </c>
      <c r="AL201" s="19" t="str">
        <f t="shared" si="213"/>
        <v>011593715</v>
      </c>
      <c r="AM201" s="13" t="str">
        <f t="shared" si="214"/>
        <v>01153715</v>
      </c>
      <c r="AN201" s="15"/>
      <c r="AO201" s="15"/>
      <c r="AP201" s="13">
        <v>1</v>
      </c>
      <c r="AQ201" s="15" t="s">
        <v>49</v>
      </c>
      <c r="AR201" s="15"/>
      <c r="AS201" s="13"/>
      <c r="AT201" s="15" t="s">
        <v>400</v>
      </c>
      <c r="AU201" s="15"/>
      <c r="AV201" s="13">
        <f t="shared" si="215"/>
        <v>3715</v>
      </c>
      <c r="AW201" s="13" t="s">
        <v>858</v>
      </c>
      <c r="AX201" s="13" t="s">
        <v>420</v>
      </c>
      <c r="AY201" s="13" t="s">
        <v>421</v>
      </c>
      <c r="AZ201" s="15" t="s">
        <v>334</v>
      </c>
      <c r="BA201" s="15" t="s">
        <v>154</v>
      </c>
      <c r="BB201" s="13">
        <v>1</v>
      </c>
      <c r="BC201" s="13">
        <f t="shared" si="216"/>
        <v>3715</v>
      </c>
      <c r="BD201" s="15" t="s">
        <v>962</v>
      </c>
      <c r="BE201" s="15" t="s">
        <v>390</v>
      </c>
      <c r="BF201" s="15" t="s">
        <v>390</v>
      </c>
      <c r="BG201" s="13" t="s">
        <v>857</v>
      </c>
      <c r="BH201" s="13" t="str">
        <f t="shared" si="217"/>
        <v>3715_1</v>
      </c>
      <c r="BI201" s="13"/>
      <c r="BJ201" s="13" t="str">
        <f t="shared" si="218"/>
        <v>100000003715</v>
      </c>
      <c r="BK201" s="15" t="s">
        <v>51</v>
      </c>
      <c r="BL201" s="15" t="s">
        <v>54</v>
      </c>
      <c r="BM201" s="13" t="s">
        <v>277</v>
      </c>
      <c r="BN201" s="15" t="s">
        <v>51</v>
      </c>
      <c r="BO201" s="13" t="str">
        <f t="shared" si="219"/>
        <v>S05S3715</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GAS_ENQ_NO-3715</v>
      </c>
      <c r="CK201" s="15" t="s">
        <v>779</v>
      </c>
      <c r="CL201" s="15" t="s">
        <v>391</v>
      </c>
      <c r="CM201" s="15" t="s">
        <v>390</v>
      </c>
      <c r="CN201" s="13" t="s">
        <v>780</v>
      </c>
      <c r="CO201" s="13" t="str">
        <f t="shared" si="221"/>
        <v>GAS_JOB_ID-3715</v>
      </c>
      <c r="CP201" s="15"/>
      <c r="CQ201" s="13" t="str">
        <f t="shared" si="222"/>
        <v>100003715</v>
      </c>
      <c r="CR201" s="13" t="s">
        <v>154</v>
      </c>
      <c r="CS201" s="15" t="s">
        <v>51</v>
      </c>
      <c r="CT201" s="217" t="str">
        <f t="shared" si="223"/>
        <v>GMETER3715</v>
      </c>
      <c r="CU201" s="13" t="s">
        <v>161</v>
      </c>
      <c r="CV201" s="15" t="s">
        <v>165</v>
      </c>
      <c r="CW201" s="15" t="s">
        <v>414</v>
      </c>
      <c r="CX201" s="15"/>
      <c r="CY201" s="15"/>
      <c r="CZ201" s="15" t="s">
        <v>394</v>
      </c>
      <c r="DA201" s="15" t="s">
        <v>395</v>
      </c>
      <c r="DB201" s="13" t="str">
        <f t="shared" si="163"/>
        <v>GAS_INST_ID-3715</v>
      </c>
      <c r="DC201" s="15" t="s">
        <v>161</v>
      </c>
      <c r="DD201" s="15"/>
      <c r="DE201" s="15" t="s">
        <v>51</v>
      </c>
      <c r="DF201" s="15" t="s">
        <v>264</v>
      </c>
      <c r="DG201" s="15"/>
      <c r="DH201" s="15" t="s">
        <v>397</v>
      </c>
      <c r="DI201" s="15" t="s">
        <v>399</v>
      </c>
      <c r="DJ201" s="15" t="s">
        <v>856</v>
      </c>
      <c r="DK201" s="15" t="s">
        <v>140</v>
      </c>
      <c r="DL201" s="218"/>
      <c r="DM201" s="218"/>
      <c r="DN201" s="13" t="str">
        <f t="shared" si="164"/>
        <v>DS_Pass-3715</v>
      </c>
      <c r="DO201" s="15"/>
      <c r="DP201" s="15"/>
      <c r="DQ201" s="15"/>
      <c r="DR201" s="13"/>
      <c r="DS201" s="13"/>
      <c r="DT201" s="15" t="s">
        <v>52</v>
      </c>
      <c r="DU201" s="15"/>
      <c r="DV201" s="15"/>
      <c r="DW201" s="13"/>
      <c r="DX201" s="15" t="s">
        <v>54</v>
      </c>
      <c r="DY201" s="15" t="s">
        <v>61</v>
      </c>
      <c r="DZ201" s="15" t="s">
        <v>402</v>
      </c>
      <c r="EA201" s="19" t="str">
        <f t="shared" si="224"/>
        <v>3715CUSTOMER_ADDRESSEXCH9 ROADCUSTOMER_ADDRESSTESTINGHAMCUSTOMER_ADDRESSTESTINGHAMSHIRE</v>
      </c>
      <c r="EB201" s="15" t="s">
        <v>856</v>
      </c>
      <c r="EC201" s="218"/>
      <c r="ED201" s="218"/>
      <c r="EE201" s="218"/>
    </row>
    <row r="202" spans="1:135" s="219" customFormat="1" x14ac:dyDescent="0.2">
      <c r="A202" s="209" t="s">
        <v>1020</v>
      </c>
      <c r="B202" s="209" t="s">
        <v>892</v>
      </c>
      <c r="C202" s="209" t="s">
        <v>865</v>
      </c>
      <c r="D202" s="13">
        <f>'Run Parameters'!$B$1 + ROW()-1</f>
        <v>3716</v>
      </c>
      <c r="E202" s="15" t="s">
        <v>47</v>
      </c>
      <c r="F202" s="13" t="s">
        <v>857</v>
      </c>
      <c r="G202" s="13" t="str">
        <f t="shared" si="203"/>
        <v>Access Dtls-3716</v>
      </c>
      <c r="H202" s="15" t="s">
        <v>275</v>
      </c>
      <c r="I202" s="13" t="str">
        <f>("MR. Test_193_EXCH9_"&amp;D202&amp;"")</f>
        <v>MR. Test_193_EXCH9_3716</v>
      </c>
      <c r="J202" s="13"/>
      <c r="K202" s="19" t="s">
        <v>425</v>
      </c>
      <c r="L202" s="13" t="str">
        <f t="shared" si="204"/>
        <v>Cust. Ref-3716</v>
      </c>
      <c r="M202" s="15" t="s">
        <v>48</v>
      </c>
      <c r="N202" s="15" t="s">
        <v>425</v>
      </c>
      <c r="O202" s="13"/>
      <c r="P202" s="13" t="str">
        <f t="shared" si="205"/>
        <v>SN-3716</v>
      </c>
      <c r="Q202" s="13" t="str">
        <f t="shared" si="206"/>
        <v>SI-3716</v>
      </c>
      <c r="R202" s="13" t="str">
        <f t="shared" si="207"/>
        <v>SE-3716</v>
      </c>
      <c r="S202" s="19" t="str">
        <f t="shared" si="208"/>
        <v>Prev_RA-3716</v>
      </c>
      <c r="T202" s="19" t="str">
        <f t="shared" si="209"/>
        <v>Prev_Comms-3716</v>
      </c>
      <c r="U202" s="15" t="s">
        <v>75</v>
      </c>
      <c r="V202" s="15" t="s">
        <v>401</v>
      </c>
      <c r="W202" s="15" t="s">
        <v>75</v>
      </c>
      <c r="X202" s="15" t="s">
        <v>396</v>
      </c>
      <c r="Y202" s="13" t="str">
        <f t="shared" si="210"/>
        <v>Forward Add-3716</v>
      </c>
      <c r="Z202" s="15" t="s">
        <v>401</v>
      </c>
      <c r="AA202" s="133" t="str">
        <f>'Run Parameters'!$B$2</f>
        <v>2019-04-26 08:00</v>
      </c>
      <c r="AB202" s="213" t="str">
        <f>'Run Parameters'!B$3</f>
        <v>2019-04-26 18:00</v>
      </c>
      <c r="AC202" s="26">
        <f>('Run Parameters'!$B$2) - 7</f>
        <v>43574.333333333336</v>
      </c>
      <c r="AD202" s="15" t="s">
        <v>75</v>
      </c>
      <c r="AE202" s="13" t="str">
        <f t="shared" si="211"/>
        <v>LAST_METER-3716</v>
      </c>
      <c r="AF202" s="133" t="str">
        <f>'Run Parameters'!$B$2</f>
        <v>2019-04-26 08:00</v>
      </c>
      <c r="AG202" s="13" t="str">
        <f>'Run Parameters'!B$4</f>
        <v>AUTOTEST2</v>
      </c>
      <c r="AH202" s="19" t="str">
        <f t="shared" si="212"/>
        <v>Site_Contact_3716</v>
      </c>
      <c r="AI202" s="133" t="str">
        <f>'Run Parameters'!B$2</f>
        <v>2019-04-26 08:00</v>
      </c>
      <c r="AJ202" s="213" t="str">
        <f>'Run Parameters'!B$3</f>
        <v>2019-04-26 18:00</v>
      </c>
      <c r="AK202" s="13" t="s">
        <v>396</v>
      </c>
      <c r="AL202" s="19" t="str">
        <f t="shared" si="213"/>
        <v>011593716</v>
      </c>
      <c r="AM202" s="13" t="str">
        <f t="shared" si="214"/>
        <v>01153716</v>
      </c>
      <c r="AN202" s="15"/>
      <c r="AO202" s="15"/>
      <c r="AP202" s="13">
        <v>1</v>
      </c>
      <c r="AQ202" s="15" t="s">
        <v>49</v>
      </c>
      <c r="AR202" s="15"/>
      <c r="AS202" s="13"/>
      <c r="AT202" s="15" t="s">
        <v>400</v>
      </c>
      <c r="AU202" s="15"/>
      <c r="AV202" s="13">
        <f t="shared" si="215"/>
        <v>3716</v>
      </c>
      <c r="AW202" s="13" t="s">
        <v>858</v>
      </c>
      <c r="AX202" s="13" t="s">
        <v>420</v>
      </c>
      <c r="AY202" s="13" t="s">
        <v>421</v>
      </c>
      <c r="AZ202" s="15" t="s">
        <v>334</v>
      </c>
      <c r="BA202" s="15" t="s">
        <v>154</v>
      </c>
      <c r="BB202" s="13">
        <v>1</v>
      </c>
      <c r="BC202" s="13">
        <f t="shared" si="216"/>
        <v>3716</v>
      </c>
      <c r="BD202" s="15" t="s">
        <v>962</v>
      </c>
      <c r="BE202" s="15" t="s">
        <v>390</v>
      </c>
      <c r="BF202" s="15" t="s">
        <v>390</v>
      </c>
      <c r="BG202" s="13" t="s">
        <v>857</v>
      </c>
      <c r="BH202" s="13" t="str">
        <f t="shared" si="217"/>
        <v>3716_1</v>
      </c>
      <c r="BI202" s="13"/>
      <c r="BJ202" s="13" t="str">
        <f t="shared" si="218"/>
        <v>100000003716</v>
      </c>
      <c r="BK202" s="15" t="s">
        <v>51</v>
      </c>
      <c r="BL202" s="15" t="s">
        <v>54</v>
      </c>
      <c r="BM202" s="13" t="s">
        <v>277</v>
      </c>
      <c r="BN202" s="15" t="s">
        <v>51</v>
      </c>
      <c r="BO202" s="13" t="str">
        <f t="shared" si="219"/>
        <v>S05S3716</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GAS_ENQ_NO-3716</v>
      </c>
      <c r="CK202" s="15" t="s">
        <v>779</v>
      </c>
      <c r="CL202" s="15" t="s">
        <v>391</v>
      </c>
      <c r="CM202" s="15" t="s">
        <v>390</v>
      </c>
      <c r="CN202" s="13" t="s">
        <v>780</v>
      </c>
      <c r="CO202" s="13" t="str">
        <f t="shared" si="221"/>
        <v>GAS_JOB_ID-3716</v>
      </c>
      <c r="CP202" s="15"/>
      <c r="CQ202" s="13" t="str">
        <f t="shared" si="222"/>
        <v>100003716</v>
      </c>
      <c r="CR202" s="13" t="s">
        <v>154</v>
      </c>
      <c r="CS202" s="15" t="s">
        <v>51</v>
      </c>
      <c r="CT202" s="217" t="str">
        <f t="shared" si="223"/>
        <v>GMETER3716</v>
      </c>
      <c r="CU202" s="13" t="s">
        <v>161</v>
      </c>
      <c r="CV202" s="15" t="s">
        <v>165</v>
      </c>
      <c r="CW202" s="15" t="s">
        <v>414</v>
      </c>
      <c r="CX202" s="15"/>
      <c r="CY202" s="15"/>
      <c r="CZ202" s="15" t="s">
        <v>394</v>
      </c>
      <c r="DA202" s="15" t="s">
        <v>395</v>
      </c>
      <c r="DB202" s="13" t="str">
        <f t="shared" si="163"/>
        <v>GAS_INST_ID-3716</v>
      </c>
      <c r="DC202" s="15" t="s">
        <v>161</v>
      </c>
      <c r="DD202" s="15"/>
      <c r="DE202" s="15" t="s">
        <v>51</v>
      </c>
      <c r="DF202" s="15" t="s">
        <v>264</v>
      </c>
      <c r="DG202" s="15"/>
      <c r="DH202" s="15" t="s">
        <v>397</v>
      </c>
      <c r="DI202" s="15" t="s">
        <v>399</v>
      </c>
      <c r="DJ202" s="15" t="s">
        <v>856</v>
      </c>
      <c r="DK202" s="15" t="s">
        <v>140</v>
      </c>
      <c r="DL202" s="218"/>
      <c r="DM202" s="218"/>
      <c r="DN202" s="13" t="str">
        <f t="shared" si="164"/>
        <v>DS_Pass-3716</v>
      </c>
      <c r="DO202" s="15"/>
      <c r="DP202" s="15"/>
      <c r="DQ202" s="15"/>
      <c r="DR202" s="13"/>
      <c r="DS202" s="13"/>
      <c r="DT202" s="15" t="s">
        <v>52</v>
      </c>
      <c r="DU202" s="15"/>
      <c r="DV202" s="15"/>
      <c r="DW202" s="13"/>
      <c r="DX202" s="15" t="s">
        <v>54</v>
      </c>
      <c r="DY202" s="15" t="s">
        <v>61</v>
      </c>
      <c r="DZ202" s="15" t="s">
        <v>402</v>
      </c>
      <c r="EA202" s="19" t="str">
        <f t="shared" si="224"/>
        <v>3716CUSTOMER_ADDRESSEXCH9 ROADCUSTOMER_ADDRESSTESTINGHAMCUSTOMER_ADDRESSTESTINGHAMSHIRE</v>
      </c>
      <c r="EB202" s="15" t="s">
        <v>856</v>
      </c>
      <c r="EC202" s="218"/>
      <c r="ED202" s="218"/>
      <c r="EE202" s="218"/>
    </row>
    <row r="203" spans="1:135" s="219" customFormat="1" x14ac:dyDescent="0.2">
      <c r="A203" s="209" t="s">
        <v>1021</v>
      </c>
      <c r="B203" s="209" t="s">
        <v>868</v>
      </c>
      <c r="C203" s="209" t="s">
        <v>865</v>
      </c>
      <c r="D203" s="13">
        <f>'Run Parameters'!$B$1 + ROW()-1</f>
        <v>3717</v>
      </c>
      <c r="E203" s="15" t="s">
        <v>47</v>
      </c>
      <c r="F203" s="13" t="s">
        <v>857</v>
      </c>
      <c r="G203" s="13" t="str">
        <f t="shared" si="203"/>
        <v>Access Dtls-3717</v>
      </c>
      <c r="H203" s="15" t="s">
        <v>275</v>
      </c>
      <c r="I203" s="13" t="str">
        <f>("MR. Test_194_EXCH9_"&amp;D203&amp;"")</f>
        <v>MR. Test_194_EXCH9_3717</v>
      </c>
      <c r="J203" s="13"/>
      <c r="K203" s="19" t="s">
        <v>425</v>
      </c>
      <c r="L203" s="13" t="str">
        <f t="shared" si="204"/>
        <v>Cust. Ref-3717</v>
      </c>
      <c r="M203" s="15" t="s">
        <v>48</v>
      </c>
      <c r="N203" s="15" t="s">
        <v>425</v>
      </c>
      <c r="O203" s="13"/>
      <c r="P203" s="13" t="str">
        <f t="shared" si="205"/>
        <v>SN-3717</v>
      </c>
      <c r="Q203" s="13" t="str">
        <f t="shared" si="206"/>
        <v>SI-3717</v>
      </c>
      <c r="R203" s="13" t="str">
        <f t="shared" si="207"/>
        <v>SE-3717</v>
      </c>
      <c r="S203" s="19" t="str">
        <f t="shared" si="208"/>
        <v>Prev_RA-3717</v>
      </c>
      <c r="T203" s="19" t="str">
        <f t="shared" si="209"/>
        <v>Prev_Comms-3717</v>
      </c>
      <c r="U203" s="15" t="s">
        <v>75</v>
      </c>
      <c r="V203" s="15" t="s">
        <v>401</v>
      </c>
      <c r="W203" s="15" t="s">
        <v>75</v>
      </c>
      <c r="X203" s="15" t="s">
        <v>396</v>
      </c>
      <c r="Y203" s="13" t="str">
        <f t="shared" si="210"/>
        <v>Forward Add-3717</v>
      </c>
      <c r="Z203" s="15" t="s">
        <v>401</v>
      </c>
      <c r="AA203" s="133" t="str">
        <f>'Run Parameters'!$B$2</f>
        <v>2019-04-26 08:00</v>
      </c>
      <c r="AB203" s="213" t="str">
        <f>'Run Parameters'!B$3</f>
        <v>2019-04-26 18:00</v>
      </c>
      <c r="AC203" s="26">
        <f>('Run Parameters'!$B$2) - 7</f>
        <v>43574.333333333336</v>
      </c>
      <c r="AD203" s="15" t="s">
        <v>75</v>
      </c>
      <c r="AE203" s="13" t="str">
        <f t="shared" si="211"/>
        <v>LAST_METER-3717</v>
      </c>
      <c r="AF203" s="133" t="str">
        <f>'Run Parameters'!$B$2</f>
        <v>2019-04-26 08:00</v>
      </c>
      <c r="AG203" s="13" t="str">
        <f>'Run Parameters'!B$4</f>
        <v>AUTOTEST2</v>
      </c>
      <c r="AH203" s="19" t="str">
        <f t="shared" si="212"/>
        <v>Site_Contact_3717</v>
      </c>
      <c r="AI203" s="133" t="str">
        <f>'Run Parameters'!B$2</f>
        <v>2019-04-26 08:00</v>
      </c>
      <c r="AJ203" s="213" t="str">
        <f>'Run Parameters'!B$3</f>
        <v>2019-04-26 18:00</v>
      </c>
      <c r="AK203" s="13" t="s">
        <v>396</v>
      </c>
      <c r="AL203" s="19" t="str">
        <f t="shared" si="213"/>
        <v>011593717</v>
      </c>
      <c r="AM203" s="13" t="str">
        <f t="shared" si="214"/>
        <v>01153717</v>
      </c>
      <c r="AN203" s="15"/>
      <c r="AO203" s="15"/>
      <c r="AP203" s="13">
        <v>1</v>
      </c>
      <c r="AQ203" s="15" t="s">
        <v>49</v>
      </c>
      <c r="AR203" s="15"/>
      <c r="AS203" s="13"/>
      <c r="AT203" s="15" t="s">
        <v>400</v>
      </c>
      <c r="AU203" s="15"/>
      <c r="AV203" s="13">
        <f t="shared" si="215"/>
        <v>3717</v>
      </c>
      <c r="AW203" s="13" t="s">
        <v>858</v>
      </c>
      <c r="AX203" s="13" t="s">
        <v>420</v>
      </c>
      <c r="AY203" s="13" t="s">
        <v>421</v>
      </c>
      <c r="AZ203" s="15" t="s">
        <v>334</v>
      </c>
      <c r="BA203" s="15" t="s">
        <v>154</v>
      </c>
      <c r="BB203" s="13">
        <v>1</v>
      </c>
      <c r="BC203" s="13">
        <f t="shared" si="216"/>
        <v>3717</v>
      </c>
      <c r="BD203" s="15" t="s">
        <v>962</v>
      </c>
      <c r="BE203" s="15" t="s">
        <v>390</v>
      </c>
      <c r="BF203" s="15" t="s">
        <v>390</v>
      </c>
      <c r="BG203" s="13" t="s">
        <v>857</v>
      </c>
      <c r="BH203" s="13" t="str">
        <f t="shared" si="217"/>
        <v>3717_1</v>
      </c>
      <c r="BI203" s="13"/>
      <c r="BJ203" s="13" t="str">
        <f t="shared" si="218"/>
        <v>100000003717</v>
      </c>
      <c r="BK203" s="15" t="s">
        <v>51</v>
      </c>
      <c r="BL203" s="15" t="s">
        <v>54</v>
      </c>
      <c r="BM203" s="13" t="s">
        <v>277</v>
      </c>
      <c r="BN203" s="15" t="s">
        <v>51</v>
      </c>
      <c r="BO203" s="13" t="str">
        <f t="shared" si="219"/>
        <v>S05S3717</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GAS_ENQ_NO-3717</v>
      </c>
      <c r="CK203" s="15" t="s">
        <v>779</v>
      </c>
      <c r="CL203" s="15" t="s">
        <v>391</v>
      </c>
      <c r="CM203" s="15" t="s">
        <v>390</v>
      </c>
      <c r="CN203" s="13" t="s">
        <v>780</v>
      </c>
      <c r="CO203" s="13" t="str">
        <f t="shared" si="221"/>
        <v>GAS_JOB_ID-3717</v>
      </c>
      <c r="CP203" s="15"/>
      <c r="CQ203" s="13" t="str">
        <f t="shared" si="222"/>
        <v>100003717</v>
      </c>
      <c r="CR203" s="13" t="s">
        <v>154</v>
      </c>
      <c r="CS203" s="15" t="s">
        <v>51</v>
      </c>
      <c r="CT203" s="217" t="str">
        <f t="shared" si="223"/>
        <v>GMETER3717</v>
      </c>
      <c r="CU203" s="13" t="s">
        <v>161</v>
      </c>
      <c r="CV203" s="15" t="s">
        <v>165</v>
      </c>
      <c r="CW203" s="15" t="s">
        <v>414</v>
      </c>
      <c r="CX203" s="15"/>
      <c r="CY203" s="15"/>
      <c r="CZ203" s="15" t="s">
        <v>394</v>
      </c>
      <c r="DA203" s="15" t="s">
        <v>395</v>
      </c>
      <c r="DB203" s="13" t="str">
        <f t="shared" si="163"/>
        <v>GAS_INST_ID-3717</v>
      </c>
      <c r="DC203" s="15" t="s">
        <v>161</v>
      </c>
      <c r="DD203" s="15"/>
      <c r="DE203" s="15" t="s">
        <v>51</v>
      </c>
      <c r="DF203" s="15" t="s">
        <v>264</v>
      </c>
      <c r="DG203" s="15"/>
      <c r="DH203" s="15" t="s">
        <v>397</v>
      </c>
      <c r="DI203" s="15" t="s">
        <v>399</v>
      </c>
      <c r="DJ203" s="15" t="s">
        <v>856</v>
      </c>
      <c r="DK203" s="15" t="s">
        <v>140</v>
      </c>
      <c r="DL203" s="218"/>
      <c r="DM203" s="218"/>
      <c r="DN203" s="13" t="str">
        <f t="shared" si="164"/>
        <v>DS_Pass-3717</v>
      </c>
      <c r="DO203" s="15"/>
      <c r="DP203" s="15"/>
      <c r="DQ203" s="15"/>
      <c r="DR203" s="13"/>
      <c r="DS203" s="13"/>
      <c r="DT203" s="15" t="s">
        <v>52</v>
      </c>
      <c r="DU203" s="15"/>
      <c r="DV203" s="15"/>
      <c r="DW203" s="13"/>
      <c r="DX203" s="15" t="s">
        <v>54</v>
      </c>
      <c r="DY203" s="15" t="s">
        <v>61</v>
      </c>
      <c r="DZ203" s="15" t="s">
        <v>402</v>
      </c>
      <c r="EA203" s="19" t="str">
        <f t="shared" si="224"/>
        <v>3717CUSTOMER_ADDRESSEXCH9 ROADCUSTOMER_ADDRESSTESTINGHAMCUSTOMER_ADDRESSTESTINGHAMSHIRE</v>
      </c>
      <c r="EB203" s="15" t="s">
        <v>856</v>
      </c>
      <c r="EC203" s="218"/>
      <c r="ED203" s="218"/>
      <c r="EE203" s="218"/>
    </row>
    <row r="204" spans="1:135" s="219" customFormat="1" x14ac:dyDescent="0.2">
      <c r="A204" s="209" t="s">
        <v>1116</v>
      </c>
      <c r="B204" s="209" t="s">
        <v>892</v>
      </c>
      <c r="C204" s="209" t="s">
        <v>865</v>
      </c>
      <c r="D204" s="13">
        <f>'Run Parameters'!$B$1 + ROW()-1</f>
        <v>3718</v>
      </c>
      <c r="E204" s="15" t="s">
        <v>47</v>
      </c>
      <c r="F204" s="13" t="s">
        <v>1152</v>
      </c>
      <c r="G204" s="13" t="str">
        <f t="shared" ref="G204" si="225">("Access Dtls-" &amp; D204)</f>
        <v>Access Dtls-3718</v>
      </c>
      <c r="H204" s="15" t="s">
        <v>275</v>
      </c>
      <c r="I204" s="13" t="str">
        <f>("MR. Test_195_INST3_"&amp;D204&amp;"")</f>
        <v>MR. Test_195_INST3_3718</v>
      </c>
      <c r="J204" s="13"/>
      <c r="K204" s="19" t="s">
        <v>425</v>
      </c>
      <c r="L204" s="13" t="str">
        <f t="shared" ref="L204" si="226">("Cust. Ref-" &amp; D204)</f>
        <v>Cust. Ref-3718</v>
      </c>
      <c r="M204" s="15" t="s">
        <v>48</v>
      </c>
      <c r="N204" s="15" t="s">
        <v>425</v>
      </c>
      <c r="O204" s="13"/>
      <c r="P204" s="13" t="str">
        <f t="shared" ref="P204" si="227">("SN-" &amp; D204)</f>
        <v>SN-3718</v>
      </c>
      <c r="Q204" s="13" t="str">
        <f t="shared" ref="Q204" si="228">("SI-" &amp; D204)</f>
        <v>SI-3718</v>
      </c>
      <c r="R204" s="13" t="str">
        <f t="shared" ref="R204" si="229">("SE-" &amp; D204)</f>
        <v>SE-3718</v>
      </c>
      <c r="S204" s="19" t="str">
        <f t="shared" ref="S204" si="230">("Prev_RA-" &amp; D204)</f>
        <v>Prev_RA-3718</v>
      </c>
      <c r="T204" s="19" t="str">
        <f t="shared" ref="T204" si="231">("Prev_Comms-" &amp; D204)</f>
        <v>Prev_Comms-3718</v>
      </c>
      <c r="U204" s="15" t="s">
        <v>75</v>
      </c>
      <c r="V204" s="15" t="s">
        <v>401</v>
      </c>
      <c r="W204" s="15" t="s">
        <v>75</v>
      </c>
      <c r="X204" s="15" t="s">
        <v>1101</v>
      </c>
      <c r="Y204" s="13" t="str">
        <f t="shared" ref="Y204" si="232">("Forward Add-" &amp; D204)</f>
        <v>Forward Add-3718</v>
      </c>
      <c r="Z204" s="15" t="s">
        <v>401</v>
      </c>
      <c r="AA204" s="133" t="str">
        <f>'Run Parameters'!$B$2</f>
        <v>2019-04-26 08:00</v>
      </c>
      <c r="AB204" s="213" t="str">
        <f>'Run Parameters'!B$3</f>
        <v>2019-04-26 18:00</v>
      </c>
      <c r="AC204" s="26">
        <f>('Run Parameters'!$B$2) - 7</f>
        <v>43574.333333333336</v>
      </c>
      <c r="AD204" s="15" t="s">
        <v>75</v>
      </c>
      <c r="AE204" s="13" t="str">
        <f t="shared" ref="AE204" si="233">("LAST_METER-" &amp; D204)</f>
        <v>LAST_METER-3718</v>
      </c>
      <c r="AF204" s="133" t="str">
        <f>'Run Parameters'!$B$2</f>
        <v>2019-04-26 08:00</v>
      </c>
      <c r="AG204" s="13" t="str">
        <f>'Run Parameters'!B$4</f>
        <v>AUTOTEST2</v>
      </c>
      <c r="AH204" s="19" t="str">
        <f t="shared" ref="AH204" si="234">("Site_Contact_" &amp; D204)</f>
        <v>Site_Contact_3718</v>
      </c>
      <c r="AI204" s="133" t="str">
        <f>'Run Parameters'!B$2</f>
        <v>2019-04-26 08:00</v>
      </c>
      <c r="AJ204" s="213" t="str">
        <f>'Run Parameters'!B$3</f>
        <v>2019-04-26 18:00</v>
      </c>
      <c r="AK204" s="13" t="s">
        <v>1101</v>
      </c>
      <c r="AL204" s="19" t="str">
        <f t="shared" ref="AL204" si="235">"01159" &amp; D204</f>
        <v>011593718</v>
      </c>
      <c r="AM204" s="13" t="str">
        <f t="shared" ref="AM204" si="236">("0115" &amp; D204)</f>
        <v>01153718</v>
      </c>
      <c r="AN204" s="15"/>
      <c r="AO204" s="15"/>
      <c r="AP204" s="13">
        <v>1</v>
      </c>
      <c r="AQ204" s="15" t="s">
        <v>49</v>
      </c>
      <c r="AR204" s="15"/>
      <c r="AS204" s="13"/>
      <c r="AT204" s="15" t="s">
        <v>400</v>
      </c>
      <c r="AU204" s="15"/>
      <c r="AV204" s="13">
        <f t="shared" ref="AV204" si="237">D204</f>
        <v>3718</v>
      </c>
      <c r="AW204" s="13" t="s">
        <v>1112</v>
      </c>
      <c r="AX204" s="13" t="s">
        <v>420</v>
      </c>
      <c r="AY204" s="13" t="s">
        <v>421</v>
      </c>
      <c r="AZ204" s="15" t="s">
        <v>334</v>
      </c>
      <c r="BA204" s="15" t="s">
        <v>154</v>
      </c>
      <c r="BB204" s="13">
        <v>1</v>
      </c>
      <c r="BC204" s="13">
        <f t="shared" ref="BC204" si="238">D204</f>
        <v>3718</v>
      </c>
      <c r="BD204" s="15" t="s">
        <v>1111</v>
      </c>
      <c r="BE204" s="15" t="s">
        <v>391</v>
      </c>
      <c r="BF204" s="15" t="s">
        <v>390</v>
      </c>
      <c r="BG204" s="13" t="s">
        <v>1152</v>
      </c>
      <c r="BH204" s="13" t="str">
        <f t="shared" ref="BH204" si="239">BC204&amp;"_"&amp;BB204</f>
        <v>3718_1</v>
      </c>
      <c r="BI204" s="13"/>
      <c r="BJ204" s="13" t="str">
        <f t="shared" ref="BJ204" si="240">"10000000" &amp; D204</f>
        <v>100000003718</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1101</v>
      </c>
      <c r="CF204" s="15" t="s">
        <v>398</v>
      </c>
      <c r="CG204" s="15" t="s">
        <v>1113</v>
      </c>
      <c r="CH204" s="15" t="s">
        <v>159</v>
      </c>
      <c r="CI204" s="13">
        <v>1</v>
      </c>
      <c r="CJ204" s="13" t="str">
        <f t="shared" ref="CJ204" si="241">("GAS_ENQ_NO-" &amp; D204)</f>
        <v>GAS_ENQ_NO-3718</v>
      </c>
      <c r="CK204" s="15" t="s">
        <v>165</v>
      </c>
      <c r="CL204" s="15" t="s">
        <v>391</v>
      </c>
      <c r="CM204" s="15" t="s">
        <v>390</v>
      </c>
      <c r="CN204" s="13" t="s">
        <v>1114</v>
      </c>
      <c r="CO204" s="13" t="str">
        <f t="shared" ref="CO204" si="242">("GAS_JOB_ID-" &amp; D204)</f>
        <v>GAS_JOB_ID-3718</v>
      </c>
      <c r="CP204" s="15"/>
      <c r="CQ204" s="13" t="str">
        <f t="shared" ref="CQ204" si="243">"10000" &amp; D204</f>
        <v>100003718</v>
      </c>
      <c r="CR204" s="13"/>
      <c r="CS204" s="15" t="s">
        <v>49</v>
      </c>
      <c r="CT204" s="217"/>
      <c r="CU204" s="13"/>
      <c r="CV204" s="15"/>
      <c r="CW204" s="15"/>
      <c r="CX204" s="15"/>
      <c r="CY204" s="15"/>
      <c r="CZ204" s="15"/>
      <c r="DA204" s="15" t="s">
        <v>395</v>
      </c>
      <c r="DB204" s="13" t="str">
        <f t="shared" si="163"/>
        <v>GAS_INST_ID-3718</v>
      </c>
      <c r="DC204" s="15"/>
      <c r="DD204" s="15"/>
      <c r="DE204" s="15"/>
      <c r="DF204" s="15"/>
      <c r="DG204" s="15"/>
      <c r="DH204" s="15" t="s">
        <v>397</v>
      </c>
      <c r="DI204" s="15" t="s">
        <v>399</v>
      </c>
      <c r="DJ204" s="15" t="s">
        <v>1113</v>
      </c>
      <c r="DK204" s="15" t="s">
        <v>140</v>
      </c>
      <c r="DL204" s="218"/>
      <c r="DM204" s="218"/>
      <c r="DN204" s="13" t="str">
        <f t="shared" si="164"/>
        <v>DS_Pass-3718</v>
      </c>
      <c r="DO204" s="15"/>
      <c r="DP204" s="15"/>
      <c r="DQ204" s="15"/>
      <c r="DR204" s="13"/>
      <c r="DS204" s="13"/>
      <c r="DT204" s="15" t="s">
        <v>52</v>
      </c>
      <c r="DU204" s="15"/>
      <c r="DV204" s="15"/>
      <c r="DW204" s="13"/>
      <c r="DX204" s="15" t="s">
        <v>54</v>
      </c>
      <c r="DY204" s="15" t="s">
        <v>61</v>
      </c>
      <c r="DZ204" s="15" t="s">
        <v>402</v>
      </c>
      <c r="EA204" s="19" t="str">
        <f t="shared" ref="EA204" si="244">CONCATENATE(AV204, $EA$1, AW204, $EA$1, AX204, $EA$1, AY204)</f>
        <v>3718CUSTOMER_ADDRESSINST3 ROADCUSTOMER_ADDRESSTESTINGHAMCUSTOMER_ADDRESSTESTINGHAMSHIRE</v>
      </c>
      <c r="EB204" s="15" t="s">
        <v>1113</v>
      </c>
      <c r="EC204" s="218"/>
      <c r="ED204" s="218"/>
      <c r="EE204" s="218"/>
    </row>
    <row r="205" spans="1:135" s="219" customFormat="1" x14ac:dyDescent="0.2">
      <c r="A205" s="209" t="s">
        <v>1163</v>
      </c>
      <c r="B205" s="209" t="s">
        <v>892</v>
      </c>
      <c r="C205" s="209" t="s">
        <v>865</v>
      </c>
      <c r="D205" s="13">
        <f>'Run Parameters'!$B$1 + ROW()-1</f>
        <v>3719</v>
      </c>
      <c r="E205" s="15" t="s">
        <v>47</v>
      </c>
      <c r="F205" s="13" t="s">
        <v>1152</v>
      </c>
      <c r="G205" s="13" t="str">
        <f t="shared" ref="G205:G216" si="245">("Access Dtls-" &amp; D205)</f>
        <v>Access Dtls-3719</v>
      </c>
      <c r="H205" s="15" t="s">
        <v>275</v>
      </c>
      <c r="I205" s="13" t="str">
        <f>("MR. Test_196_INST3_"&amp;D205&amp;"")</f>
        <v>MR. Test_196_INST3_3719</v>
      </c>
      <c r="J205" s="13"/>
      <c r="K205" s="19" t="s">
        <v>425</v>
      </c>
      <c r="L205" s="13" t="str">
        <f t="shared" ref="L205:L216" si="246">("Cust. Ref-" &amp; D205)</f>
        <v>Cust. Ref-3719</v>
      </c>
      <c r="M205" s="15" t="s">
        <v>48</v>
      </c>
      <c r="N205" s="15" t="s">
        <v>425</v>
      </c>
      <c r="O205" s="13"/>
      <c r="P205" s="13" t="str">
        <f t="shared" ref="P205:P216" si="247">("SN-" &amp; D205)</f>
        <v>SN-3719</v>
      </c>
      <c r="Q205" s="13" t="str">
        <f t="shared" ref="Q205:Q216" si="248">("SI-" &amp; D205)</f>
        <v>SI-3719</v>
      </c>
      <c r="R205" s="13" t="str">
        <f t="shared" ref="R205:R216" si="249">("SE-" &amp; D205)</f>
        <v>SE-3719</v>
      </c>
      <c r="S205" s="19" t="str">
        <f t="shared" ref="S205:S216" si="250">("Prev_RA-" &amp; D205)</f>
        <v>Prev_RA-3719</v>
      </c>
      <c r="T205" s="19" t="str">
        <f t="shared" ref="T205:T216" si="251">("Prev_Comms-" &amp; D205)</f>
        <v>Prev_Comms-3719</v>
      </c>
      <c r="U205" s="15" t="s">
        <v>75</v>
      </c>
      <c r="V205" s="15" t="s">
        <v>401</v>
      </c>
      <c r="W205" s="15" t="s">
        <v>75</v>
      </c>
      <c r="X205" s="15" t="s">
        <v>1101</v>
      </c>
      <c r="Y205" s="13" t="str">
        <f t="shared" ref="Y205:Y216" si="252">("Forward Add-" &amp; D205)</f>
        <v>Forward Add-3719</v>
      </c>
      <c r="Z205" s="15" t="s">
        <v>401</v>
      </c>
      <c r="AA205" s="133" t="str">
        <f>'Run Parameters'!$B$2</f>
        <v>2019-04-26 08:00</v>
      </c>
      <c r="AB205" s="213" t="str">
        <f>'Run Parameters'!B$3</f>
        <v>2019-04-26 18:00</v>
      </c>
      <c r="AC205" s="26">
        <f>('Run Parameters'!$B$2) - 7</f>
        <v>43574.333333333336</v>
      </c>
      <c r="AD205" s="15" t="s">
        <v>75</v>
      </c>
      <c r="AE205" s="13" t="str">
        <f t="shared" ref="AE205:AE216" si="253">("LAST_METER-" &amp; D205)</f>
        <v>LAST_METER-3719</v>
      </c>
      <c r="AF205" s="133" t="str">
        <f>'Run Parameters'!$B$2</f>
        <v>2019-04-26 08:00</v>
      </c>
      <c r="AG205" s="13" t="str">
        <f>'Run Parameters'!B$4</f>
        <v>AUTOTEST2</v>
      </c>
      <c r="AH205" s="19" t="str">
        <f t="shared" ref="AH205:AH216" si="254">("Site_Contact_" &amp; D205)</f>
        <v>Site_Contact_3719</v>
      </c>
      <c r="AI205" s="133" t="str">
        <f>'Run Parameters'!B$2</f>
        <v>2019-04-26 08:00</v>
      </c>
      <c r="AJ205" s="213" t="str">
        <f>'Run Parameters'!B$3</f>
        <v>2019-04-26 18:00</v>
      </c>
      <c r="AK205" s="13" t="s">
        <v>1101</v>
      </c>
      <c r="AL205" s="19" t="str">
        <f t="shared" ref="AL205:AL216" si="255">"01159" &amp; D205</f>
        <v>011593719</v>
      </c>
      <c r="AM205" s="13" t="str">
        <f t="shared" ref="AM205:AM216" si="256">("0115" &amp; D205)</f>
        <v>01153719</v>
      </c>
      <c r="AN205" s="15"/>
      <c r="AO205" s="15"/>
      <c r="AP205" s="13">
        <v>1</v>
      </c>
      <c r="AQ205" s="15" t="s">
        <v>49</v>
      </c>
      <c r="AR205" s="15"/>
      <c r="AS205" s="13"/>
      <c r="AT205" s="15" t="s">
        <v>845</v>
      </c>
      <c r="AU205" s="15"/>
      <c r="AV205" s="13">
        <f t="shared" ref="AV205:AV216" si="257">D205</f>
        <v>3719</v>
      </c>
      <c r="AW205" s="13" t="s">
        <v>1112</v>
      </c>
      <c r="AX205" s="13" t="s">
        <v>420</v>
      </c>
      <c r="AY205" s="13" t="s">
        <v>421</v>
      </c>
      <c r="AZ205" s="15" t="s">
        <v>334</v>
      </c>
      <c r="BA205" s="15" t="s">
        <v>154</v>
      </c>
      <c r="BB205" s="13">
        <v>1</v>
      </c>
      <c r="BC205" s="13">
        <f t="shared" ref="BC205:BC216" si="258">D205</f>
        <v>3719</v>
      </c>
      <c r="BD205" s="15" t="s">
        <v>1111</v>
      </c>
      <c r="BE205" s="15" t="s">
        <v>391</v>
      </c>
      <c r="BF205" s="15" t="s">
        <v>390</v>
      </c>
      <c r="BG205" s="13" t="s">
        <v>1152</v>
      </c>
      <c r="BH205" s="13" t="str">
        <f t="shared" ref="BH205:BH216" si="259">BC205&amp;"_"&amp;BB205</f>
        <v>3719_1</v>
      </c>
      <c r="BI205" s="13"/>
      <c r="BJ205" s="13" t="str">
        <f t="shared" ref="BJ205:BJ216" si="260">"10000000" &amp; D205</f>
        <v>100000003719</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1101</v>
      </c>
      <c r="CF205" s="15" t="s">
        <v>398</v>
      </c>
      <c r="CG205" s="15" t="s">
        <v>1113</v>
      </c>
      <c r="CH205" s="15" t="s">
        <v>159</v>
      </c>
      <c r="CI205" s="13">
        <v>1</v>
      </c>
      <c r="CJ205" s="13" t="str">
        <f t="shared" ref="CJ205:CJ216" si="261">("GAS_ENQ_NO-" &amp; D205)</f>
        <v>GAS_ENQ_NO-3719</v>
      </c>
      <c r="CK205" s="15" t="s">
        <v>165</v>
      </c>
      <c r="CL205" s="15" t="s">
        <v>391</v>
      </c>
      <c r="CM205" s="15" t="s">
        <v>390</v>
      </c>
      <c r="CN205" s="13" t="s">
        <v>1114</v>
      </c>
      <c r="CO205" s="13" t="str">
        <f t="shared" ref="CO205:CO216" si="262">("GAS_JOB_ID-" &amp; D205)</f>
        <v>GAS_JOB_ID-3719</v>
      </c>
      <c r="CP205" s="15"/>
      <c r="CQ205" s="13" t="str">
        <f t="shared" ref="CQ205:CQ216" si="263">"10000" &amp; D205</f>
        <v>100003719</v>
      </c>
      <c r="CR205" s="13"/>
      <c r="CS205" s="15" t="s">
        <v>49</v>
      </c>
      <c r="CT205" s="217"/>
      <c r="CU205" s="13"/>
      <c r="CV205" s="15"/>
      <c r="CW205" s="15"/>
      <c r="CX205" s="15"/>
      <c r="CY205" s="15"/>
      <c r="CZ205" s="15"/>
      <c r="DA205" s="15" t="s">
        <v>395</v>
      </c>
      <c r="DB205" s="13" t="str">
        <f t="shared" si="163"/>
        <v>GAS_INST_ID-3719</v>
      </c>
      <c r="DC205" s="15"/>
      <c r="DD205" s="15"/>
      <c r="DE205" s="15"/>
      <c r="DF205" s="15"/>
      <c r="DG205" s="15"/>
      <c r="DH205" s="15" t="s">
        <v>397</v>
      </c>
      <c r="DI205" s="15" t="s">
        <v>399</v>
      </c>
      <c r="DJ205" s="15" t="s">
        <v>1113</v>
      </c>
      <c r="DK205" s="15" t="s">
        <v>140</v>
      </c>
      <c r="DL205" s="218"/>
      <c r="DM205" s="218"/>
      <c r="DN205" s="13" t="str">
        <f t="shared" si="164"/>
        <v>DS_Pass-3719</v>
      </c>
      <c r="DO205" s="15"/>
      <c r="DP205" s="15"/>
      <c r="DQ205" s="15"/>
      <c r="DR205" s="13"/>
      <c r="DS205" s="13"/>
      <c r="DT205" s="15" t="s">
        <v>52</v>
      </c>
      <c r="DU205" s="15"/>
      <c r="DV205" s="15"/>
      <c r="DW205" s="13"/>
      <c r="DX205" s="15" t="s">
        <v>54</v>
      </c>
      <c r="DY205" s="15" t="s">
        <v>61</v>
      </c>
      <c r="DZ205" s="15" t="s">
        <v>402</v>
      </c>
      <c r="EA205" s="19" t="str">
        <f t="shared" ref="EA205:EA216" si="264">CONCATENATE(AV205, $EA$1, AW205, $EA$1, AX205, $EA$1, AY205)</f>
        <v>3719CUSTOMER_ADDRESSINST3 ROADCUSTOMER_ADDRESSTESTINGHAMCUSTOMER_ADDRESSTESTINGHAMSHIRE</v>
      </c>
      <c r="EB205" s="15" t="s">
        <v>1113</v>
      </c>
      <c r="EC205" s="218"/>
      <c r="ED205" s="218"/>
      <c r="EE205" s="218"/>
    </row>
    <row r="206" spans="1:135" s="219" customFormat="1" x14ac:dyDescent="0.2">
      <c r="A206" s="209" t="s">
        <v>1164</v>
      </c>
      <c r="B206" s="209" t="s">
        <v>892</v>
      </c>
      <c r="C206" s="209" t="s">
        <v>865</v>
      </c>
      <c r="D206" s="13">
        <f>'Run Parameters'!$B$1 + ROW()-1</f>
        <v>3720</v>
      </c>
      <c r="E206" s="15" t="s">
        <v>47</v>
      </c>
      <c r="F206" s="13" t="s">
        <v>1152</v>
      </c>
      <c r="G206" s="13" t="str">
        <f t="shared" si="245"/>
        <v>Access Dtls-3720</v>
      </c>
      <c r="H206" s="15" t="s">
        <v>275</v>
      </c>
      <c r="I206" s="13" t="str">
        <f>("MR. Test_197_INST3_"&amp;D206&amp;"")</f>
        <v>MR. Test_197_INST3_3720</v>
      </c>
      <c r="J206" s="13"/>
      <c r="K206" s="19" t="s">
        <v>425</v>
      </c>
      <c r="L206" s="13" t="str">
        <f t="shared" si="246"/>
        <v>Cust. Ref-3720</v>
      </c>
      <c r="M206" s="15" t="s">
        <v>48</v>
      </c>
      <c r="N206" s="15" t="s">
        <v>425</v>
      </c>
      <c r="O206" s="13"/>
      <c r="P206" s="13" t="str">
        <f t="shared" si="247"/>
        <v>SN-3720</v>
      </c>
      <c r="Q206" s="13" t="str">
        <f t="shared" si="248"/>
        <v>SI-3720</v>
      </c>
      <c r="R206" s="13" t="str">
        <f t="shared" si="249"/>
        <v>SE-3720</v>
      </c>
      <c r="S206" s="19" t="str">
        <f t="shared" si="250"/>
        <v>Prev_RA-3720</v>
      </c>
      <c r="T206" s="19" t="str">
        <f t="shared" si="251"/>
        <v>Prev_Comms-3720</v>
      </c>
      <c r="U206" s="15" t="s">
        <v>75</v>
      </c>
      <c r="V206" s="15" t="s">
        <v>401</v>
      </c>
      <c r="W206" s="15" t="s">
        <v>75</v>
      </c>
      <c r="X206" s="15" t="s">
        <v>1101</v>
      </c>
      <c r="Y206" s="13" t="str">
        <f t="shared" si="252"/>
        <v>Forward Add-3720</v>
      </c>
      <c r="Z206" s="15" t="s">
        <v>401</v>
      </c>
      <c r="AA206" s="133" t="str">
        <f>'Run Parameters'!$B$2</f>
        <v>2019-04-26 08:00</v>
      </c>
      <c r="AB206" s="213" t="str">
        <f>'Run Parameters'!B$3</f>
        <v>2019-04-26 18:00</v>
      </c>
      <c r="AC206" s="26">
        <f>('Run Parameters'!$B$2) - 7</f>
        <v>43574.333333333336</v>
      </c>
      <c r="AD206" s="15" t="s">
        <v>75</v>
      </c>
      <c r="AE206" s="13" t="str">
        <f t="shared" si="253"/>
        <v>LAST_METER-3720</v>
      </c>
      <c r="AF206" s="133" t="str">
        <f>'Run Parameters'!$B$2</f>
        <v>2019-04-26 08:00</v>
      </c>
      <c r="AG206" s="13" t="str">
        <f>'Run Parameters'!B$4</f>
        <v>AUTOTEST2</v>
      </c>
      <c r="AH206" s="19" t="str">
        <f t="shared" si="254"/>
        <v>Site_Contact_3720</v>
      </c>
      <c r="AI206" s="133" t="str">
        <f>'Run Parameters'!B$2</f>
        <v>2019-04-26 08:00</v>
      </c>
      <c r="AJ206" s="213" t="str">
        <f>'Run Parameters'!B$3</f>
        <v>2019-04-26 18:00</v>
      </c>
      <c r="AK206" s="13" t="s">
        <v>1101</v>
      </c>
      <c r="AL206" s="19" t="str">
        <f t="shared" si="255"/>
        <v>011593720</v>
      </c>
      <c r="AM206" s="13" t="str">
        <f t="shared" si="256"/>
        <v>01153720</v>
      </c>
      <c r="AN206" s="15"/>
      <c r="AO206" s="15"/>
      <c r="AP206" s="13">
        <v>1</v>
      </c>
      <c r="AQ206" s="15" t="s">
        <v>49</v>
      </c>
      <c r="AR206" s="15"/>
      <c r="AS206" s="13"/>
      <c r="AT206" s="15" t="s">
        <v>1117</v>
      </c>
      <c r="AU206" s="15"/>
      <c r="AV206" s="13">
        <f t="shared" si="257"/>
        <v>3720</v>
      </c>
      <c r="AW206" s="13" t="s">
        <v>1112</v>
      </c>
      <c r="AX206" s="13" t="s">
        <v>420</v>
      </c>
      <c r="AY206" s="13" t="s">
        <v>421</v>
      </c>
      <c r="AZ206" s="15" t="s">
        <v>334</v>
      </c>
      <c r="BA206" s="15" t="s">
        <v>154</v>
      </c>
      <c r="BB206" s="13">
        <v>1</v>
      </c>
      <c r="BC206" s="13">
        <f t="shared" si="258"/>
        <v>3720</v>
      </c>
      <c r="BD206" s="15" t="s">
        <v>1111</v>
      </c>
      <c r="BE206" s="15" t="s">
        <v>391</v>
      </c>
      <c r="BF206" s="15" t="s">
        <v>390</v>
      </c>
      <c r="BG206" s="13" t="s">
        <v>1152</v>
      </c>
      <c r="BH206" s="13" t="str">
        <f t="shared" si="259"/>
        <v>3720_1</v>
      </c>
      <c r="BI206" s="13"/>
      <c r="BJ206" s="13" t="str">
        <f t="shared" si="260"/>
        <v>100000003720</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1101</v>
      </c>
      <c r="CF206" s="15" t="s">
        <v>398</v>
      </c>
      <c r="CG206" s="15" t="s">
        <v>1113</v>
      </c>
      <c r="CH206" s="15" t="s">
        <v>159</v>
      </c>
      <c r="CI206" s="13">
        <v>1</v>
      </c>
      <c r="CJ206" s="13" t="str">
        <f t="shared" si="261"/>
        <v>GAS_ENQ_NO-3720</v>
      </c>
      <c r="CK206" s="15" t="s">
        <v>165</v>
      </c>
      <c r="CL206" s="15" t="s">
        <v>391</v>
      </c>
      <c r="CM206" s="15" t="s">
        <v>390</v>
      </c>
      <c r="CN206" s="13" t="s">
        <v>1114</v>
      </c>
      <c r="CO206" s="13" t="str">
        <f t="shared" si="262"/>
        <v>GAS_JOB_ID-3720</v>
      </c>
      <c r="CP206" s="15"/>
      <c r="CQ206" s="13" t="str">
        <f t="shared" si="263"/>
        <v>100003720</v>
      </c>
      <c r="CR206" s="13"/>
      <c r="CS206" s="15" t="s">
        <v>49</v>
      </c>
      <c r="CT206" s="217"/>
      <c r="CU206" s="13"/>
      <c r="CV206" s="15"/>
      <c r="CW206" s="15"/>
      <c r="CX206" s="15"/>
      <c r="CY206" s="15"/>
      <c r="CZ206" s="15"/>
      <c r="DA206" s="15" t="s">
        <v>395</v>
      </c>
      <c r="DB206" s="13" t="str">
        <f t="shared" si="163"/>
        <v>GAS_INST_ID-3720</v>
      </c>
      <c r="DC206" s="15"/>
      <c r="DD206" s="15"/>
      <c r="DE206" s="15"/>
      <c r="DF206" s="15"/>
      <c r="DG206" s="15"/>
      <c r="DH206" s="15" t="s">
        <v>397</v>
      </c>
      <c r="DI206" s="15" t="s">
        <v>399</v>
      </c>
      <c r="DJ206" s="15" t="s">
        <v>1113</v>
      </c>
      <c r="DK206" s="15" t="s">
        <v>140</v>
      </c>
      <c r="DL206" s="218"/>
      <c r="DM206" s="218"/>
      <c r="DN206" s="13" t="str">
        <f t="shared" si="164"/>
        <v>DS_Pass-3720</v>
      </c>
      <c r="DO206" s="15"/>
      <c r="DP206" s="15"/>
      <c r="DQ206" s="15"/>
      <c r="DR206" s="13"/>
      <c r="DS206" s="13"/>
      <c r="DT206" s="15" t="s">
        <v>52</v>
      </c>
      <c r="DU206" s="15"/>
      <c r="DV206" s="15"/>
      <c r="DW206" s="13"/>
      <c r="DX206" s="15" t="s">
        <v>54</v>
      </c>
      <c r="DY206" s="15" t="s">
        <v>61</v>
      </c>
      <c r="DZ206" s="15" t="s">
        <v>402</v>
      </c>
      <c r="EA206" s="19" t="str">
        <f t="shared" si="264"/>
        <v>3720CUSTOMER_ADDRESSINST3 ROADCUSTOMER_ADDRESSTESTINGHAMCUSTOMER_ADDRESSTESTINGHAMSHIRE</v>
      </c>
      <c r="EB206" s="15" t="s">
        <v>1113</v>
      </c>
      <c r="EC206" s="218"/>
      <c r="ED206" s="218"/>
      <c r="EE206" s="218"/>
    </row>
    <row r="207" spans="1:135" s="219" customFormat="1" x14ac:dyDescent="0.2">
      <c r="A207" s="209" t="s">
        <v>1126</v>
      </c>
      <c r="B207" s="209" t="s">
        <v>892</v>
      </c>
      <c r="C207" s="209" t="s">
        <v>865</v>
      </c>
      <c r="D207" s="13">
        <f>'Run Parameters'!$B$1 + ROW()-1</f>
        <v>3721</v>
      </c>
      <c r="E207" s="15" t="s">
        <v>47</v>
      </c>
      <c r="F207" s="13" t="s">
        <v>1152</v>
      </c>
      <c r="G207" s="13" t="str">
        <f t="shared" si="245"/>
        <v>Access Dtls-3721</v>
      </c>
      <c r="H207" s="15" t="s">
        <v>275</v>
      </c>
      <c r="I207" s="13" t="str">
        <f>("MR. Test_198_INST3_"&amp;D207&amp;"")</f>
        <v>MR. Test_198_INST3_3721</v>
      </c>
      <c r="J207" s="13"/>
      <c r="K207" s="19" t="s">
        <v>425</v>
      </c>
      <c r="L207" s="13" t="str">
        <f t="shared" si="246"/>
        <v>Cust. Ref-3721</v>
      </c>
      <c r="M207" s="15" t="s">
        <v>48</v>
      </c>
      <c r="N207" s="15" t="s">
        <v>425</v>
      </c>
      <c r="O207" s="13"/>
      <c r="P207" s="13" t="str">
        <f t="shared" si="247"/>
        <v>SN-3721</v>
      </c>
      <c r="Q207" s="13" t="str">
        <f t="shared" si="248"/>
        <v>SI-3721</v>
      </c>
      <c r="R207" s="13" t="str">
        <f t="shared" si="249"/>
        <v>SE-3721</v>
      </c>
      <c r="S207" s="19" t="str">
        <f t="shared" si="250"/>
        <v>Prev_RA-3721</v>
      </c>
      <c r="T207" s="19" t="str">
        <f t="shared" si="251"/>
        <v>Prev_Comms-3721</v>
      </c>
      <c r="U207" s="15" t="s">
        <v>75</v>
      </c>
      <c r="V207" s="15" t="s">
        <v>401</v>
      </c>
      <c r="W207" s="15" t="s">
        <v>75</v>
      </c>
      <c r="X207" s="15" t="s">
        <v>1101</v>
      </c>
      <c r="Y207" s="13" t="str">
        <f t="shared" si="252"/>
        <v>Forward Add-3721</v>
      </c>
      <c r="Z207" s="15" t="s">
        <v>401</v>
      </c>
      <c r="AA207" s="133" t="str">
        <f>'Run Parameters'!$B$2</f>
        <v>2019-04-26 08:00</v>
      </c>
      <c r="AB207" s="213" t="str">
        <f>'Run Parameters'!B$3</f>
        <v>2019-04-26 18:00</v>
      </c>
      <c r="AC207" s="26">
        <f>('Run Parameters'!$B$2) - 7</f>
        <v>43574.333333333336</v>
      </c>
      <c r="AD207" s="15" t="s">
        <v>75</v>
      </c>
      <c r="AE207" s="13" t="str">
        <f t="shared" si="253"/>
        <v>LAST_METER-3721</v>
      </c>
      <c r="AF207" s="133" t="str">
        <f>'Run Parameters'!$B$2</f>
        <v>2019-04-26 08:00</v>
      </c>
      <c r="AG207" s="13" t="str">
        <f>'Run Parameters'!B$4</f>
        <v>AUTOTEST2</v>
      </c>
      <c r="AH207" s="19" t="str">
        <f t="shared" si="254"/>
        <v>Site_Contact_3721</v>
      </c>
      <c r="AI207" s="133" t="str">
        <f>'Run Parameters'!B$2</f>
        <v>2019-04-26 08:00</v>
      </c>
      <c r="AJ207" s="213" t="str">
        <f>'Run Parameters'!B$3</f>
        <v>2019-04-26 18:00</v>
      </c>
      <c r="AK207" s="13" t="s">
        <v>1101</v>
      </c>
      <c r="AL207" s="19" t="str">
        <f t="shared" si="255"/>
        <v>011593721</v>
      </c>
      <c r="AM207" s="13" t="str">
        <f t="shared" si="256"/>
        <v>01153721</v>
      </c>
      <c r="AN207" s="15"/>
      <c r="AO207" s="15"/>
      <c r="AP207" s="13">
        <v>1</v>
      </c>
      <c r="AQ207" s="15" t="s">
        <v>49</v>
      </c>
      <c r="AR207" s="15"/>
      <c r="AS207" s="13"/>
      <c r="AT207" s="15" t="s">
        <v>1118</v>
      </c>
      <c r="AU207" s="15"/>
      <c r="AV207" s="13">
        <f t="shared" si="257"/>
        <v>3721</v>
      </c>
      <c r="AW207" s="13" t="s">
        <v>1112</v>
      </c>
      <c r="AX207" s="13" t="s">
        <v>420</v>
      </c>
      <c r="AY207" s="13" t="s">
        <v>421</v>
      </c>
      <c r="AZ207" s="15" t="s">
        <v>334</v>
      </c>
      <c r="BA207" s="15" t="s">
        <v>154</v>
      </c>
      <c r="BB207" s="13">
        <v>1</v>
      </c>
      <c r="BC207" s="13">
        <f t="shared" si="258"/>
        <v>3721</v>
      </c>
      <c r="BD207" s="15" t="s">
        <v>1111</v>
      </c>
      <c r="BE207" s="15" t="s">
        <v>391</v>
      </c>
      <c r="BF207" s="15" t="s">
        <v>390</v>
      </c>
      <c r="BG207" s="13" t="s">
        <v>1152</v>
      </c>
      <c r="BH207" s="13" t="str">
        <f t="shared" si="259"/>
        <v>3721_1</v>
      </c>
      <c r="BI207" s="13"/>
      <c r="BJ207" s="13" t="str">
        <f t="shared" si="260"/>
        <v>100000003721</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1101</v>
      </c>
      <c r="CF207" s="15" t="s">
        <v>398</v>
      </c>
      <c r="CG207" s="15" t="s">
        <v>1113</v>
      </c>
      <c r="CH207" s="15" t="s">
        <v>159</v>
      </c>
      <c r="CI207" s="13">
        <v>1</v>
      </c>
      <c r="CJ207" s="13" t="str">
        <f t="shared" si="261"/>
        <v>GAS_ENQ_NO-3721</v>
      </c>
      <c r="CK207" s="15" t="s">
        <v>165</v>
      </c>
      <c r="CL207" s="15" t="s">
        <v>391</v>
      </c>
      <c r="CM207" s="15" t="s">
        <v>390</v>
      </c>
      <c r="CN207" s="13" t="s">
        <v>1114</v>
      </c>
      <c r="CO207" s="13" t="str">
        <f t="shared" si="262"/>
        <v>GAS_JOB_ID-3721</v>
      </c>
      <c r="CP207" s="15"/>
      <c r="CQ207" s="13" t="str">
        <f t="shared" si="263"/>
        <v>100003721</v>
      </c>
      <c r="CR207" s="13"/>
      <c r="CS207" s="15" t="s">
        <v>49</v>
      </c>
      <c r="CT207" s="217"/>
      <c r="CU207" s="13"/>
      <c r="CV207" s="15"/>
      <c r="CW207" s="15"/>
      <c r="CX207" s="15"/>
      <c r="CY207" s="15"/>
      <c r="CZ207" s="15"/>
      <c r="DA207" s="15" t="s">
        <v>395</v>
      </c>
      <c r="DB207" s="13" t="str">
        <f t="shared" si="163"/>
        <v>GAS_INST_ID-3721</v>
      </c>
      <c r="DC207" s="15"/>
      <c r="DD207" s="15"/>
      <c r="DE207" s="15"/>
      <c r="DF207" s="15"/>
      <c r="DG207" s="15"/>
      <c r="DH207" s="15" t="s">
        <v>397</v>
      </c>
      <c r="DI207" s="15" t="s">
        <v>399</v>
      </c>
      <c r="DJ207" s="15" t="s">
        <v>1113</v>
      </c>
      <c r="DK207" s="15" t="s">
        <v>140</v>
      </c>
      <c r="DL207" s="218"/>
      <c r="DM207" s="218"/>
      <c r="DN207" s="13" t="str">
        <f t="shared" si="164"/>
        <v>DS_Pass-3721</v>
      </c>
      <c r="DO207" s="15"/>
      <c r="DP207" s="15"/>
      <c r="DQ207" s="15"/>
      <c r="DR207" s="13"/>
      <c r="DS207" s="13"/>
      <c r="DT207" s="15" t="s">
        <v>52</v>
      </c>
      <c r="DU207" s="15"/>
      <c r="DV207" s="15"/>
      <c r="DW207" s="13"/>
      <c r="DX207" s="15" t="s">
        <v>54</v>
      </c>
      <c r="DY207" s="15" t="s">
        <v>61</v>
      </c>
      <c r="DZ207" s="15" t="s">
        <v>402</v>
      </c>
      <c r="EA207" s="19" t="str">
        <f t="shared" si="264"/>
        <v>3721CUSTOMER_ADDRESSINST3 ROADCUSTOMER_ADDRESSTESTINGHAMCUSTOMER_ADDRESSTESTINGHAMSHIRE</v>
      </c>
      <c r="EB207" s="15" t="s">
        <v>1113</v>
      </c>
      <c r="EC207" s="218"/>
      <c r="ED207" s="218"/>
      <c r="EE207" s="218"/>
    </row>
    <row r="208" spans="1:135" s="219" customFormat="1" x14ac:dyDescent="0.2">
      <c r="A208" s="209" t="s">
        <v>1127</v>
      </c>
      <c r="B208" s="209" t="s">
        <v>892</v>
      </c>
      <c r="C208" s="209" t="s">
        <v>865</v>
      </c>
      <c r="D208" s="13">
        <f>'Run Parameters'!$B$1 + ROW()-1</f>
        <v>3722</v>
      </c>
      <c r="E208" s="15" t="s">
        <v>47</v>
      </c>
      <c r="F208" s="13" t="s">
        <v>1152</v>
      </c>
      <c r="G208" s="13" t="str">
        <f t="shared" si="245"/>
        <v>Access Dtls-3722</v>
      </c>
      <c r="H208" s="15" t="s">
        <v>275</v>
      </c>
      <c r="I208" s="13" t="str">
        <f>("MR. Test_199_INST3_"&amp;D208&amp;"")</f>
        <v>MR. Test_199_INST3_3722</v>
      </c>
      <c r="J208" s="13"/>
      <c r="K208" s="19" t="s">
        <v>425</v>
      </c>
      <c r="L208" s="13" t="str">
        <f t="shared" si="246"/>
        <v>Cust. Ref-3722</v>
      </c>
      <c r="M208" s="15" t="s">
        <v>48</v>
      </c>
      <c r="N208" s="15" t="s">
        <v>425</v>
      </c>
      <c r="O208" s="13"/>
      <c r="P208" s="13" t="str">
        <f t="shared" si="247"/>
        <v>SN-3722</v>
      </c>
      <c r="Q208" s="13" t="str">
        <f t="shared" si="248"/>
        <v>SI-3722</v>
      </c>
      <c r="R208" s="13" t="str">
        <f t="shared" si="249"/>
        <v>SE-3722</v>
      </c>
      <c r="S208" s="19" t="str">
        <f t="shared" si="250"/>
        <v>Prev_RA-3722</v>
      </c>
      <c r="T208" s="19" t="str">
        <f t="shared" si="251"/>
        <v>Prev_Comms-3722</v>
      </c>
      <c r="U208" s="15" t="s">
        <v>75</v>
      </c>
      <c r="V208" s="15" t="s">
        <v>401</v>
      </c>
      <c r="W208" s="15" t="s">
        <v>75</v>
      </c>
      <c r="X208" s="15" t="s">
        <v>1101</v>
      </c>
      <c r="Y208" s="13" t="str">
        <f t="shared" si="252"/>
        <v>Forward Add-3722</v>
      </c>
      <c r="Z208" s="15" t="s">
        <v>401</v>
      </c>
      <c r="AA208" s="133" t="str">
        <f>'Run Parameters'!$B$2</f>
        <v>2019-04-26 08:00</v>
      </c>
      <c r="AB208" s="213" t="str">
        <f>'Run Parameters'!B$3</f>
        <v>2019-04-26 18:00</v>
      </c>
      <c r="AC208" s="26">
        <f>('Run Parameters'!$B$2) - 7</f>
        <v>43574.333333333336</v>
      </c>
      <c r="AD208" s="15" t="s">
        <v>75</v>
      </c>
      <c r="AE208" s="13" t="str">
        <f t="shared" si="253"/>
        <v>LAST_METER-3722</v>
      </c>
      <c r="AF208" s="133" t="str">
        <f>'Run Parameters'!$B$2</f>
        <v>2019-04-26 08:00</v>
      </c>
      <c r="AG208" s="13" t="str">
        <f>'Run Parameters'!B$4</f>
        <v>AUTOTEST2</v>
      </c>
      <c r="AH208" s="19" t="str">
        <f t="shared" si="254"/>
        <v>Site_Contact_3722</v>
      </c>
      <c r="AI208" s="133" t="str">
        <f>'Run Parameters'!B$2</f>
        <v>2019-04-26 08:00</v>
      </c>
      <c r="AJ208" s="213" t="str">
        <f>'Run Parameters'!B$3</f>
        <v>2019-04-26 18:00</v>
      </c>
      <c r="AK208" s="13" t="s">
        <v>1101</v>
      </c>
      <c r="AL208" s="19" t="str">
        <f t="shared" si="255"/>
        <v>011593722</v>
      </c>
      <c r="AM208" s="13" t="str">
        <f t="shared" si="256"/>
        <v>01153722</v>
      </c>
      <c r="AN208" s="15"/>
      <c r="AO208" s="15"/>
      <c r="AP208" s="13">
        <v>1</v>
      </c>
      <c r="AQ208" s="15" t="s">
        <v>49</v>
      </c>
      <c r="AR208" s="15"/>
      <c r="AS208" s="13"/>
      <c r="AT208" s="15" t="s">
        <v>1119</v>
      </c>
      <c r="AU208" s="15"/>
      <c r="AV208" s="13">
        <f t="shared" si="257"/>
        <v>3722</v>
      </c>
      <c r="AW208" s="13" t="s">
        <v>1112</v>
      </c>
      <c r="AX208" s="13" t="s">
        <v>420</v>
      </c>
      <c r="AY208" s="13" t="s">
        <v>421</v>
      </c>
      <c r="AZ208" s="15" t="s">
        <v>334</v>
      </c>
      <c r="BA208" s="15" t="s">
        <v>154</v>
      </c>
      <c r="BB208" s="13">
        <v>1</v>
      </c>
      <c r="BC208" s="13">
        <f t="shared" si="258"/>
        <v>3722</v>
      </c>
      <c r="BD208" s="15" t="s">
        <v>1111</v>
      </c>
      <c r="BE208" s="15" t="s">
        <v>391</v>
      </c>
      <c r="BF208" s="15" t="s">
        <v>390</v>
      </c>
      <c r="BG208" s="13" t="s">
        <v>1152</v>
      </c>
      <c r="BH208" s="13" t="str">
        <f t="shared" si="259"/>
        <v>3722_1</v>
      </c>
      <c r="BI208" s="13"/>
      <c r="BJ208" s="13" t="str">
        <f t="shared" si="260"/>
        <v>100000003722</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1101</v>
      </c>
      <c r="CF208" s="15" t="s">
        <v>398</v>
      </c>
      <c r="CG208" s="15" t="s">
        <v>1113</v>
      </c>
      <c r="CH208" s="15" t="s">
        <v>159</v>
      </c>
      <c r="CI208" s="13">
        <v>1</v>
      </c>
      <c r="CJ208" s="13" t="str">
        <f t="shared" si="261"/>
        <v>GAS_ENQ_NO-3722</v>
      </c>
      <c r="CK208" s="15" t="s">
        <v>165</v>
      </c>
      <c r="CL208" s="15" t="s">
        <v>391</v>
      </c>
      <c r="CM208" s="15" t="s">
        <v>390</v>
      </c>
      <c r="CN208" s="13" t="s">
        <v>1114</v>
      </c>
      <c r="CO208" s="13" t="str">
        <f t="shared" si="262"/>
        <v>GAS_JOB_ID-3722</v>
      </c>
      <c r="CP208" s="15"/>
      <c r="CQ208" s="13" t="str">
        <f t="shared" si="263"/>
        <v>100003722</v>
      </c>
      <c r="CR208" s="13"/>
      <c r="CS208" s="15" t="s">
        <v>49</v>
      </c>
      <c r="CT208" s="217"/>
      <c r="CU208" s="13"/>
      <c r="CV208" s="15"/>
      <c r="CW208" s="15"/>
      <c r="CX208" s="15"/>
      <c r="CY208" s="15"/>
      <c r="CZ208" s="15"/>
      <c r="DA208" s="15" t="s">
        <v>395</v>
      </c>
      <c r="DB208" s="13" t="str">
        <f t="shared" si="163"/>
        <v>GAS_INST_ID-3722</v>
      </c>
      <c r="DC208" s="15"/>
      <c r="DD208" s="15"/>
      <c r="DE208" s="15"/>
      <c r="DF208" s="15"/>
      <c r="DG208" s="15"/>
      <c r="DH208" s="15" t="s">
        <v>397</v>
      </c>
      <c r="DI208" s="15" t="s">
        <v>399</v>
      </c>
      <c r="DJ208" s="15" t="s">
        <v>1113</v>
      </c>
      <c r="DK208" s="15" t="s">
        <v>140</v>
      </c>
      <c r="DL208" s="218"/>
      <c r="DM208" s="218"/>
      <c r="DN208" s="13" t="str">
        <f t="shared" si="164"/>
        <v>DS_Pass-3722</v>
      </c>
      <c r="DO208" s="15"/>
      <c r="DP208" s="15"/>
      <c r="DQ208" s="15"/>
      <c r="DR208" s="13"/>
      <c r="DS208" s="13"/>
      <c r="DT208" s="15" t="s">
        <v>52</v>
      </c>
      <c r="DU208" s="15"/>
      <c r="DV208" s="15"/>
      <c r="DW208" s="13"/>
      <c r="DX208" s="15" t="s">
        <v>54</v>
      </c>
      <c r="DY208" s="15" t="s">
        <v>61</v>
      </c>
      <c r="DZ208" s="15" t="s">
        <v>402</v>
      </c>
      <c r="EA208" s="19" t="str">
        <f t="shared" si="264"/>
        <v>3722CUSTOMER_ADDRESSINST3 ROADCUSTOMER_ADDRESSTESTINGHAMCUSTOMER_ADDRESSTESTINGHAMSHIRE</v>
      </c>
      <c r="EB208" s="15" t="s">
        <v>1113</v>
      </c>
      <c r="EC208" s="218"/>
      <c r="ED208" s="218"/>
      <c r="EE208" s="218"/>
    </row>
    <row r="209" spans="1:135" s="219" customFormat="1" x14ac:dyDescent="0.2">
      <c r="A209" s="209" t="s">
        <v>1128</v>
      </c>
      <c r="B209" s="209" t="s">
        <v>892</v>
      </c>
      <c r="C209" s="209" t="s">
        <v>865</v>
      </c>
      <c r="D209" s="13">
        <f>'Run Parameters'!$B$1 + ROW()-1</f>
        <v>3723</v>
      </c>
      <c r="E209" s="15" t="s">
        <v>47</v>
      </c>
      <c r="F209" s="13" t="s">
        <v>1152</v>
      </c>
      <c r="G209" s="13" t="str">
        <f t="shared" si="245"/>
        <v>Access Dtls-3723</v>
      </c>
      <c r="H209" s="15" t="s">
        <v>275</v>
      </c>
      <c r="I209" s="13" t="str">
        <f>("MR. Test_200_INST3_"&amp;D209&amp;"")</f>
        <v>MR. Test_200_INST3_3723</v>
      </c>
      <c r="J209" s="13"/>
      <c r="K209" s="19" t="s">
        <v>425</v>
      </c>
      <c r="L209" s="13" t="str">
        <f t="shared" si="246"/>
        <v>Cust. Ref-3723</v>
      </c>
      <c r="M209" s="15" t="s">
        <v>48</v>
      </c>
      <c r="N209" s="15" t="s">
        <v>425</v>
      </c>
      <c r="O209" s="13"/>
      <c r="P209" s="13" t="str">
        <f t="shared" si="247"/>
        <v>SN-3723</v>
      </c>
      <c r="Q209" s="13" t="str">
        <f t="shared" si="248"/>
        <v>SI-3723</v>
      </c>
      <c r="R209" s="13" t="str">
        <f t="shared" si="249"/>
        <v>SE-3723</v>
      </c>
      <c r="S209" s="19" t="str">
        <f t="shared" si="250"/>
        <v>Prev_RA-3723</v>
      </c>
      <c r="T209" s="19" t="str">
        <f t="shared" si="251"/>
        <v>Prev_Comms-3723</v>
      </c>
      <c r="U209" s="15" t="s">
        <v>75</v>
      </c>
      <c r="V209" s="15" t="s">
        <v>401</v>
      </c>
      <c r="W209" s="15" t="s">
        <v>75</v>
      </c>
      <c r="X209" s="15" t="s">
        <v>1101</v>
      </c>
      <c r="Y209" s="13" t="str">
        <f t="shared" si="252"/>
        <v>Forward Add-3723</v>
      </c>
      <c r="Z209" s="15" t="s">
        <v>401</v>
      </c>
      <c r="AA209" s="133" t="str">
        <f>'Run Parameters'!$B$2</f>
        <v>2019-04-26 08:00</v>
      </c>
      <c r="AB209" s="213" t="str">
        <f>'Run Parameters'!B$3</f>
        <v>2019-04-26 18:00</v>
      </c>
      <c r="AC209" s="26">
        <f>('Run Parameters'!$B$2) - 7</f>
        <v>43574.333333333336</v>
      </c>
      <c r="AD209" s="15" t="s">
        <v>75</v>
      </c>
      <c r="AE209" s="13" t="str">
        <f t="shared" si="253"/>
        <v>LAST_METER-3723</v>
      </c>
      <c r="AF209" s="133" t="str">
        <f>'Run Parameters'!$B$2</f>
        <v>2019-04-26 08:00</v>
      </c>
      <c r="AG209" s="13" t="str">
        <f>'Run Parameters'!B$4</f>
        <v>AUTOTEST2</v>
      </c>
      <c r="AH209" s="19" t="str">
        <f t="shared" si="254"/>
        <v>Site_Contact_3723</v>
      </c>
      <c r="AI209" s="133" t="str">
        <f>'Run Parameters'!B$2</f>
        <v>2019-04-26 08:00</v>
      </c>
      <c r="AJ209" s="213" t="str">
        <f>'Run Parameters'!B$3</f>
        <v>2019-04-26 18:00</v>
      </c>
      <c r="AK209" s="13" t="s">
        <v>1101</v>
      </c>
      <c r="AL209" s="19" t="str">
        <f t="shared" si="255"/>
        <v>011593723</v>
      </c>
      <c r="AM209" s="13" t="str">
        <f t="shared" si="256"/>
        <v>01153723</v>
      </c>
      <c r="AN209" s="15"/>
      <c r="AO209" s="15"/>
      <c r="AP209" s="13">
        <v>1</v>
      </c>
      <c r="AQ209" s="15" t="s">
        <v>49</v>
      </c>
      <c r="AR209" s="15"/>
      <c r="AS209" s="13"/>
      <c r="AT209" s="15" t="s">
        <v>1120</v>
      </c>
      <c r="AU209" s="15"/>
      <c r="AV209" s="13">
        <f t="shared" si="257"/>
        <v>3723</v>
      </c>
      <c r="AW209" s="13" t="s">
        <v>1112</v>
      </c>
      <c r="AX209" s="13" t="s">
        <v>420</v>
      </c>
      <c r="AY209" s="13" t="s">
        <v>421</v>
      </c>
      <c r="AZ209" s="15" t="s">
        <v>334</v>
      </c>
      <c r="BA209" s="15" t="s">
        <v>154</v>
      </c>
      <c r="BB209" s="13">
        <v>1</v>
      </c>
      <c r="BC209" s="13">
        <f t="shared" si="258"/>
        <v>3723</v>
      </c>
      <c r="BD209" s="15" t="s">
        <v>1111</v>
      </c>
      <c r="BE209" s="15" t="s">
        <v>391</v>
      </c>
      <c r="BF209" s="15" t="s">
        <v>390</v>
      </c>
      <c r="BG209" s="13" t="s">
        <v>1152</v>
      </c>
      <c r="BH209" s="13" t="str">
        <f t="shared" si="259"/>
        <v>3723_1</v>
      </c>
      <c r="BI209" s="13"/>
      <c r="BJ209" s="13" t="str">
        <f t="shared" si="260"/>
        <v>100000003723</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1101</v>
      </c>
      <c r="CF209" s="15" t="s">
        <v>398</v>
      </c>
      <c r="CG209" s="15" t="s">
        <v>1113</v>
      </c>
      <c r="CH209" s="15" t="s">
        <v>159</v>
      </c>
      <c r="CI209" s="13">
        <v>1</v>
      </c>
      <c r="CJ209" s="13" t="str">
        <f t="shared" si="261"/>
        <v>GAS_ENQ_NO-3723</v>
      </c>
      <c r="CK209" s="15" t="s">
        <v>165</v>
      </c>
      <c r="CL209" s="15" t="s">
        <v>391</v>
      </c>
      <c r="CM209" s="15" t="s">
        <v>390</v>
      </c>
      <c r="CN209" s="13" t="s">
        <v>1114</v>
      </c>
      <c r="CO209" s="13" t="str">
        <f t="shared" si="262"/>
        <v>GAS_JOB_ID-3723</v>
      </c>
      <c r="CP209" s="15"/>
      <c r="CQ209" s="13" t="str">
        <f t="shared" si="263"/>
        <v>100003723</v>
      </c>
      <c r="CR209" s="13"/>
      <c r="CS209" s="15" t="s">
        <v>49</v>
      </c>
      <c r="CT209" s="217"/>
      <c r="CU209" s="13"/>
      <c r="CV209" s="15"/>
      <c r="CW209" s="15"/>
      <c r="CX209" s="15"/>
      <c r="CY209" s="15"/>
      <c r="CZ209" s="15"/>
      <c r="DA209" s="15" t="s">
        <v>395</v>
      </c>
      <c r="DB209" s="13" t="str">
        <f t="shared" si="163"/>
        <v>GAS_INST_ID-3723</v>
      </c>
      <c r="DC209" s="15"/>
      <c r="DD209" s="15"/>
      <c r="DE209" s="15"/>
      <c r="DF209" s="15"/>
      <c r="DG209" s="15"/>
      <c r="DH209" s="15" t="s">
        <v>397</v>
      </c>
      <c r="DI209" s="15" t="s">
        <v>399</v>
      </c>
      <c r="DJ209" s="15" t="s">
        <v>1113</v>
      </c>
      <c r="DK209" s="15" t="s">
        <v>140</v>
      </c>
      <c r="DL209" s="218"/>
      <c r="DM209" s="218"/>
      <c r="DN209" s="13" t="str">
        <f t="shared" si="164"/>
        <v>DS_Pass-3723</v>
      </c>
      <c r="DO209" s="15"/>
      <c r="DP209" s="15"/>
      <c r="DQ209" s="15"/>
      <c r="DR209" s="13"/>
      <c r="DS209" s="13"/>
      <c r="DT209" s="15" t="s">
        <v>52</v>
      </c>
      <c r="DU209" s="15"/>
      <c r="DV209" s="15"/>
      <c r="DW209" s="13"/>
      <c r="DX209" s="15" t="s">
        <v>54</v>
      </c>
      <c r="DY209" s="15" t="s">
        <v>61</v>
      </c>
      <c r="DZ209" s="15" t="s">
        <v>402</v>
      </c>
      <c r="EA209" s="19" t="str">
        <f t="shared" si="264"/>
        <v>3723CUSTOMER_ADDRESSINST3 ROADCUSTOMER_ADDRESSTESTINGHAMCUSTOMER_ADDRESSTESTINGHAMSHIRE</v>
      </c>
      <c r="EB209" s="15" t="s">
        <v>1113</v>
      </c>
      <c r="EC209" s="218"/>
      <c r="ED209" s="218"/>
      <c r="EE209" s="218"/>
    </row>
    <row r="210" spans="1:135" s="219" customFormat="1" x14ac:dyDescent="0.2">
      <c r="A210" s="209" t="s">
        <v>1129</v>
      </c>
      <c r="B210" s="209" t="s">
        <v>892</v>
      </c>
      <c r="C210" s="209" t="s">
        <v>865</v>
      </c>
      <c r="D210" s="13">
        <f>'Run Parameters'!$B$1 + ROW()-1</f>
        <v>3724</v>
      </c>
      <c r="E210" s="15" t="s">
        <v>47</v>
      </c>
      <c r="F210" s="13" t="s">
        <v>1152</v>
      </c>
      <c r="G210" s="13" t="str">
        <f t="shared" si="245"/>
        <v>Access Dtls-3724</v>
      </c>
      <c r="H210" s="15" t="s">
        <v>275</v>
      </c>
      <c r="I210" s="13" t="str">
        <f>("MR. Test_201_INST3_"&amp;D210&amp;"")</f>
        <v>MR. Test_201_INST3_3724</v>
      </c>
      <c r="J210" s="13"/>
      <c r="K210" s="19" t="s">
        <v>425</v>
      </c>
      <c r="L210" s="13" t="str">
        <f t="shared" si="246"/>
        <v>Cust. Ref-3724</v>
      </c>
      <c r="M210" s="15" t="s">
        <v>48</v>
      </c>
      <c r="N210" s="15" t="s">
        <v>425</v>
      </c>
      <c r="O210" s="13"/>
      <c r="P210" s="13" t="str">
        <f t="shared" si="247"/>
        <v>SN-3724</v>
      </c>
      <c r="Q210" s="13" t="str">
        <f t="shared" si="248"/>
        <v>SI-3724</v>
      </c>
      <c r="R210" s="13" t="str">
        <f t="shared" si="249"/>
        <v>SE-3724</v>
      </c>
      <c r="S210" s="19" t="str">
        <f t="shared" si="250"/>
        <v>Prev_RA-3724</v>
      </c>
      <c r="T210" s="19" t="str">
        <f t="shared" si="251"/>
        <v>Prev_Comms-3724</v>
      </c>
      <c r="U210" s="15" t="s">
        <v>75</v>
      </c>
      <c r="V210" s="15" t="s">
        <v>401</v>
      </c>
      <c r="W210" s="15" t="s">
        <v>75</v>
      </c>
      <c r="X210" s="15" t="s">
        <v>1101</v>
      </c>
      <c r="Y210" s="13" t="str">
        <f t="shared" si="252"/>
        <v>Forward Add-3724</v>
      </c>
      <c r="Z210" s="15" t="s">
        <v>401</v>
      </c>
      <c r="AA210" s="133" t="str">
        <f>'Run Parameters'!$B$2</f>
        <v>2019-04-26 08:00</v>
      </c>
      <c r="AB210" s="213" t="str">
        <f>'Run Parameters'!B$3</f>
        <v>2019-04-26 18:00</v>
      </c>
      <c r="AC210" s="26">
        <f>('Run Parameters'!$B$2) - 7</f>
        <v>43574.333333333336</v>
      </c>
      <c r="AD210" s="15" t="s">
        <v>75</v>
      </c>
      <c r="AE210" s="13" t="str">
        <f t="shared" si="253"/>
        <v>LAST_METER-3724</v>
      </c>
      <c r="AF210" s="133" t="str">
        <f>'Run Parameters'!$B$2</f>
        <v>2019-04-26 08:00</v>
      </c>
      <c r="AG210" s="13" t="str">
        <f>'Run Parameters'!B$4</f>
        <v>AUTOTEST2</v>
      </c>
      <c r="AH210" s="19" t="str">
        <f t="shared" si="254"/>
        <v>Site_Contact_3724</v>
      </c>
      <c r="AI210" s="133" t="str">
        <f>'Run Parameters'!B$2</f>
        <v>2019-04-26 08:00</v>
      </c>
      <c r="AJ210" s="213" t="str">
        <f>'Run Parameters'!B$3</f>
        <v>2019-04-26 18:00</v>
      </c>
      <c r="AK210" s="13" t="s">
        <v>1101</v>
      </c>
      <c r="AL210" s="19" t="str">
        <f t="shared" si="255"/>
        <v>011593724</v>
      </c>
      <c r="AM210" s="13" t="str">
        <f t="shared" si="256"/>
        <v>01153724</v>
      </c>
      <c r="AN210" s="15"/>
      <c r="AO210" s="15"/>
      <c r="AP210" s="13">
        <v>1</v>
      </c>
      <c r="AQ210" s="15" t="s">
        <v>49</v>
      </c>
      <c r="AR210" s="15"/>
      <c r="AS210" s="13"/>
      <c r="AT210" s="15" t="s">
        <v>1121</v>
      </c>
      <c r="AU210" s="15"/>
      <c r="AV210" s="13">
        <f t="shared" si="257"/>
        <v>3724</v>
      </c>
      <c r="AW210" s="13" t="s">
        <v>1112</v>
      </c>
      <c r="AX210" s="13" t="s">
        <v>420</v>
      </c>
      <c r="AY210" s="13" t="s">
        <v>421</v>
      </c>
      <c r="AZ210" s="15" t="s">
        <v>334</v>
      </c>
      <c r="BA210" s="15" t="s">
        <v>154</v>
      </c>
      <c r="BB210" s="13">
        <v>1</v>
      </c>
      <c r="BC210" s="13">
        <f t="shared" si="258"/>
        <v>3724</v>
      </c>
      <c r="BD210" s="15" t="s">
        <v>1111</v>
      </c>
      <c r="BE210" s="15" t="s">
        <v>391</v>
      </c>
      <c r="BF210" s="15" t="s">
        <v>390</v>
      </c>
      <c r="BG210" s="13" t="s">
        <v>1152</v>
      </c>
      <c r="BH210" s="13" t="str">
        <f t="shared" si="259"/>
        <v>3724_1</v>
      </c>
      <c r="BI210" s="13"/>
      <c r="BJ210" s="13" t="str">
        <f t="shared" si="260"/>
        <v>100000003724</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1101</v>
      </c>
      <c r="CF210" s="15" t="s">
        <v>398</v>
      </c>
      <c r="CG210" s="15" t="s">
        <v>1113</v>
      </c>
      <c r="CH210" s="15" t="s">
        <v>159</v>
      </c>
      <c r="CI210" s="13">
        <v>1</v>
      </c>
      <c r="CJ210" s="13" t="str">
        <f t="shared" si="261"/>
        <v>GAS_ENQ_NO-3724</v>
      </c>
      <c r="CK210" s="15" t="s">
        <v>165</v>
      </c>
      <c r="CL210" s="15" t="s">
        <v>391</v>
      </c>
      <c r="CM210" s="15" t="s">
        <v>390</v>
      </c>
      <c r="CN210" s="13" t="s">
        <v>1114</v>
      </c>
      <c r="CO210" s="13" t="str">
        <f t="shared" si="262"/>
        <v>GAS_JOB_ID-3724</v>
      </c>
      <c r="CP210" s="15"/>
      <c r="CQ210" s="13" t="str">
        <f t="shared" si="263"/>
        <v>100003724</v>
      </c>
      <c r="CR210" s="13"/>
      <c r="CS210" s="15" t="s">
        <v>49</v>
      </c>
      <c r="CT210" s="217"/>
      <c r="CU210" s="13"/>
      <c r="CV210" s="15"/>
      <c r="CW210" s="15"/>
      <c r="CX210" s="15"/>
      <c r="CY210" s="15"/>
      <c r="CZ210" s="15"/>
      <c r="DA210" s="15" t="s">
        <v>395</v>
      </c>
      <c r="DB210" s="13" t="str">
        <f t="shared" si="163"/>
        <v>GAS_INST_ID-3724</v>
      </c>
      <c r="DC210" s="15"/>
      <c r="DD210" s="15"/>
      <c r="DE210" s="15"/>
      <c r="DF210" s="15"/>
      <c r="DG210" s="15"/>
      <c r="DH210" s="15" t="s">
        <v>397</v>
      </c>
      <c r="DI210" s="15" t="s">
        <v>399</v>
      </c>
      <c r="DJ210" s="15" t="s">
        <v>1113</v>
      </c>
      <c r="DK210" s="15" t="s">
        <v>140</v>
      </c>
      <c r="DL210" s="218"/>
      <c r="DM210" s="218"/>
      <c r="DN210" s="13" t="str">
        <f t="shared" si="164"/>
        <v>DS_Pass-3724</v>
      </c>
      <c r="DO210" s="15"/>
      <c r="DP210" s="15"/>
      <c r="DQ210" s="15"/>
      <c r="DR210" s="13"/>
      <c r="DS210" s="13"/>
      <c r="DT210" s="15" t="s">
        <v>52</v>
      </c>
      <c r="DU210" s="15"/>
      <c r="DV210" s="15"/>
      <c r="DW210" s="13"/>
      <c r="DX210" s="15" t="s">
        <v>54</v>
      </c>
      <c r="DY210" s="15" t="s">
        <v>61</v>
      </c>
      <c r="DZ210" s="15" t="s">
        <v>402</v>
      </c>
      <c r="EA210" s="19" t="str">
        <f t="shared" si="264"/>
        <v>3724CUSTOMER_ADDRESSINST3 ROADCUSTOMER_ADDRESSTESTINGHAMCUSTOMER_ADDRESSTESTINGHAMSHIRE</v>
      </c>
      <c r="EB210" s="15" t="s">
        <v>1113</v>
      </c>
      <c r="EC210" s="218"/>
      <c r="ED210" s="218"/>
      <c r="EE210" s="218"/>
    </row>
    <row r="211" spans="1:135" s="219" customFormat="1" x14ac:dyDescent="0.2">
      <c r="A211" s="209" t="s">
        <v>1115</v>
      </c>
      <c r="B211" s="209" t="s">
        <v>892</v>
      </c>
      <c r="C211" s="209" t="s">
        <v>865</v>
      </c>
      <c r="D211" s="13">
        <f>'Run Parameters'!$B$1 + ROW()-1</f>
        <v>3725</v>
      </c>
      <c r="E211" s="15" t="s">
        <v>47</v>
      </c>
      <c r="F211" s="13" t="s">
        <v>1152</v>
      </c>
      <c r="G211" s="13" t="str">
        <f t="shared" si="245"/>
        <v>Access Dtls-3725</v>
      </c>
      <c r="H211" s="15" t="s">
        <v>275</v>
      </c>
      <c r="I211" s="13" t="str">
        <f>("MR. Test_202_INST3_"&amp;D211&amp;"")</f>
        <v>MR. Test_202_INST3_3725</v>
      </c>
      <c r="J211" s="13"/>
      <c r="K211" s="19" t="s">
        <v>425</v>
      </c>
      <c r="L211" s="13" t="str">
        <f t="shared" si="246"/>
        <v>Cust. Ref-3725</v>
      </c>
      <c r="M211" s="15" t="s">
        <v>48</v>
      </c>
      <c r="N211" s="15" t="s">
        <v>425</v>
      </c>
      <c r="O211" s="13"/>
      <c r="P211" s="13" t="str">
        <f t="shared" si="247"/>
        <v>SN-3725</v>
      </c>
      <c r="Q211" s="13" t="str">
        <f t="shared" si="248"/>
        <v>SI-3725</v>
      </c>
      <c r="R211" s="13" t="str">
        <f t="shared" si="249"/>
        <v>SE-3725</v>
      </c>
      <c r="S211" s="19" t="str">
        <f t="shared" si="250"/>
        <v>Prev_RA-3725</v>
      </c>
      <c r="T211" s="19" t="str">
        <f t="shared" si="251"/>
        <v>Prev_Comms-3725</v>
      </c>
      <c r="U211" s="15" t="s">
        <v>75</v>
      </c>
      <c r="V211" s="15" t="s">
        <v>401</v>
      </c>
      <c r="W211" s="15" t="s">
        <v>75</v>
      </c>
      <c r="X211" s="15" t="s">
        <v>1101</v>
      </c>
      <c r="Y211" s="13" t="str">
        <f t="shared" si="252"/>
        <v>Forward Add-3725</v>
      </c>
      <c r="Z211" s="15" t="s">
        <v>401</v>
      </c>
      <c r="AA211" s="133" t="str">
        <f>'Run Parameters'!$B$2</f>
        <v>2019-04-26 08:00</v>
      </c>
      <c r="AB211" s="213" t="str">
        <f>'Run Parameters'!B$3</f>
        <v>2019-04-26 18:00</v>
      </c>
      <c r="AC211" s="26">
        <f>('Run Parameters'!$B$2) - 7</f>
        <v>43574.333333333336</v>
      </c>
      <c r="AD211" s="15" t="s">
        <v>75</v>
      </c>
      <c r="AE211" s="13" t="str">
        <f t="shared" si="253"/>
        <v>LAST_METER-3725</v>
      </c>
      <c r="AF211" s="133" t="str">
        <f>'Run Parameters'!$B$2</f>
        <v>2019-04-26 08:00</v>
      </c>
      <c r="AG211" s="13" t="str">
        <f>'Run Parameters'!B$4</f>
        <v>AUTOTEST2</v>
      </c>
      <c r="AH211" s="19" t="str">
        <f t="shared" si="254"/>
        <v>Site_Contact_3725</v>
      </c>
      <c r="AI211" s="133" t="str">
        <f>'Run Parameters'!B$2</f>
        <v>2019-04-26 08:00</v>
      </c>
      <c r="AJ211" s="213" t="str">
        <f>'Run Parameters'!B$3</f>
        <v>2019-04-26 18:00</v>
      </c>
      <c r="AK211" s="13" t="s">
        <v>1101</v>
      </c>
      <c r="AL211" s="19" t="str">
        <f t="shared" si="255"/>
        <v>011593725</v>
      </c>
      <c r="AM211" s="13" t="str">
        <f t="shared" si="256"/>
        <v>01153725</v>
      </c>
      <c r="AN211" s="15"/>
      <c r="AO211" s="15"/>
      <c r="AP211" s="13">
        <v>1</v>
      </c>
      <c r="AQ211" s="15" t="s">
        <v>49</v>
      </c>
      <c r="AR211" s="15"/>
      <c r="AS211" s="13"/>
      <c r="AT211" s="15" t="s">
        <v>1122</v>
      </c>
      <c r="AU211" s="15"/>
      <c r="AV211" s="13">
        <f t="shared" si="257"/>
        <v>3725</v>
      </c>
      <c r="AW211" s="13" t="s">
        <v>1112</v>
      </c>
      <c r="AX211" s="13" t="s">
        <v>420</v>
      </c>
      <c r="AY211" s="13" t="s">
        <v>421</v>
      </c>
      <c r="AZ211" s="15" t="s">
        <v>334</v>
      </c>
      <c r="BA211" s="15" t="s">
        <v>154</v>
      </c>
      <c r="BB211" s="13">
        <v>1</v>
      </c>
      <c r="BC211" s="13">
        <f t="shared" si="258"/>
        <v>3725</v>
      </c>
      <c r="BD211" s="15" t="s">
        <v>1111</v>
      </c>
      <c r="BE211" s="15" t="s">
        <v>391</v>
      </c>
      <c r="BF211" s="15" t="s">
        <v>390</v>
      </c>
      <c r="BG211" s="13" t="s">
        <v>1152</v>
      </c>
      <c r="BH211" s="13" t="str">
        <f t="shared" si="259"/>
        <v>3725_1</v>
      </c>
      <c r="BI211" s="13"/>
      <c r="BJ211" s="13" t="str">
        <f t="shared" si="260"/>
        <v>100000003725</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1101</v>
      </c>
      <c r="CF211" s="15" t="s">
        <v>398</v>
      </c>
      <c r="CG211" s="15" t="s">
        <v>1113</v>
      </c>
      <c r="CH211" s="15" t="s">
        <v>159</v>
      </c>
      <c r="CI211" s="13">
        <v>1</v>
      </c>
      <c r="CJ211" s="13" t="str">
        <f t="shared" si="261"/>
        <v>GAS_ENQ_NO-3725</v>
      </c>
      <c r="CK211" s="15" t="s">
        <v>165</v>
      </c>
      <c r="CL211" s="15" t="s">
        <v>391</v>
      </c>
      <c r="CM211" s="15" t="s">
        <v>390</v>
      </c>
      <c r="CN211" s="13" t="s">
        <v>1114</v>
      </c>
      <c r="CO211" s="13" t="str">
        <f t="shared" si="262"/>
        <v>GAS_JOB_ID-3725</v>
      </c>
      <c r="CP211" s="15"/>
      <c r="CQ211" s="13" t="str">
        <f t="shared" si="263"/>
        <v>100003725</v>
      </c>
      <c r="CR211" s="13"/>
      <c r="CS211" s="15" t="s">
        <v>49</v>
      </c>
      <c r="CT211" s="217"/>
      <c r="CU211" s="13"/>
      <c r="CV211" s="15"/>
      <c r="CW211" s="15"/>
      <c r="CX211" s="15"/>
      <c r="CY211" s="15"/>
      <c r="CZ211" s="15"/>
      <c r="DA211" s="15" t="s">
        <v>395</v>
      </c>
      <c r="DB211" s="13" t="str">
        <f t="shared" si="163"/>
        <v>GAS_INST_ID-3725</v>
      </c>
      <c r="DC211" s="15"/>
      <c r="DD211" s="15"/>
      <c r="DE211" s="15"/>
      <c r="DF211" s="15"/>
      <c r="DG211" s="15"/>
      <c r="DH211" s="15" t="s">
        <v>397</v>
      </c>
      <c r="DI211" s="15" t="s">
        <v>399</v>
      </c>
      <c r="DJ211" s="15" t="s">
        <v>1113</v>
      </c>
      <c r="DK211" s="15" t="s">
        <v>140</v>
      </c>
      <c r="DL211" s="218"/>
      <c r="DM211" s="218"/>
      <c r="DN211" s="13" t="str">
        <f t="shared" si="164"/>
        <v>DS_Pass-3725</v>
      </c>
      <c r="DO211" s="15"/>
      <c r="DP211" s="15"/>
      <c r="DQ211" s="15"/>
      <c r="DR211" s="13"/>
      <c r="DS211" s="13"/>
      <c r="DT211" s="15" t="s">
        <v>52</v>
      </c>
      <c r="DU211" s="15"/>
      <c r="DV211" s="15"/>
      <c r="DW211" s="13"/>
      <c r="DX211" s="15" t="s">
        <v>54</v>
      </c>
      <c r="DY211" s="15" t="s">
        <v>61</v>
      </c>
      <c r="DZ211" s="15" t="s">
        <v>402</v>
      </c>
      <c r="EA211" s="19" t="str">
        <f t="shared" si="264"/>
        <v>3725CUSTOMER_ADDRESSINST3 ROADCUSTOMER_ADDRESSTESTINGHAMCUSTOMER_ADDRESSTESTINGHAMSHIRE</v>
      </c>
      <c r="EB211" s="15" t="s">
        <v>1113</v>
      </c>
      <c r="EC211" s="218"/>
      <c r="ED211" s="218"/>
      <c r="EE211" s="218"/>
    </row>
    <row r="212" spans="1:135" s="219" customFormat="1" x14ac:dyDescent="0.2">
      <c r="A212" s="209" t="s">
        <v>1130</v>
      </c>
      <c r="B212" s="209" t="s">
        <v>892</v>
      </c>
      <c r="C212" s="209" t="s">
        <v>865</v>
      </c>
      <c r="D212" s="13">
        <f>'Run Parameters'!$B$1 + ROW()-1</f>
        <v>3726</v>
      </c>
      <c r="E212" s="15" t="s">
        <v>47</v>
      </c>
      <c r="F212" s="13" t="s">
        <v>1152</v>
      </c>
      <c r="G212" s="13" t="str">
        <f t="shared" si="245"/>
        <v>Access Dtls-3726</v>
      </c>
      <c r="H212" s="15" t="s">
        <v>275</v>
      </c>
      <c r="I212" s="13" t="str">
        <f>("MR. Test_203_INST3_"&amp;D212&amp;"")</f>
        <v>MR. Test_203_INST3_3726</v>
      </c>
      <c r="J212" s="13"/>
      <c r="K212" s="19" t="s">
        <v>425</v>
      </c>
      <c r="L212" s="13" t="str">
        <f t="shared" si="246"/>
        <v>Cust. Ref-3726</v>
      </c>
      <c r="M212" s="15" t="s">
        <v>48</v>
      </c>
      <c r="N212" s="15" t="s">
        <v>425</v>
      </c>
      <c r="O212" s="13"/>
      <c r="P212" s="13" t="str">
        <f t="shared" si="247"/>
        <v>SN-3726</v>
      </c>
      <c r="Q212" s="13" t="str">
        <f t="shared" si="248"/>
        <v>SI-3726</v>
      </c>
      <c r="R212" s="13" t="str">
        <f t="shared" si="249"/>
        <v>SE-3726</v>
      </c>
      <c r="S212" s="19" t="str">
        <f t="shared" si="250"/>
        <v>Prev_RA-3726</v>
      </c>
      <c r="T212" s="19" t="str">
        <f t="shared" si="251"/>
        <v>Prev_Comms-3726</v>
      </c>
      <c r="U212" s="15" t="s">
        <v>75</v>
      </c>
      <c r="V212" s="15" t="s">
        <v>401</v>
      </c>
      <c r="W212" s="15" t="s">
        <v>75</v>
      </c>
      <c r="X212" s="15" t="s">
        <v>1101</v>
      </c>
      <c r="Y212" s="13" t="str">
        <f t="shared" si="252"/>
        <v>Forward Add-3726</v>
      </c>
      <c r="Z212" s="15" t="s">
        <v>401</v>
      </c>
      <c r="AA212" s="133" t="str">
        <f>'Run Parameters'!$B$2</f>
        <v>2019-04-26 08:00</v>
      </c>
      <c r="AB212" s="213" t="str">
        <f>'Run Parameters'!B$3</f>
        <v>2019-04-26 18:00</v>
      </c>
      <c r="AC212" s="26">
        <f>('Run Parameters'!$B$2) - 7</f>
        <v>43574.333333333336</v>
      </c>
      <c r="AD212" s="15" t="s">
        <v>75</v>
      </c>
      <c r="AE212" s="13" t="str">
        <f t="shared" si="253"/>
        <v>LAST_METER-3726</v>
      </c>
      <c r="AF212" s="133" t="str">
        <f>'Run Parameters'!$B$2</f>
        <v>2019-04-26 08:00</v>
      </c>
      <c r="AG212" s="13" t="str">
        <f>'Run Parameters'!B$4</f>
        <v>AUTOTEST2</v>
      </c>
      <c r="AH212" s="19" t="str">
        <f t="shared" si="254"/>
        <v>Site_Contact_3726</v>
      </c>
      <c r="AI212" s="133" t="str">
        <f>'Run Parameters'!B$2</f>
        <v>2019-04-26 08:00</v>
      </c>
      <c r="AJ212" s="213" t="str">
        <f>'Run Parameters'!B$3</f>
        <v>2019-04-26 18:00</v>
      </c>
      <c r="AK212" s="13" t="s">
        <v>1101</v>
      </c>
      <c r="AL212" s="19" t="str">
        <f t="shared" si="255"/>
        <v>011593726</v>
      </c>
      <c r="AM212" s="13" t="str">
        <f t="shared" si="256"/>
        <v>01153726</v>
      </c>
      <c r="AN212" s="15"/>
      <c r="AO212" s="15"/>
      <c r="AP212" s="13">
        <v>1</v>
      </c>
      <c r="AQ212" s="15" t="s">
        <v>49</v>
      </c>
      <c r="AR212" s="15"/>
      <c r="AS212" s="13"/>
      <c r="AT212" s="15" t="s">
        <v>1123</v>
      </c>
      <c r="AU212" s="15"/>
      <c r="AV212" s="13">
        <f t="shared" si="257"/>
        <v>3726</v>
      </c>
      <c r="AW212" s="13" t="s">
        <v>1112</v>
      </c>
      <c r="AX212" s="13" t="s">
        <v>420</v>
      </c>
      <c r="AY212" s="13" t="s">
        <v>421</v>
      </c>
      <c r="AZ212" s="15" t="s">
        <v>334</v>
      </c>
      <c r="BA212" s="15" t="s">
        <v>154</v>
      </c>
      <c r="BB212" s="13">
        <v>1</v>
      </c>
      <c r="BC212" s="13">
        <f t="shared" si="258"/>
        <v>3726</v>
      </c>
      <c r="BD212" s="15" t="s">
        <v>1111</v>
      </c>
      <c r="BE212" s="15" t="s">
        <v>391</v>
      </c>
      <c r="BF212" s="15" t="s">
        <v>390</v>
      </c>
      <c r="BG212" s="13" t="s">
        <v>1152</v>
      </c>
      <c r="BH212" s="13" t="str">
        <f t="shared" si="259"/>
        <v>3726_1</v>
      </c>
      <c r="BI212" s="13"/>
      <c r="BJ212" s="13" t="str">
        <f t="shared" si="260"/>
        <v>100000003726</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1101</v>
      </c>
      <c r="CF212" s="15" t="s">
        <v>398</v>
      </c>
      <c r="CG212" s="15" t="s">
        <v>1113</v>
      </c>
      <c r="CH212" s="15" t="s">
        <v>159</v>
      </c>
      <c r="CI212" s="13">
        <v>1</v>
      </c>
      <c r="CJ212" s="13" t="str">
        <f t="shared" si="261"/>
        <v>GAS_ENQ_NO-3726</v>
      </c>
      <c r="CK212" s="15" t="s">
        <v>165</v>
      </c>
      <c r="CL212" s="15" t="s">
        <v>391</v>
      </c>
      <c r="CM212" s="15" t="s">
        <v>390</v>
      </c>
      <c r="CN212" s="13" t="s">
        <v>1114</v>
      </c>
      <c r="CO212" s="13" t="str">
        <f t="shared" si="262"/>
        <v>GAS_JOB_ID-3726</v>
      </c>
      <c r="CP212" s="15"/>
      <c r="CQ212" s="13" t="str">
        <f t="shared" si="263"/>
        <v>100003726</v>
      </c>
      <c r="CR212" s="13"/>
      <c r="CS212" s="15" t="s">
        <v>49</v>
      </c>
      <c r="CT212" s="217"/>
      <c r="CU212" s="13"/>
      <c r="CV212" s="15"/>
      <c r="CW212" s="15"/>
      <c r="CX212" s="15"/>
      <c r="CY212" s="15"/>
      <c r="CZ212" s="15"/>
      <c r="DA212" s="15" t="s">
        <v>395</v>
      </c>
      <c r="DB212" s="13" t="str">
        <f t="shared" si="163"/>
        <v>GAS_INST_ID-3726</v>
      </c>
      <c r="DC212" s="15"/>
      <c r="DD212" s="15"/>
      <c r="DE212" s="15"/>
      <c r="DF212" s="15"/>
      <c r="DG212" s="15"/>
      <c r="DH212" s="15" t="s">
        <v>397</v>
      </c>
      <c r="DI212" s="15" t="s">
        <v>399</v>
      </c>
      <c r="DJ212" s="15" t="s">
        <v>1113</v>
      </c>
      <c r="DK212" s="15" t="s">
        <v>140</v>
      </c>
      <c r="DL212" s="218"/>
      <c r="DM212" s="218"/>
      <c r="DN212" s="13" t="str">
        <f t="shared" si="164"/>
        <v>DS_Pass-3726</v>
      </c>
      <c r="DO212" s="15"/>
      <c r="DP212" s="15"/>
      <c r="DQ212" s="15"/>
      <c r="DR212" s="13"/>
      <c r="DS212" s="13"/>
      <c r="DT212" s="15" t="s">
        <v>52</v>
      </c>
      <c r="DU212" s="15"/>
      <c r="DV212" s="15"/>
      <c r="DW212" s="13"/>
      <c r="DX212" s="15" t="s">
        <v>54</v>
      </c>
      <c r="DY212" s="15" t="s">
        <v>61</v>
      </c>
      <c r="DZ212" s="15" t="s">
        <v>402</v>
      </c>
      <c r="EA212" s="19" t="str">
        <f t="shared" si="264"/>
        <v>3726CUSTOMER_ADDRESSINST3 ROADCUSTOMER_ADDRESSTESTINGHAMCUSTOMER_ADDRESSTESTINGHAMSHIRE</v>
      </c>
      <c r="EB212" s="15" t="s">
        <v>1113</v>
      </c>
      <c r="EC212" s="218"/>
      <c r="ED212" s="218"/>
      <c r="EE212" s="218"/>
    </row>
    <row r="213" spans="1:135" s="219" customFormat="1" x14ac:dyDescent="0.2">
      <c r="A213" s="209" t="s">
        <v>1131</v>
      </c>
      <c r="B213" s="209" t="s">
        <v>892</v>
      </c>
      <c r="C213" s="209" t="s">
        <v>865</v>
      </c>
      <c r="D213" s="13">
        <f>'Run Parameters'!$B$1 + ROW()-1</f>
        <v>3727</v>
      </c>
      <c r="E213" s="15" t="s">
        <v>47</v>
      </c>
      <c r="F213" s="13" t="s">
        <v>1152</v>
      </c>
      <c r="G213" s="13" t="str">
        <f t="shared" si="245"/>
        <v>Access Dtls-3727</v>
      </c>
      <c r="H213" s="15" t="s">
        <v>275</v>
      </c>
      <c r="I213" s="13" t="str">
        <f>("MR. Test_204_INST3_"&amp;D213&amp;"")</f>
        <v>MR. Test_204_INST3_3727</v>
      </c>
      <c r="J213" s="13"/>
      <c r="K213" s="19" t="s">
        <v>425</v>
      </c>
      <c r="L213" s="13" t="str">
        <f t="shared" si="246"/>
        <v>Cust. Ref-3727</v>
      </c>
      <c r="M213" s="15" t="s">
        <v>48</v>
      </c>
      <c r="N213" s="15" t="s">
        <v>425</v>
      </c>
      <c r="O213" s="13"/>
      <c r="P213" s="13" t="str">
        <f t="shared" si="247"/>
        <v>SN-3727</v>
      </c>
      <c r="Q213" s="13" t="str">
        <f t="shared" si="248"/>
        <v>SI-3727</v>
      </c>
      <c r="R213" s="13" t="str">
        <f t="shared" si="249"/>
        <v>SE-3727</v>
      </c>
      <c r="S213" s="19" t="str">
        <f t="shared" si="250"/>
        <v>Prev_RA-3727</v>
      </c>
      <c r="T213" s="19" t="str">
        <f t="shared" si="251"/>
        <v>Prev_Comms-3727</v>
      </c>
      <c r="U213" s="15" t="s">
        <v>75</v>
      </c>
      <c r="V213" s="15" t="s">
        <v>401</v>
      </c>
      <c r="W213" s="15" t="s">
        <v>75</v>
      </c>
      <c r="X213" s="15" t="s">
        <v>1101</v>
      </c>
      <c r="Y213" s="13" t="str">
        <f t="shared" si="252"/>
        <v>Forward Add-3727</v>
      </c>
      <c r="Z213" s="15" t="s">
        <v>401</v>
      </c>
      <c r="AA213" s="133" t="str">
        <f>'Run Parameters'!$B$2</f>
        <v>2019-04-26 08:00</v>
      </c>
      <c r="AB213" s="213" t="str">
        <f>'Run Parameters'!B$3</f>
        <v>2019-04-26 18:00</v>
      </c>
      <c r="AC213" s="26">
        <f>('Run Parameters'!$B$2) - 7</f>
        <v>43574.333333333336</v>
      </c>
      <c r="AD213" s="15" t="s">
        <v>75</v>
      </c>
      <c r="AE213" s="13" t="str">
        <f t="shared" si="253"/>
        <v>LAST_METER-3727</v>
      </c>
      <c r="AF213" s="133" t="str">
        <f>'Run Parameters'!$B$2</f>
        <v>2019-04-26 08:00</v>
      </c>
      <c r="AG213" s="13" t="str">
        <f>'Run Parameters'!B$4</f>
        <v>AUTOTEST2</v>
      </c>
      <c r="AH213" s="19" t="str">
        <f t="shared" si="254"/>
        <v>Site_Contact_3727</v>
      </c>
      <c r="AI213" s="133" t="str">
        <f>'Run Parameters'!B$2</f>
        <v>2019-04-26 08:00</v>
      </c>
      <c r="AJ213" s="213" t="str">
        <f>'Run Parameters'!B$3</f>
        <v>2019-04-26 18:00</v>
      </c>
      <c r="AK213" s="13" t="s">
        <v>1101</v>
      </c>
      <c r="AL213" s="19" t="str">
        <f t="shared" si="255"/>
        <v>011593727</v>
      </c>
      <c r="AM213" s="13" t="str">
        <f t="shared" si="256"/>
        <v>01153727</v>
      </c>
      <c r="AN213" s="15"/>
      <c r="AO213" s="15"/>
      <c r="AP213" s="13">
        <v>1</v>
      </c>
      <c r="AQ213" s="15" t="s">
        <v>49</v>
      </c>
      <c r="AR213" s="15"/>
      <c r="AS213" s="13"/>
      <c r="AT213" s="15" t="s">
        <v>1124</v>
      </c>
      <c r="AU213" s="15"/>
      <c r="AV213" s="13">
        <f t="shared" si="257"/>
        <v>3727</v>
      </c>
      <c r="AW213" s="13" t="s">
        <v>1112</v>
      </c>
      <c r="AX213" s="13" t="s">
        <v>420</v>
      </c>
      <c r="AY213" s="13" t="s">
        <v>421</v>
      </c>
      <c r="AZ213" s="15" t="s">
        <v>334</v>
      </c>
      <c r="BA213" s="15" t="s">
        <v>154</v>
      </c>
      <c r="BB213" s="13">
        <v>1</v>
      </c>
      <c r="BC213" s="13">
        <f t="shared" si="258"/>
        <v>3727</v>
      </c>
      <c r="BD213" s="15" t="s">
        <v>1111</v>
      </c>
      <c r="BE213" s="15" t="s">
        <v>391</v>
      </c>
      <c r="BF213" s="15" t="s">
        <v>390</v>
      </c>
      <c r="BG213" s="13" t="s">
        <v>1152</v>
      </c>
      <c r="BH213" s="13" t="str">
        <f t="shared" si="259"/>
        <v>3727_1</v>
      </c>
      <c r="BI213" s="13"/>
      <c r="BJ213" s="13" t="str">
        <f t="shared" si="260"/>
        <v>100000003727</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1101</v>
      </c>
      <c r="CF213" s="15" t="s">
        <v>398</v>
      </c>
      <c r="CG213" s="15" t="s">
        <v>1113</v>
      </c>
      <c r="CH213" s="15" t="s">
        <v>159</v>
      </c>
      <c r="CI213" s="13">
        <v>1</v>
      </c>
      <c r="CJ213" s="13" t="str">
        <f t="shared" si="261"/>
        <v>GAS_ENQ_NO-3727</v>
      </c>
      <c r="CK213" s="15" t="s">
        <v>165</v>
      </c>
      <c r="CL213" s="15" t="s">
        <v>391</v>
      </c>
      <c r="CM213" s="15" t="s">
        <v>390</v>
      </c>
      <c r="CN213" s="13" t="s">
        <v>1114</v>
      </c>
      <c r="CO213" s="13" t="str">
        <f t="shared" si="262"/>
        <v>GAS_JOB_ID-3727</v>
      </c>
      <c r="CP213" s="15"/>
      <c r="CQ213" s="13" t="str">
        <f t="shared" si="263"/>
        <v>100003727</v>
      </c>
      <c r="CR213" s="13"/>
      <c r="CS213" s="15" t="s">
        <v>49</v>
      </c>
      <c r="CT213" s="217"/>
      <c r="CU213" s="13"/>
      <c r="CV213" s="15"/>
      <c r="CW213" s="15"/>
      <c r="CX213" s="15"/>
      <c r="CY213" s="15"/>
      <c r="CZ213" s="15"/>
      <c r="DA213" s="15" t="s">
        <v>395</v>
      </c>
      <c r="DB213" s="13" t="str">
        <f t="shared" si="163"/>
        <v>GAS_INST_ID-3727</v>
      </c>
      <c r="DC213" s="15"/>
      <c r="DD213" s="15"/>
      <c r="DE213" s="15"/>
      <c r="DF213" s="15"/>
      <c r="DG213" s="15"/>
      <c r="DH213" s="15" t="s">
        <v>397</v>
      </c>
      <c r="DI213" s="15" t="s">
        <v>399</v>
      </c>
      <c r="DJ213" s="15" t="s">
        <v>1113</v>
      </c>
      <c r="DK213" s="15" t="s">
        <v>140</v>
      </c>
      <c r="DL213" s="218"/>
      <c r="DM213" s="218"/>
      <c r="DN213" s="13" t="str">
        <f t="shared" si="164"/>
        <v>DS_Pass-3727</v>
      </c>
      <c r="DO213" s="15"/>
      <c r="DP213" s="15"/>
      <c r="DQ213" s="15"/>
      <c r="DR213" s="13"/>
      <c r="DS213" s="13"/>
      <c r="DT213" s="15" t="s">
        <v>52</v>
      </c>
      <c r="DU213" s="15"/>
      <c r="DV213" s="15"/>
      <c r="DW213" s="13"/>
      <c r="DX213" s="15" t="s">
        <v>54</v>
      </c>
      <c r="DY213" s="15" t="s">
        <v>61</v>
      </c>
      <c r="DZ213" s="15" t="s">
        <v>402</v>
      </c>
      <c r="EA213" s="19" t="str">
        <f t="shared" si="264"/>
        <v>3727CUSTOMER_ADDRESSINST3 ROADCUSTOMER_ADDRESSTESTINGHAMCUSTOMER_ADDRESSTESTINGHAMSHIRE</v>
      </c>
      <c r="EB213" s="15" t="s">
        <v>1113</v>
      </c>
      <c r="EC213" s="218"/>
      <c r="ED213" s="218"/>
      <c r="EE213" s="218"/>
    </row>
    <row r="214" spans="1:135" s="219" customFormat="1" x14ac:dyDescent="0.2">
      <c r="A214" s="209" t="s">
        <v>1132</v>
      </c>
      <c r="B214" s="209" t="s">
        <v>892</v>
      </c>
      <c r="C214" s="209" t="s">
        <v>865</v>
      </c>
      <c r="D214" s="13">
        <f>'Run Parameters'!$B$1 + ROW()-1</f>
        <v>3728</v>
      </c>
      <c r="E214" s="15" t="s">
        <v>47</v>
      </c>
      <c r="F214" s="13" t="s">
        <v>1152</v>
      </c>
      <c r="G214" s="13" t="str">
        <f t="shared" si="245"/>
        <v>Access Dtls-3728</v>
      </c>
      <c r="H214" s="15" t="s">
        <v>275</v>
      </c>
      <c r="I214" s="13" t="str">
        <f>("MR. Test_205_INST3_"&amp;D214&amp;"")</f>
        <v>MR. Test_205_INST3_3728</v>
      </c>
      <c r="J214" s="13"/>
      <c r="K214" s="19" t="s">
        <v>425</v>
      </c>
      <c r="L214" s="13" t="str">
        <f t="shared" si="246"/>
        <v>Cust. Ref-3728</v>
      </c>
      <c r="M214" s="15" t="s">
        <v>48</v>
      </c>
      <c r="N214" s="15" t="s">
        <v>425</v>
      </c>
      <c r="O214" s="13"/>
      <c r="P214" s="13" t="str">
        <f t="shared" si="247"/>
        <v>SN-3728</v>
      </c>
      <c r="Q214" s="13" t="str">
        <f t="shared" si="248"/>
        <v>SI-3728</v>
      </c>
      <c r="R214" s="13" t="str">
        <f t="shared" si="249"/>
        <v>SE-3728</v>
      </c>
      <c r="S214" s="19" t="str">
        <f t="shared" si="250"/>
        <v>Prev_RA-3728</v>
      </c>
      <c r="T214" s="19" t="str">
        <f t="shared" si="251"/>
        <v>Prev_Comms-3728</v>
      </c>
      <c r="U214" s="15" t="s">
        <v>75</v>
      </c>
      <c r="V214" s="15" t="s">
        <v>401</v>
      </c>
      <c r="W214" s="15" t="s">
        <v>75</v>
      </c>
      <c r="X214" s="15" t="s">
        <v>1101</v>
      </c>
      <c r="Y214" s="13" t="str">
        <f t="shared" si="252"/>
        <v>Forward Add-3728</v>
      </c>
      <c r="Z214" s="15" t="s">
        <v>401</v>
      </c>
      <c r="AA214" s="133" t="str">
        <f>'Run Parameters'!$B$2</f>
        <v>2019-04-26 08:00</v>
      </c>
      <c r="AB214" s="213" t="str">
        <f>'Run Parameters'!B$3</f>
        <v>2019-04-26 18:00</v>
      </c>
      <c r="AC214" s="26">
        <f>('Run Parameters'!$B$2) - 7</f>
        <v>43574.333333333336</v>
      </c>
      <c r="AD214" s="15" t="s">
        <v>75</v>
      </c>
      <c r="AE214" s="13" t="str">
        <f t="shared" si="253"/>
        <v>LAST_METER-3728</v>
      </c>
      <c r="AF214" s="133" t="str">
        <f>'Run Parameters'!$B$2</f>
        <v>2019-04-26 08:00</v>
      </c>
      <c r="AG214" s="13" t="str">
        <f>'Run Parameters'!B$4</f>
        <v>AUTOTEST2</v>
      </c>
      <c r="AH214" s="19" t="str">
        <f t="shared" si="254"/>
        <v>Site_Contact_3728</v>
      </c>
      <c r="AI214" s="133" t="str">
        <f>'Run Parameters'!B$2</f>
        <v>2019-04-26 08:00</v>
      </c>
      <c r="AJ214" s="213" t="str">
        <f>'Run Parameters'!B$3</f>
        <v>2019-04-26 18:00</v>
      </c>
      <c r="AK214" s="13" t="s">
        <v>1101</v>
      </c>
      <c r="AL214" s="19" t="str">
        <f t="shared" si="255"/>
        <v>011593728</v>
      </c>
      <c r="AM214" s="13" t="str">
        <f t="shared" si="256"/>
        <v>01153728</v>
      </c>
      <c r="AN214" s="15"/>
      <c r="AO214" s="15"/>
      <c r="AP214" s="13">
        <v>1</v>
      </c>
      <c r="AQ214" s="15" t="s">
        <v>49</v>
      </c>
      <c r="AR214" s="15"/>
      <c r="AS214" s="13"/>
      <c r="AT214" s="15" t="s">
        <v>774</v>
      </c>
      <c r="AU214" s="15"/>
      <c r="AV214" s="13">
        <f t="shared" si="257"/>
        <v>3728</v>
      </c>
      <c r="AW214" s="13" t="s">
        <v>1112</v>
      </c>
      <c r="AX214" s="13" t="s">
        <v>420</v>
      </c>
      <c r="AY214" s="13" t="s">
        <v>421</v>
      </c>
      <c r="AZ214" s="15" t="s">
        <v>334</v>
      </c>
      <c r="BA214" s="15" t="s">
        <v>154</v>
      </c>
      <c r="BB214" s="13">
        <v>1</v>
      </c>
      <c r="BC214" s="13">
        <f t="shared" si="258"/>
        <v>3728</v>
      </c>
      <c r="BD214" s="15" t="s">
        <v>1111</v>
      </c>
      <c r="BE214" s="15" t="s">
        <v>391</v>
      </c>
      <c r="BF214" s="15" t="s">
        <v>390</v>
      </c>
      <c r="BG214" s="13" t="s">
        <v>1152</v>
      </c>
      <c r="BH214" s="13" t="str">
        <f t="shared" si="259"/>
        <v>3728_1</v>
      </c>
      <c r="BI214" s="13"/>
      <c r="BJ214" s="13" t="str">
        <f t="shared" si="260"/>
        <v>100000003728</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1101</v>
      </c>
      <c r="CF214" s="15" t="s">
        <v>398</v>
      </c>
      <c r="CG214" s="15" t="s">
        <v>1113</v>
      </c>
      <c r="CH214" s="15" t="s">
        <v>159</v>
      </c>
      <c r="CI214" s="13">
        <v>1</v>
      </c>
      <c r="CJ214" s="13" t="str">
        <f t="shared" si="261"/>
        <v>GAS_ENQ_NO-3728</v>
      </c>
      <c r="CK214" s="15" t="s">
        <v>165</v>
      </c>
      <c r="CL214" s="15" t="s">
        <v>391</v>
      </c>
      <c r="CM214" s="15" t="s">
        <v>390</v>
      </c>
      <c r="CN214" s="13" t="s">
        <v>1114</v>
      </c>
      <c r="CO214" s="13" t="str">
        <f t="shared" si="262"/>
        <v>GAS_JOB_ID-3728</v>
      </c>
      <c r="CP214" s="15"/>
      <c r="CQ214" s="13" t="str">
        <f t="shared" si="263"/>
        <v>100003728</v>
      </c>
      <c r="CR214" s="13"/>
      <c r="CS214" s="15" t="s">
        <v>49</v>
      </c>
      <c r="CT214" s="217"/>
      <c r="CU214" s="13"/>
      <c r="CV214" s="15"/>
      <c r="CW214" s="15"/>
      <c r="CX214" s="15"/>
      <c r="CY214" s="15"/>
      <c r="CZ214" s="15"/>
      <c r="DA214" s="15" t="s">
        <v>395</v>
      </c>
      <c r="DB214" s="13" t="str">
        <f t="shared" si="163"/>
        <v>GAS_INST_ID-3728</v>
      </c>
      <c r="DC214" s="15"/>
      <c r="DD214" s="15"/>
      <c r="DE214" s="15"/>
      <c r="DF214" s="15"/>
      <c r="DG214" s="15"/>
      <c r="DH214" s="15" t="s">
        <v>397</v>
      </c>
      <c r="DI214" s="15" t="s">
        <v>399</v>
      </c>
      <c r="DJ214" s="15" t="s">
        <v>1113</v>
      </c>
      <c r="DK214" s="15" t="s">
        <v>140</v>
      </c>
      <c r="DL214" s="218"/>
      <c r="DM214" s="218"/>
      <c r="DN214" s="13" t="str">
        <f t="shared" si="164"/>
        <v>DS_Pass-3728</v>
      </c>
      <c r="DO214" s="15"/>
      <c r="DP214" s="15"/>
      <c r="DQ214" s="15"/>
      <c r="DR214" s="13"/>
      <c r="DS214" s="13"/>
      <c r="DT214" s="15" t="s">
        <v>52</v>
      </c>
      <c r="DU214" s="15"/>
      <c r="DV214" s="15"/>
      <c r="DW214" s="13"/>
      <c r="DX214" s="15" t="s">
        <v>54</v>
      </c>
      <c r="DY214" s="15" t="s">
        <v>61</v>
      </c>
      <c r="DZ214" s="15" t="s">
        <v>402</v>
      </c>
      <c r="EA214" s="19" t="str">
        <f t="shared" si="264"/>
        <v>3728CUSTOMER_ADDRESSINST3 ROADCUSTOMER_ADDRESSTESTINGHAMCUSTOMER_ADDRESSTESTINGHAMSHIRE</v>
      </c>
      <c r="EB214" s="15" t="s">
        <v>1113</v>
      </c>
      <c r="EC214" s="218"/>
      <c r="ED214" s="218"/>
      <c r="EE214" s="218"/>
    </row>
    <row r="215" spans="1:135" s="219" customFormat="1" x14ac:dyDescent="0.2">
      <c r="A215" s="209" t="s">
        <v>1133</v>
      </c>
      <c r="B215" s="209" t="s">
        <v>892</v>
      </c>
      <c r="C215" s="209" t="s">
        <v>865</v>
      </c>
      <c r="D215" s="13">
        <f>'Run Parameters'!$B$1 + ROW()-1</f>
        <v>3729</v>
      </c>
      <c r="E215" s="15" t="s">
        <v>47</v>
      </c>
      <c r="F215" s="13" t="s">
        <v>1152</v>
      </c>
      <c r="G215" s="13" t="str">
        <f t="shared" si="245"/>
        <v>Access Dtls-3729</v>
      </c>
      <c r="H215" s="15" t="s">
        <v>275</v>
      </c>
      <c r="I215" s="13" t="str">
        <f>("MR. Test_206_INST3_"&amp;D215&amp;"")</f>
        <v>MR. Test_206_INST3_3729</v>
      </c>
      <c r="J215" s="13"/>
      <c r="K215" s="19" t="s">
        <v>425</v>
      </c>
      <c r="L215" s="13" t="str">
        <f t="shared" si="246"/>
        <v>Cust. Ref-3729</v>
      </c>
      <c r="M215" s="15" t="s">
        <v>48</v>
      </c>
      <c r="N215" s="15" t="s">
        <v>425</v>
      </c>
      <c r="O215" s="13"/>
      <c r="P215" s="13" t="str">
        <f t="shared" si="247"/>
        <v>SN-3729</v>
      </c>
      <c r="Q215" s="13" t="str">
        <f t="shared" si="248"/>
        <v>SI-3729</v>
      </c>
      <c r="R215" s="13" t="str">
        <f t="shared" si="249"/>
        <v>SE-3729</v>
      </c>
      <c r="S215" s="19" t="str">
        <f t="shared" si="250"/>
        <v>Prev_RA-3729</v>
      </c>
      <c r="T215" s="19" t="str">
        <f t="shared" si="251"/>
        <v>Prev_Comms-3729</v>
      </c>
      <c r="U215" s="15" t="s">
        <v>75</v>
      </c>
      <c r="V215" s="15" t="s">
        <v>401</v>
      </c>
      <c r="W215" s="15" t="s">
        <v>75</v>
      </c>
      <c r="X215" s="15" t="s">
        <v>1101</v>
      </c>
      <c r="Y215" s="13" t="str">
        <f t="shared" si="252"/>
        <v>Forward Add-3729</v>
      </c>
      <c r="Z215" s="15" t="s">
        <v>401</v>
      </c>
      <c r="AA215" s="133" t="str">
        <f>'Run Parameters'!$B$2</f>
        <v>2019-04-26 08:00</v>
      </c>
      <c r="AB215" s="213" t="str">
        <f>'Run Parameters'!B$3</f>
        <v>2019-04-26 18:00</v>
      </c>
      <c r="AC215" s="26">
        <f>('Run Parameters'!$B$2) - 7</f>
        <v>43574.333333333336</v>
      </c>
      <c r="AD215" s="15" t="s">
        <v>75</v>
      </c>
      <c r="AE215" s="13" t="str">
        <f t="shared" si="253"/>
        <v>LAST_METER-3729</v>
      </c>
      <c r="AF215" s="133" t="str">
        <f>'Run Parameters'!$B$2</f>
        <v>2019-04-26 08:00</v>
      </c>
      <c r="AG215" s="13" t="str">
        <f>'Run Parameters'!B$4</f>
        <v>AUTOTEST2</v>
      </c>
      <c r="AH215" s="19" t="str">
        <f t="shared" si="254"/>
        <v>Site_Contact_3729</v>
      </c>
      <c r="AI215" s="133" t="str">
        <f>'Run Parameters'!B$2</f>
        <v>2019-04-26 08:00</v>
      </c>
      <c r="AJ215" s="213" t="str">
        <f>'Run Parameters'!B$3</f>
        <v>2019-04-26 18:00</v>
      </c>
      <c r="AK215" s="13" t="s">
        <v>1101</v>
      </c>
      <c r="AL215" s="19" t="str">
        <f t="shared" si="255"/>
        <v>011593729</v>
      </c>
      <c r="AM215" s="13" t="str">
        <f t="shared" si="256"/>
        <v>01153729</v>
      </c>
      <c r="AN215" s="15"/>
      <c r="AO215" s="15"/>
      <c r="AP215" s="13">
        <v>1</v>
      </c>
      <c r="AQ215" s="15" t="s">
        <v>49</v>
      </c>
      <c r="AR215" s="15"/>
      <c r="AS215" s="13"/>
      <c r="AT215" s="15" t="s">
        <v>1125</v>
      </c>
      <c r="AU215" s="15"/>
      <c r="AV215" s="13">
        <f t="shared" si="257"/>
        <v>3729</v>
      </c>
      <c r="AW215" s="13" t="s">
        <v>1112</v>
      </c>
      <c r="AX215" s="13" t="s">
        <v>420</v>
      </c>
      <c r="AY215" s="13" t="s">
        <v>421</v>
      </c>
      <c r="AZ215" s="15" t="s">
        <v>334</v>
      </c>
      <c r="BA215" s="15" t="s">
        <v>154</v>
      </c>
      <c r="BB215" s="13">
        <v>1</v>
      </c>
      <c r="BC215" s="13">
        <f t="shared" si="258"/>
        <v>3729</v>
      </c>
      <c r="BD215" s="15" t="s">
        <v>1111</v>
      </c>
      <c r="BE215" s="15" t="s">
        <v>391</v>
      </c>
      <c r="BF215" s="15" t="s">
        <v>390</v>
      </c>
      <c r="BG215" s="13" t="s">
        <v>1152</v>
      </c>
      <c r="BH215" s="13" t="str">
        <f t="shared" si="259"/>
        <v>3729_1</v>
      </c>
      <c r="BI215" s="13"/>
      <c r="BJ215" s="13" t="str">
        <f t="shared" si="260"/>
        <v>100000003729</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1101</v>
      </c>
      <c r="CF215" s="15" t="s">
        <v>398</v>
      </c>
      <c r="CG215" s="15" t="s">
        <v>1113</v>
      </c>
      <c r="CH215" s="15" t="s">
        <v>159</v>
      </c>
      <c r="CI215" s="13">
        <v>1</v>
      </c>
      <c r="CJ215" s="13" t="str">
        <f t="shared" si="261"/>
        <v>GAS_ENQ_NO-3729</v>
      </c>
      <c r="CK215" s="15" t="s">
        <v>165</v>
      </c>
      <c r="CL215" s="15" t="s">
        <v>391</v>
      </c>
      <c r="CM215" s="15" t="s">
        <v>390</v>
      </c>
      <c r="CN215" s="13" t="s">
        <v>1114</v>
      </c>
      <c r="CO215" s="13" t="str">
        <f t="shared" si="262"/>
        <v>GAS_JOB_ID-3729</v>
      </c>
      <c r="CP215" s="15"/>
      <c r="CQ215" s="13" t="str">
        <f t="shared" si="263"/>
        <v>100003729</v>
      </c>
      <c r="CR215" s="13"/>
      <c r="CS215" s="15" t="s">
        <v>49</v>
      </c>
      <c r="CT215" s="217"/>
      <c r="CU215" s="13"/>
      <c r="CV215" s="15"/>
      <c r="CW215" s="15"/>
      <c r="CX215" s="15"/>
      <c r="CY215" s="15"/>
      <c r="CZ215" s="15"/>
      <c r="DA215" s="15" t="s">
        <v>395</v>
      </c>
      <c r="DB215" s="13" t="str">
        <f t="shared" si="163"/>
        <v>GAS_INST_ID-3729</v>
      </c>
      <c r="DC215" s="15"/>
      <c r="DD215" s="15"/>
      <c r="DE215" s="15"/>
      <c r="DF215" s="15"/>
      <c r="DG215" s="15"/>
      <c r="DH215" s="15" t="s">
        <v>397</v>
      </c>
      <c r="DI215" s="15" t="s">
        <v>399</v>
      </c>
      <c r="DJ215" s="15" t="s">
        <v>1113</v>
      </c>
      <c r="DK215" s="15" t="s">
        <v>140</v>
      </c>
      <c r="DL215" s="218"/>
      <c r="DM215" s="218"/>
      <c r="DN215" s="13" t="str">
        <f t="shared" si="164"/>
        <v>DS_Pass-3729</v>
      </c>
      <c r="DO215" s="15"/>
      <c r="DP215" s="15"/>
      <c r="DQ215" s="15"/>
      <c r="DR215" s="13"/>
      <c r="DS215" s="13"/>
      <c r="DT215" s="15" t="s">
        <v>52</v>
      </c>
      <c r="DU215" s="15"/>
      <c r="DV215" s="15"/>
      <c r="DW215" s="13"/>
      <c r="DX215" s="15" t="s">
        <v>54</v>
      </c>
      <c r="DY215" s="15" t="s">
        <v>61</v>
      </c>
      <c r="DZ215" s="15" t="s">
        <v>402</v>
      </c>
      <c r="EA215" s="19" t="str">
        <f t="shared" si="264"/>
        <v>3729CUSTOMER_ADDRESSINST3 ROADCUSTOMER_ADDRESSTESTINGHAMCUSTOMER_ADDRESSTESTINGHAMSHIRE</v>
      </c>
      <c r="EB215" s="15" t="s">
        <v>1113</v>
      </c>
      <c r="EC215" s="218"/>
      <c r="ED215" s="218"/>
      <c r="EE215" s="218"/>
    </row>
    <row r="216" spans="1:135" s="219" customFormat="1" x14ac:dyDescent="0.2">
      <c r="A216" s="209" t="s">
        <v>1134</v>
      </c>
      <c r="B216" s="209" t="s">
        <v>892</v>
      </c>
      <c r="C216" s="209" t="s">
        <v>865</v>
      </c>
      <c r="D216" s="13">
        <f>'Run Parameters'!$B$1 + ROW()-1</f>
        <v>3730</v>
      </c>
      <c r="E216" s="15" t="s">
        <v>47</v>
      </c>
      <c r="F216" s="13" t="s">
        <v>1151</v>
      </c>
      <c r="G216" s="13" t="str">
        <f t="shared" si="245"/>
        <v>Access Dtls-3730</v>
      </c>
      <c r="H216" s="15" t="s">
        <v>275</v>
      </c>
      <c r="I216" s="13" t="str">
        <f>("MR. Test_207_INST12_"&amp;D216&amp;"")</f>
        <v>MR. Test_207_INST12_3730</v>
      </c>
      <c r="J216" s="13"/>
      <c r="K216" s="19" t="s">
        <v>425</v>
      </c>
      <c r="L216" s="13" t="str">
        <f t="shared" si="246"/>
        <v>Cust. Ref-3730</v>
      </c>
      <c r="M216" s="15" t="s">
        <v>48</v>
      </c>
      <c r="N216" s="15" t="s">
        <v>425</v>
      </c>
      <c r="O216" s="13"/>
      <c r="P216" s="13" t="str">
        <f t="shared" si="247"/>
        <v>SN-3730</v>
      </c>
      <c r="Q216" s="13" t="str">
        <f t="shared" si="248"/>
        <v>SI-3730</v>
      </c>
      <c r="R216" s="13" t="str">
        <f t="shared" si="249"/>
        <v>SE-3730</v>
      </c>
      <c r="S216" s="19" t="str">
        <f t="shared" si="250"/>
        <v>Prev_RA-3730</v>
      </c>
      <c r="T216" s="19" t="str">
        <f t="shared" si="251"/>
        <v>Prev_Comms-3730</v>
      </c>
      <c r="U216" s="15" t="s">
        <v>75</v>
      </c>
      <c r="V216" s="15" t="s">
        <v>401</v>
      </c>
      <c r="W216" s="15" t="s">
        <v>75</v>
      </c>
      <c r="X216" s="15" t="s">
        <v>1101</v>
      </c>
      <c r="Y216" s="13" t="str">
        <f t="shared" si="252"/>
        <v>Forward Add-3730</v>
      </c>
      <c r="Z216" s="15" t="s">
        <v>401</v>
      </c>
      <c r="AA216" s="133" t="str">
        <f>'Run Parameters'!$B$2</f>
        <v>2019-04-26 08:00</v>
      </c>
      <c r="AB216" s="213" t="str">
        <f>'Run Parameters'!B$3</f>
        <v>2019-04-26 18:00</v>
      </c>
      <c r="AC216" s="26">
        <f>('Run Parameters'!$B$2) - 7</f>
        <v>43574.333333333336</v>
      </c>
      <c r="AD216" s="15" t="s">
        <v>75</v>
      </c>
      <c r="AE216" s="13" t="str">
        <f t="shared" si="253"/>
        <v>LAST_METER-3730</v>
      </c>
      <c r="AF216" s="133" t="str">
        <f>'Run Parameters'!$B$2</f>
        <v>2019-04-26 08:00</v>
      </c>
      <c r="AG216" s="13" t="str">
        <f>'Run Parameters'!B$4</f>
        <v>AUTOTEST2</v>
      </c>
      <c r="AH216" s="19" t="str">
        <f t="shared" si="254"/>
        <v>Site_Contact_3730</v>
      </c>
      <c r="AI216" s="133" t="str">
        <f>'Run Parameters'!B$2</f>
        <v>2019-04-26 08:00</v>
      </c>
      <c r="AJ216" s="213" t="str">
        <f>'Run Parameters'!B$3</f>
        <v>2019-04-26 18:00</v>
      </c>
      <c r="AK216" s="13" t="s">
        <v>1101</v>
      </c>
      <c r="AL216" s="19" t="str">
        <f t="shared" si="255"/>
        <v>011593730</v>
      </c>
      <c r="AM216" s="13" t="str">
        <f t="shared" si="256"/>
        <v>01153730</v>
      </c>
      <c r="AN216" s="15"/>
      <c r="AO216" s="15"/>
      <c r="AP216" s="13">
        <v>1</v>
      </c>
      <c r="AQ216" s="15" t="s">
        <v>49</v>
      </c>
      <c r="AR216" s="15"/>
      <c r="AS216" s="13"/>
      <c r="AT216" s="15" t="s">
        <v>400</v>
      </c>
      <c r="AU216" s="15"/>
      <c r="AV216" s="13">
        <f t="shared" si="257"/>
        <v>3730</v>
      </c>
      <c r="AW216" s="13" t="s">
        <v>1149</v>
      </c>
      <c r="AX216" s="13" t="s">
        <v>420</v>
      </c>
      <c r="AY216" s="13" t="s">
        <v>421</v>
      </c>
      <c r="AZ216" s="15" t="s">
        <v>334</v>
      </c>
      <c r="BA216" s="15" t="s">
        <v>154</v>
      </c>
      <c r="BB216" s="13">
        <v>1</v>
      </c>
      <c r="BC216" s="13">
        <f t="shared" si="258"/>
        <v>3730</v>
      </c>
      <c r="BD216" s="15" t="s">
        <v>1150</v>
      </c>
      <c r="BE216" s="15" t="s">
        <v>391</v>
      </c>
      <c r="BF216" s="15" t="s">
        <v>390</v>
      </c>
      <c r="BG216" s="13" t="s">
        <v>1151</v>
      </c>
      <c r="BH216" s="13" t="str">
        <f t="shared" si="259"/>
        <v>3730_1</v>
      </c>
      <c r="BI216" s="13"/>
      <c r="BJ216" s="13" t="str">
        <f t="shared" si="260"/>
        <v>100000003730</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1101</v>
      </c>
      <c r="CF216" s="15" t="s">
        <v>398</v>
      </c>
      <c r="CG216" s="15" t="s">
        <v>1153</v>
      </c>
      <c r="CH216" s="15" t="s">
        <v>159</v>
      </c>
      <c r="CI216" s="13">
        <v>1</v>
      </c>
      <c r="CJ216" s="13" t="str">
        <f t="shared" si="261"/>
        <v>GAS_ENQ_NO-3730</v>
      </c>
      <c r="CK216" s="15" t="s">
        <v>779</v>
      </c>
      <c r="CL216" s="15" t="s">
        <v>391</v>
      </c>
      <c r="CM216" s="15" t="s">
        <v>390</v>
      </c>
      <c r="CN216" s="13" t="s">
        <v>1114</v>
      </c>
      <c r="CO216" s="13" t="str">
        <f t="shared" si="262"/>
        <v>GAS_JOB_ID-3730</v>
      </c>
      <c r="CP216" s="15"/>
      <c r="CQ216" s="13" t="str">
        <f t="shared" si="263"/>
        <v>100003730</v>
      </c>
      <c r="CR216" s="13"/>
      <c r="CS216" s="15" t="s">
        <v>49</v>
      </c>
      <c r="CT216" s="217"/>
      <c r="CU216" s="13"/>
      <c r="CV216" s="15"/>
      <c r="CW216" s="15"/>
      <c r="CX216" s="15"/>
      <c r="CY216" s="15"/>
      <c r="CZ216" s="15"/>
      <c r="DA216" s="15" t="s">
        <v>395</v>
      </c>
      <c r="DB216" s="13" t="str">
        <f t="shared" si="163"/>
        <v>GAS_INST_ID-3730</v>
      </c>
      <c r="DC216" s="15"/>
      <c r="DD216" s="15"/>
      <c r="DE216" s="15"/>
      <c r="DF216" s="15"/>
      <c r="DG216" s="15"/>
      <c r="DH216" s="15" t="s">
        <v>397</v>
      </c>
      <c r="DI216" s="15" t="s">
        <v>399</v>
      </c>
      <c r="DJ216" s="15" t="s">
        <v>1113</v>
      </c>
      <c r="DK216" s="15" t="s">
        <v>140</v>
      </c>
      <c r="DL216" s="218"/>
      <c r="DM216" s="218"/>
      <c r="DN216" s="13" t="str">
        <f t="shared" si="164"/>
        <v>DS_Pass-3730</v>
      </c>
      <c r="DO216" s="15"/>
      <c r="DP216" s="15"/>
      <c r="DQ216" s="15"/>
      <c r="DR216" s="13"/>
      <c r="DS216" s="13"/>
      <c r="DT216" s="15" t="s">
        <v>52</v>
      </c>
      <c r="DU216" s="15"/>
      <c r="DV216" s="15"/>
      <c r="DW216" s="13"/>
      <c r="DX216" s="15" t="s">
        <v>54</v>
      </c>
      <c r="DY216" s="15" t="s">
        <v>61</v>
      </c>
      <c r="DZ216" s="15" t="s">
        <v>402</v>
      </c>
      <c r="EA216" s="19" t="str">
        <f t="shared" si="264"/>
        <v>3730CUSTOMER_ADDRESSINST12 ROADCUSTOMER_ADDRESSTESTINGHAMCUSTOMER_ADDRESSTESTINGHAMSHIRE</v>
      </c>
      <c r="EB216" s="15" t="s">
        <v>1113</v>
      </c>
      <c r="EC216" s="218"/>
      <c r="ED216" s="218"/>
      <c r="EE216" s="218"/>
    </row>
    <row r="217" spans="1:135" s="219" customFormat="1" x14ac:dyDescent="0.2">
      <c r="A217" s="209" t="s">
        <v>1154</v>
      </c>
      <c r="B217" s="209" t="s">
        <v>892</v>
      </c>
      <c r="C217" s="209" t="s">
        <v>865</v>
      </c>
      <c r="D217" s="13">
        <f>'Run Parameters'!$B$1 + ROW()-1</f>
        <v>3731</v>
      </c>
      <c r="E217" s="15" t="s">
        <v>47</v>
      </c>
      <c r="F217" s="13" t="s">
        <v>1151</v>
      </c>
      <c r="G217" s="13" t="str">
        <f t="shared" ref="G217:G227" si="265">("Access Dtls-" &amp; D217)</f>
        <v>Access Dtls-3731</v>
      </c>
      <c r="H217" s="15" t="s">
        <v>275</v>
      </c>
      <c r="I217" s="13" t="str">
        <f>("MR. Test_208_INST12_"&amp;D217&amp;"")</f>
        <v>MR. Test_208_INST12_3731</v>
      </c>
      <c r="J217" s="13"/>
      <c r="K217" s="19" t="s">
        <v>425</v>
      </c>
      <c r="L217" s="13" t="str">
        <f t="shared" ref="L217:L227" si="266">("Cust. Ref-" &amp; D217)</f>
        <v>Cust. Ref-3731</v>
      </c>
      <c r="M217" s="15" t="s">
        <v>48</v>
      </c>
      <c r="N217" s="15" t="s">
        <v>425</v>
      </c>
      <c r="O217" s="13"/>
      <c r="P217" s="13" t="str">
        <f t="shared" ref="P217:P227" si="267">("SN-" &amp; D217)</f>
        <v>SN-3731</v>
      </c>
      <c r="Q217" s="13" t="str">
        <f t="shared" ref="Q217:Q227" si="268">("SI-" &amp; D217)</f>
        <v>SI-3731</v>
      </c>
      <c r="R217" s="13" t="str">
        <f t="shared" ref="R217:R227" si="269">("SE-" &amp; D217)</f>
        <v>SE-3731</v>
      </c>
      <c r="S217" s="19" t="str">
        <f t="shared" ref="S217:S227" si="270">("Prev_RA-" &amp; D217)</f>
        <v>Prev_RA-3731</v>
      </c>
      <c r="T217" s="19" t="str">
        <f t="shared" ref="T217:T227" si="271">("Prev_Comms-" &amp; D217)</f>
        <v>Prev_Comms-3731</v>
      </c>
      <c r="U217" s="15" t="s">
        <v>75</v>
      </c>
      <c r="V217" s="15" t="s">
        <v>401</v>
      </c>
      <c r="W217" s="15" t="s">
        <v>75</v>
      </c>
      <c r="X217" s="15" t="s">
        <v>1101</v>
      </c>
      <c r="Y217" s="13" t="str">
        <f t="shared" ref="Y217:Y227" si="272">("Forward Add-" &amp; D217)</f>
        <v>Forward Add-3731</v>
      </c>
      <c r="Z217" s="15" t="s">
        <v>401</v>
      </c>
      <c r="AA217" s="133" t="str">
        <f>'Run Parameters'!$B$2</f>
        <v>2019-04-26 08:00</v>
      </c>
      <c r="AB217" s="213" t="str">
        <f>'Run Parameters'!B$3</f>
        <v>2019-04-26 18:00</v>
      </c>
      <c r="AC217" s="26">
        <f>('Run Parameters'!$B$2) - 7</f>
        <v>43574.333333333336</v>
      </c>
      <c r="AD217" s="15" t="s">
        <v>75</v>
      </c>
      <c r="AE217" s="13" t="str">
        <f t="shared" ref="AE217:AE227" si="273">("LAST_METER-" &amp; D217)</f>
        <v>LAST_METER-3731</v>
      </c>
      <c r="AF217" s="133" t="str">
        <f>'Run Parameters'!$B$2</f>
        <v>2019-04-26 08:00</v>
      </c>
      <c r="AG217" s="13" t="str">
        <f>'Run Parameters'!B$4</f>
        <v>AUTOTEST2</v>
      </c>
      <c r="AH217" s="19" t="str">
        <f t="shared" ref="AH217:AH227" si="274">("Site_Contact_" &amp; D217)</f>
        <v>Site_Contact_3731</v>
      </c>
      <c r="AI217" s="133" t="str">
        <f>'Run Parameters'!B$2</f>
        <v>2019-04-26 08:00</v>
      </c>
      <c r="AJ217" s="213" t="str">
        <f>'Run Parameters'!B$3</f>
        <v>2019-04-26 18:00</v>
      </c>
      <c r="AK217" s="13" t="s">
        <v>1101</v>
      </c>
      <c r="AL217" s="19" t="str">
        <f t="shared" ref="AL217:AL227" si="275">"01159" &amp; D217</f>
        <v>011593731</v>
      </c>
      <c r="AM217" s="13" t="str">
        <f t="shared" ref="AM217:AM227" si="276">("0115" &amp; D217)</f>
        <v>01153731</v>
      </c>
      <c r="AN217" s="15"/>
      <c r="AO217" s="15"/>
      <c r="AP217" s="13">
        <v>1</v>
      </c>
      <c r="AQ217" s="15" t="s">
        <v>49</v>
      </c>
      <c r="AR217" s="15"/>
      <c r="AS217" s="13"/>
      <c r="AT217" s="15" t="s">
        <v>845</v>
      </c>
      <c r="AU217" s="15"/>
      <c r="AV217" s="13">
        <f t="shared" ref="AV217:AV227" si="277">D217</f>
        <v>3731</v>
      </c>
      <c r="AW217" s="13" t="s">
        <v>1149</v>
      </c>
      <c r="AX217" s="13" t="s">
        <v>420</v>
      </c>
      <c r="AY217" s="13" t="s">
        <v>421</v>
      </c>
      <c r="AZ217" s="15" t="s">
        <v>334</v>
      </c>
      <c r="BA217" s="15" t="s">
        <v>154</v>
      </c>
      <c r="BB217" s="13">
        <v>1</v>
      </c>
      <c r="BC217" s="13">
        <f t="shared" ref="BC217:BC227" si="278">D217</f>
        <v>3731</v>
      </c>
      <c r="BD217" s="15" t="s">
        <v>1150</v>
      </c>
      <c r="BE217" s="15" t="s">
        <v>391</v>
      </c>
      <c r="BF217" s="15" t="s">
        <v>390</v>
      </c>
      <c r="BG217" s="13" t="s">
        <v>1151</v>
      </c>
      <c r="BH217" s="13" t="str">
        <f t="shared" ref="BH217:BH227" si="279">BC217&amp;"_"&amp;BB217</f>
        <v>3731_1</v>
      </c>
      <c r="BI217" s="13"/>
      <c r="BJ217" s="13" t="str">
        <f t="shared" ref="BJ217:BJ227" si="280">"10000000" &amp; D217</f>
        <v>100000003731</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1101</v>
      </c>
      <c r="CF217" s="15" t="s">
        <v>398</v>
      </c>
      <c r="CG217" s="15" t="s">
        <v>1153</v>
      </c>
      <c r="CH217" s="15" t="s">
        <v>159</v>
      </c>
      <c r="CI217" s="13">
        <v>1</v>
      </c>
      <c r="CJ217" s="13" t="str">
        <f t="shared" ref="CJ217:CJ227" si="281">("GAS_ENQ_NO-" &amp; D217)</f>
        <v>GAS_ENQ_NO-3731</v>
      </c>
      <c r="CK217" s="15" t="s">
        <v>779</v>
      </c>
      <c r="CL217" s="15" t="s">
        <v>391</v>
      </c>
      <c r="CM217" s="15" t="s">
        <v>390</v>
      </c>
      <c r="CN217" s="13" t="s">
        <v>1114</v>
      </c>
      <c r="CO217" s="13" t="str">
        <f t="shared" ref="CO217:CO227" si="282">("GAS_JOB_ID-" &amp; D217)</f>
        <v>GAS_JOB_ID-3731</v>
      </c>
      <c r="CP217" s="15"/>
      <c r="CQ217" s="13" t="str">
        <f t="shared" ref="CQ217:CQ227" si="283">"10000" &amp; D217</f>
        <v>100003731</v>
      </c>
      <c r="CR217" s="13"/>
      <c r="CS217" s="15" t="s">
        <v>49</v>
      </c>
      <c r="CT217" s="217"/>
      <c r="CU217" s="13"/>
      <c r="CV217" s="15"/>
      <c r="CW217" s="15"/>
      <c r="CX217" s="15"/>
      <c r="CY217" s="15"/>
      <c r="CZ217" s="15"/>
      <c r="DA217" s="15" t="s">
        <v>395</v>
      </c>
      <c r="DB217" s="13" t="str">
        <f t="shared" si="163"/>
        <v>GAS_INST_ID-3731</v>
      </c>
      <c r="DC217" s="15"/>
      <c r="DD217" s="15"/>
      <c r="DE217" s="15"/>
      <c r="DF217" s="15"/>
      <c r="DG217" s="15"/>
      <c r="DH217" s="15" t="s">
        <v>397</v>
      </c>
      <c r="DI217" s="15" t="s">
        <v>399</v>
      </c>
      <c r="DJ217" s="15" t="s">
        <v>1113</v>
      </c>
      <c r="DK217" s="15" t="s">
        <v>140</v>
      </c>
      <c r="DL217" s="218"/>
      <c r="DM217" s="218"/>
      <c r="DN217" s="13" t="str">
        <f t="shared" si="164"/>
        <v>DS_Pass-3731</v>
      </c>
      <c r="DO217" s="15"/>
      <c r="DP217" s="15"/>
      <c r="DQ217" s="15"/>
      <c r="DR217" s="13"/>
      <c r="DS217" s="13"/>
      <c r="DT217" s="15" t="s">
        <v>52</v>
      </c>
      <c r="DU217" s="15"/>
      <c r="DV217" s="15"/>
      <c r="DW217" s="13"/>
      <c r="DX217" s="15" t="s">
        <v>54</v>
      </c>
      <c r="DY217" s="15" t="s">
        <v>61</v>
      </c>
      <c r="DZ217" s="15" t="s">
        <v>402</v>
      </c>
      <c r="EA217" s="19" t="str">
        <f t="shared" ref="EA217:EA227" si="284">CONCATENATE(AV217, $EA$1, AW217, $EA$1, AX217, $EA$1, AY217)</f>
        <v>3731CUSTOMER_ADDRESSINST12 ROADCUSTOMER_ADDRESSTESTINGHAMCUSTOMER_ADDRESSTESTINGHAMSHIRE</v>
      </c>
      <c r="EB217" s="15" t="s">
        <v>1113</v>
      </c>
      <c r="EC217" s="218"/>
      <c r="ED217" s="218"/>
      <c r="EE217" s="218"/>
    </row>
    <row r="218" spans="1:135" s="219" customFormat="1" x14ac:dyDescent="0.2">
      <c r="A218" s="209" t="s">
        <v>1155</v>
      </c>
      <c r="B218" s="209" t="s">
        <v>892</v>
      </c>
      <c r="C218" s="209" t="s">
        <v>865</v>
      </c>
      <c r="D218" s="13">
        <f>'Run Parameters'!$B$1 + ROW()-1</f>
        <v>3732</v>
      </c>
      <c r="E218" s="15" t="s">
        <v>47</v>
      </c>
      <c r="F218" s="13" t="s">
        <v>1151</v>
      </c>
      <c r="G218" s="13" t="str">
        <f t="shared" si="265"/>
        <v>Access Dtls-3732</v>
      </c>
      <c r="H218" s="15" t="s">
        <v>275</v>
      </c>
      <c r="I218" s="13" t="str">
        <f>("MR. Test_209_INST12_"&amp;D218&amp;"")</f>
        <v>MR. Test_209_INST12_3732</v>
      </c>
      <c r="J218" s="13"/>
      <c r="K218" s="19" t="s">
        <v>425</v>
      </c>
      <c r="L218" s="13" t="str">
        <f t="shared" si="266"/>
        <v>Cust. Ref-3732</v>
      </c>
      <c r="M218" s="15" t="s">
        <v>48</v>
      </c>
      <c r="N218" s="15" t="s">
        <v>425</v>
      </c>
      <c r="O218" s="13"/>
      <c r="P218" s="13" t="str">
        <f t="shared" si="267"/>
        <v>SN-3732</v>
      </c>
      <c r="Q218" s="13" t="str">
        <f t="shared" si="268"/>
        <v>SI-3732</v>
      </c>
      <c r="R218" s="13" t="str">
        <f t="shared" si="269"/>
        <v>SE-3732</v>
      </c>
      <c r="S218" s="19" t="str">
        <f t="shared" si="270"/>
        <v>Prev_RA-3732</v>
      </c>
      <c r="T218" s="19" t="str">
        <f t="shared" si="271"/>
        <v>Prev_Comms-3732</v>
      </c>
      <c r="U218" s="15" t="s">
        <v>75</v>
      </c>
      <c r="V218" s="15" t="s">
        <v>401</v>
      </c>
      <c r="W218" s="15" t="s">
        <v>75</v>
      </c>
      <c r="X218" s="15" t="s">
        <v>1101</v>
      </c>
      <c r="Y218" s="13" t="str">
        <f t="shared" si="272"/>
        <v>Forward Add-3732</v>
      </c>
      <c r="Z218" s="15" t="s">
        <v>401</v>
      </c>
      <c r="AA218" s="133" t="str">
        <f>'Run Parameters'!$B$2</f>
        <v>2019-04-26 08:00</v>
      </c>
      <c r="AB218" s="213" t="str">
        <f>'Run Parameters'!B$3</f>
        <v>2019-04-26 18:00</v>
      </c>
      <c r="AC218" s="26">
        <f>('Run Parameters'!$B$2) - 7</f>
        <v>43574.333333333336</v>
      </c>
      <c r="AD218" s="15" t="s">
        <v>75</v>
      </c>
      <c r="AE218" s="13" t="str">
        <f t="shared" si="273"/>
        <v>LAST_METER-3732</v>
      </c>
      <c r="AF218" s="133" t="str">
        <f>'Run Parameters'!$B$2</f>
        <v>2019-04-26 08:00</v>
      </c>
      <c r="AG218" s="13" t="str">
        <f>'Run Parameters'!B$4</f>
        <v>AUTOTEST2</v>
      </c>
      <c r="AH218" s="19" t="str">
        <f t="shared" si="274"/>
        <v>Site_Contact_3732</v>
      </c>
      <c r="AI218" s="133" t="str">
        <f>'Run Parameters'!B$2</f>
        <v>2019-04-26 08:00</v>
      </c>
      <c r="AJ218" s="213" t="str">
        <f>'Run Parameters'!B$3</f>
        <v>2019-04-26 18:00</v>
      </c>
      <c r="AK218" s="13" t="s">
        <v>1101</v>
      </c>
      <c r="AL218" s="19" t="str">
        <f t="shared" si="275"/>
        <v>011593732</v>
      </c>
      <c r="AM218" s="13" t="str">
        <f t="shared" si="276"/>
        <v>01153732</v>
      </c>
      <c r="AN218" s="15"/>
      <c r="AO218" s="15"/>
      <c r="AP218" s="13">
        <v>1</v>
      </c>
      <c r="AQ218" s="15" t="s">
        <v>49</v>
      </c>
      <c r="AR218" s="15"/>
      <c r="AS218" s="13"/>
      <c r="AT218" s="15" t="s">
        <v>1117</v>
      </c>
      <c r="AU218" s="15"/>
      <c r="AV218" s="13">
        <f t="shared" si="277"/>
        <v>3732</v>
      </c>
      <c r="AW218" s="13" t="s">
        <v>1149</v>
      </c>
      <c r="AX218" s="13" t="s">
        <v>420</v>
      </c>
      <c r="AY218" s="13" t="s">
        <v>421</v>
      </c>
      <c r="AZ218" s="15" t="s">
        <v>334</v>
      </c>
      <c r="BA218" s="15" t="s">
        <v>154</v>
      </c>
      <c r="BB218" s="13">
        <v>1</v>
      </c>
      <c r="BC218" s="13">
        <f t="shared" si="278"/>
        <v>3732</v>
      </c>
      <c r="BD218" s="15" t="s">
        <v>1150</v>
      </c>
      <c r="BE218" s="15" t="s">
        <v>391</v>
      </c>
      <c r="BF218" s="15" t="s">
        <v>390</v>
      </c>
      <c r="BG218" s="13" t="s">
        <v>1151</v>
      </c>
      <c r="BH218" s="13" t="str">
        <f t="shared" si="279"/>
        <v>3732_1</v>
      </c>
      <c r="BI218" s="13"/>
      <c r="BJ218" s="13" t="str">
        <f t="shared" si="280"/>
        <v>100000003732</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1101</v>
      </c>
      <c r="CF218" s="15" t="s">
        <v>398</v>
      </c>
      <c r="CG218" s="15" t="s">
        <v>1153</v>
      </c>
      <c r="CH218" s="15" t="s">
        <v>159</v>
      </c>
      <c r="CI218" s="13">
        <v>1</v>
      </c>
      <c r="CJ218" s="13" t="str">
        <f t="shared" si="281"/>
        <v>GAS_ENQ_NO-3732</v>
      </c>
      <c r="CK218" s="15" t="s">
        <v>779</v>
      </c>
      <c r="CL218" s="15" t="s">
        <v>391</v>
      </c>
      <c r="CM218" s="15" t="s">
        <v>390</v>
      </c>
      <c r="CN218" s="13" t="s">
        <v>1114</v>
      </c>
      <c r="CO218" s="13" t="str">
        <f t="shared" si="282"/>
        <v>GAS_JOB_ID-3732</v>
      </c>
      <c r="CP218" s="15"/>
      <c r="CQ218" s="13" t="str">
        <f t="shared" si="283"/>
        <v>100003732</v>
      </c>
      <c r="CR218" s="13"/>
      <c r="CS218" s="15" t="s">
        <v>49</v>
      </c>
      <c r="CT218" s="217"/>
      <c r="CU218" s="13"/>
      <c r="CV218" s="15"/>
      <c r="CW218" s="15"/>
      <c r="CX218" s="15"/>
      <c r="CY218" s="15"/>
      <c r="CZ218" s="15"/>
      <c r="DA218" s="15" t="s">
        <v>395</v>
      </c>
      <c r="DB218" s="13" t="str">
        <f t="shared" si="163"/>
        <v>GAS_INST_ID-3732</v>
      </c>
      <c r="DC218" s="15"/>
      <c r="DD218" s="15"/>
      <c r="DE218" s="15"/>
      <c r="DF218" s="15"/>
      <c r="DG218" s="15"/>
      <c r="DH218" s="15" t="s">
        <v>397</v>
      </c>
      <c r="DI218" s="15" t="s">
        <v>399</v>
      </c>
      <c r="DJ218" s="15" t="s">
        <v>1113</v>
      </c>
      <c r="DK218" s="15" t="s">
        <v>140</v>
      </c>
      <c r="DL218" s="218"/>
      <c r="DM218" s="218"/>
      <c r="DN218" s="13" t="str">
        <f t="shared" si="164"/>
        <v>DS_Pass-3732</v>
      </c>
      <c r="DO218" s="15"/>
      <c r="DP218" s="15"/>
      <c r="DQ218" s="15"/>
      <c r="DR218" s="13"/>
      <c r="DS218" s="13"/>
      <c r="DT218" s="15" t="s">
        <v>52</v>
      </c>
      <c r="DU218" s="15"/>
      <c r="DV218" s="15"/>
      <c r="DW218" s="13"/>
      <c r="DX218" s="15" t="s">
        <v>54</v>
      </c>
      <c r="DY218" s="15" t="s">
        <v>61</v>
      </c>
      <c r="DZ218" s="15" t="s">
        <v>402</v>
      </c>
      <c r="EA218" s="19" t="str">
        <f t="shared" si="284"/>
        <v>3732CUSTOMER_ADDRESSINST12 ROADCUSTOMER_ADDRESSTESTINGHAMCUSTOMER_ADDRESSTESTINGHAMSHIRE</v>
      </c>
      <c r="EB218" s="15" t="s">
        <v>1113</v>
      </c>
      <c r="EC218" s="218"/>
      <c r="ED218" s="218"/>
      <c r="EE218" s="218"/>
    </row>
    <row r="219" spans="1:135" s="219" customFormat="1" x14ac:dyDescent="0.2">
      <c r="A219" s="209" t="s">
        <v>1157</v>
      </c>
      <c r="B219" s="209" t="s">
        <v>892</v>
      </c>
      <c r="C219" s="209" t="s">
        <v>865</v>
      </c>
      <c r="D219" s="13">
        <f>'Run Parameters'!$B$1 + ROW()-1</f>
        <v>3733</v>
      </c>
      <c r="E219" s="15" t="s">
        <v>47</v>
      </c>
      <c r="F219" s="13" t="s">
        <v>1151</v>
      </c>
      <c r="G219" s="13" t="str">
        <f t="shared" si="265"/>
        <v>Access Dtls-3733</v>
      </c>
      <c r="H219" s="15" t="s">
        <v>275</v>
      </c>
      <c r="I219" s="13" t="str">
        <f>("MR. Test_210_INST12_"&amp;D219&amp;"")</f>
        <v>MR. Test_210_INST12_3733</v>
      </c>
      <c r="J219" s="13"/>
      <c r="K219" s="19" t="s">
        <v>425</v>
      </c>
      <c r="L219" s="13" t="str">
        <f t="shared" si="266"/>
        <v>Cust. Ref-3733</v>
      </c>
      <c r="M219" s="15" t="s">
        <v>48</v>
      </c>
      <c r="N219" s="15" t="s">
        <v>425</v>
      </c>
      <c r="O219" s="13"/>
      <c r="P219" s="13" t="str">
        <f t="shared" si="267"/>
        <v>SN-3733</v>
      </c>
      <c r="Q219" s="13" t="str">
        <f t="shared" si="268"/>
        <v>SI-3733</v>
      </c>
      <c r="R219" s="13" t="str">
        <f t="shared" si="269"/>
        <v>SE-3733</v>
      </c>
      <c r="S219" s="19" t="str">
        <f t="shared" si="270"/>
        <v>Prev_RA-3733</v>
      </c>
      <c r="T219" s="19" t="str">
        <f t="shared" si="271"/>
        <v>Prev_Comms-3733</v>
      </c>
      <c r="U219" s="15" t="s">
        <v>75</v>
      </c>
      <c r="V219" s="15" t="s">
        <v>401</v>
      </c>
      <c r="W219" s="15" t="s">
        <v>75</v>
      </c>
      <c r="X219" s="15" t="s">
        <v>1101</v>
      </c>
      <c r="Y219" s="13" t="str">
        <f t="shared" si="272"/>
        <v>Forward Add-3733</v>
      </c>
      <c r="Z219" s="15" t="s">
        <v>401</v>
      </c>
      <c r="AA219" s="133" t="str">
        <f>'Run Parameters'!$B$2</f>
        <v>2019-04-26 08:00</v>
      </c>
      <c r="AB219" s="213" t="str">
        <f>'Run Parameters'!B$3</f>
        <v>2019-04-26 18:00</v>
      </c>
      <c r="AC219" s="26">
        <f>('Run Parameters'!$B$2) - 7</f>
        <v>43574.333333333336</v>
      </c>
      <c r="AD219" s="15" t="s">
        <v>75</v>
      </c>
      <c r="AE219" s="13" t="str">
        <f t="shared" si="273"/>
        <v>LAST_METER-3733</v>
      </c>
      <c r="AF219" s="133" t="str">
        <f>'Run Parameters'!$B$2</f>
        <v>2019-04-26 08:00</v>
      </c>
      <c r="AG219" s="13" t="str">
        <f>'Run Parameters'!B$4</f>
        <v>AUTOTEST2</v>
      </c>
      <c r="AH219" s="19" t="str">
        <f t="shared" si="274"/>
        <v>Site_Contact_3733</v>
      </c>
      <c r="AI219" s="133" t="str">
        <f>'Run Parameters'!B$2</f>
        <v>2019-04-26 08:00</v>
      </c>
      <c r="AJ219" s="213" t="str">
        <f>'Run Parameters'!B$3</f>
        <v>2019-04-26 18:00</v>
      </c>
      <c r="AK219" s="13" t="s">
        <v>1101</v>
      </c>
      <c r="AL219" s="19" t="str">
        <f t="shared" si="275"/>
        <v>011593733</v>
      </c>
      <c r="AM219" s="13" t="str">
        <f t="shared" si="276"/>
        <v>01153733</v>
      </c>
      <c r="AN219" s="15"/>
      <c r="AO219" s="15"/>
      <c r="AP219" s="13">
        <v>1</v>
      </c>
      <c r="AQ219" s="15" t="s">
        <v>49</v>
      </c>
      <c r="AR219" s="15"/>
      <c r="AS219" s="13"/>
      <c r="AT219" s="15" t="s">
        <v>1118</v>
      </c>
      <c r="AU219" s="15"/>
      <c r="AV219" s="13">
        <f t="shared" si="277"/>
        <v>3733</v>
      </c>
      <c r="AW219" s="13" t="s">
        <v>1149</v>
      </c>
      <c r="AX219" s="13" t="s">
        <v>420</v>
      </c>
      <c r="AY219" s="13" t="s">
        <v>421</v>
      </c>
      <c r="AZ219" s="15" t="s">
        <v>334</v>
      </c>
      <c r="BA219" s="15" t="s">
        <v>154</v>
      </c>
      <c r="BB219" s="13">
        <v>1</v>
      </c>
      <c r="BC219" s="13">
        <f t="shared" si="278"/>
        <v>3733</v>
      </c>
      <c r="BD219" s="15" t="s">
        <v>1150</v>
      </c>
      <c r="BE219" s="15" t="s">
        <v>391</v>
      </c>
      <c r="BF219" s="15" t="s">
        <v>390</v>
      </c>
      <c r="BG219" s="13" t="s">
        <v>1151</v>
      </c>
      <c r="BH219" s="13" t="str">
        <f t="shared" si="279"/>
        <v>3733_1</v>
      </c>
      <c r="BI219" s="13"/>
      <c r="BJ219" s="13" t="str">
        <f t="shared" si="280"/>
        <v>100000003733</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1101</v>
      </c>
      <c r="CF219" s="15" t="s">
        <v>398</v>
      </c>
      <c r="CG219" s="15" t="s">
        <v>1153</v>
      </c>
      <c r="CH219" s="15" t="s">
        <v>159</v>
      </c>
      <c r="CI219" s="13">
        <v>1</v>
      </c>
      <c r="CJ219" s="13" t="str">
        <f t="shared" si="281"/>
        <v>GAS_ENQ_NO-3733</v>
      </c>
      <c r="CK219" s="15" t="s">
        <v>779</v>
      </c>
      <c r="CL219" s="15" t="s">
        <v>391</v>
      </c>
      <c r="CM219" s="15" t="s">
        <v>390</v>
      </c>
      <c r="CN219" s="13" t="s">
        <v>1114</v>
      </c>
      <c r="CO219" s="13" t="str">
        <f t="shared" si="282"/>
        <v>GAS_JOB_ID-3733</v>
      </c>
      <c r="CP219" s="15"/>
      <c r="CQ219" s="13" t="str">
        <f t="shared" si="283"/>
        <v>100003733</v>
      </c>
      <c r="CR219" s="13"/>
      <c r="CS219" s="15" t="s">
        <v>49</v>
      </c>
      <c r="CT219" s="217"/>
      <c r="CU219" s="13"/>
      <c r="CV219" s="15"/>
      <c r="CW219" s="15"/>
      <c r="CX219" s="15"/>
      <c r="CY219" s="15"/>
      <c r="CZ219" s="15"/>
      <c r="DA219" s="15" t="s">
        <v>395</v>
      </c>
      <c r="DB219" s="13" t="str">
        <f t="shared" si="163"/>
        <v>GAS_INST_ID-3733</v>
      </c>
      <c r="DC219" s="15"/>
      <c r="DD219" s="15"/>
      <c r="DE219" s="15"/>
      <c r="DF219" s="15"/>
      <c r="DG219" s="15"/>
      <c r="DH219" s="15" t="s">
        <v>397</v>
      </c>
      <c r="DI219" s="15" t="s">
        <v>399</v>
      </c>
      <c r="DJ219" s="15" t="s">
        <v>1113</v>
      </c>
      <c r="DK219" s="15" t="s">
        <v>140</v>
      </c>
      <c r="DL219" s="218"/>
      <c r="DM219" s="218"/>
      <c r="DN219" s="13" t="str">
        <f t="shared" si="164"/>
        <v>DS_Pass-3733</v>
      </c>
      <c r="DO219" s="15"/>
      <c r="DP219" s="15"/>
      <c r="DQ219" s="15"/>
      <c r="DR219" s="13"/>
      <c r="DS219" s="13"/>
      <c r="DT219" s="15" t="s">
        <v>52</v>
      </c>
      <c r="DU219" s="15"/>
      <c r="DV219" s="15"/>
      <c r="DW219" s="13"/>
      <c r="DX219" s="15" t="s">
        <v>54</v>
      </c>
      <c r="DY219" s="15" t="s">
        <v>61</v>
      </c>
      <c r="DZ219" s="15" t="s">
        <v>402</v>
      </c>
      <c r="EA219" s="19" t="str">
        <f t="shared" si="284"/>
        <v>3733CUSTOMER_ADDRESSINST12 ROADCUSTOMER_ADDRESSTESTINGHAMCUSTOMER_ADDRESSTESTINGHAMSHIRE</v>
      </c>
      <c r="EB219" s="15" t="s">
        <v>1113</v>
      </c>
      <c r="EC219" s="218"/>
      <c r="ED219" s="218"/>
      <c r="EE219" s="218"/>
    </row>
    <row r="220" spans="1:135" s="219" customFormat="1" x14ac:dyDescent="0.2">
      <c r="A220" s="209" t="s">
        <v>1158</v>
      </c>
      <c r="B220" s="209" t="s">
        <v>892</v>
      </c>
      <c r="C220" s="209" t="s">
        <v>865</v>
      </c>
      <c r="D220" s="13">
        <f>'Run Parameters'!$B$1 + ROW()-1</f>
        <v>3734</v>
      </c>
      <c r="E220" s="15" t="s">
        <v>47</v>
      </c>
      <c r="F220" s="13" t="s">
        <v>1151</v>
      </c>
      <c r="G220" s="13" t="str">
        <f t="shared" si="265"/>
        <v>Access Dtls-3734</v>
      </c>
      <c r="H220" s="15" t="s">
        <v>275</v>
      </c>
      <c r="I220" s="13" t="str">
        <f>("MR. Test_211_INST12_"&amp;D220&amp;"")</f>
        <v>MR. Test_211_INST12_3734</v>
      </c>
      <c r="J220" s="13"/>
      <c r="K220" s="19" t="s">
        <v>425</v>
      </c>
      <c r="L220" s="13" t="str">
        <f t="shared" si="266"/>
        <v>Cust. Ref-3734</v>
      </c>
      <c r="M220" s="15" t="s">
        <v>48</v>
      </c>
      <c r="N220" s="15" t="s">
        <v>425</v>
      </c>
      <c r="O220" s="13"/>
      <c r="P220" s="13" t="str">
        <f t="shared" si="267"/>
        <v>SN-3734</v>
      </c>
      <c r="Q220" s="13" t="str">
        <f t="shared" si="268"/>
        <v>SI-3734</v>
      </c>
      <c r="R220" s="13" t="str">
        <f t="shared" si="269"/>
        <v>SE-3734</v>
      </c>
      <c r="S220" s="19" t="str">
        <f t="shared" si="270"/>
        <v>Prev_RA-3734</v>
      </c>
      <c r="T220" s="19" t="str">
        <f t="shared" si="271"/>
        <v>Prev_Comms-3734</v>
      </c>
      <c r="U220" s="15" t="s">
        <v>75</v>
      </c>
      <c r="V220" s="15" t="s">
        <v>401</v>
      </c>
      <c r="W220" s="15" t="s">
        <v>75</v>
      </c>
      <c r="X220" s="15" t="s">
        <v>1101</v>
      </c>
      <c r="Y220" s="13" t="str">
        <f t="shared" si="272"/>
        <v>Forward Add-3734</v>
      </c>
      <c r="Z220" s="15" t="s">
        <v>401</v>
      </c>
      <c r="AA220" s="133" t="str">
        <f>'Run Parameters'!$B$2</f>
        <v>2019-04-26 08:00</v>
      </c>
      <c r="AB220" s="213" t="str">
        <f>'Run Parameters'!B$3</f>
        <v>2019-04-26 18:00</v>
      </c>
      <c r="AC220" s="26">
        <f>('Run Parameters'!$B$2) - 7</f>
        <v>43574.333333333336</v>
      </c>
      <c r="AD220" s="15" t="s">
        <v>75</v>
      </c>
      <c r="AE220" s="13" t="str">
        <f t="shared" si="273"/>
        <v>LAST_METER-3734</v>
      </c>
      <c r="AF220" s="133" t="str">
        <f>'Run Parameters'!$B$2</f>
        <v>2019-04-26 08:00</v>
      </c>
      <c r="AG220" s="13" t="str">
        <f>'Run Parameters'!B$4</f>
        <v>AUTOTEST2</v>
      </c>
      <c r="AH220" s="19" t="str">
        <f t="shared" si="274"/>
        <v>Site_Contact_3734</v>
      </c>
      <c r="AI220" s="133" t="str">
        <f>'Run Parameters'!B$2</f>
        <v>2019-04-26 08:00</v>
      </c>
      <c r="AJ220" s="213" t="str">
        <f>'Run Parameters'!B$3</f>
        <v>2019-04-26 18:00</v>
      </c>
      <c r="AK220" s="13" t="s">
        <v>1101</v>
      </c>
      <c r="AL220" s="19" t="str">
        <f t="shared" si="275"/>
        <v>011593734</v>
      </c>
      <c r="AM220" s="13" t="str">
        <f t="shared" si="276"/>
        <v>01153734</v>
      </c>
      <c r="AN220" s="15"/>
      <c r="AO220" s="15"/>
      <c r="AP220" s="13">
        <v>1</v>
      </c>
      <c r="AQ220" s="15" t="s">
        <v>49</v>
      </c>
      <c r="AR220" s="15"/>
      <c r="AS220" s="13"/>
      <c r="AT220" s="15" t="s">
        <v>1119</v>
      </c>
      <c r="AU220" s="15"/>
      <c r="AV220" s="13">
        <f t="shared" si="277"/>
        <v>3734</v>
      </c>
      <c r="AW220" s="13" t="s">
        <v>1149</v>
      </c>
      <c r="AX220" s="13" t="s">
        <v>420</v>
      </c>
      <c r="AY220" s="13" t="s">
        <v>421</v>
      </c>
      <c r="AZ220" s="15" t="s">
        <v>334</v>
      </c>
      <c r="BA220" s="15" t="s">
        <v>154</v>
      </c>
      <c r="BB220" s="13">
        <v>1</v>
      </c>
      <c r="BC220" s="13">
        <f t="shared" si="278"/>
        <v>3734</v>
      </c>
      <c r="BD220" s="15" t="s">
        <v>1150</v>
      </c>
      <c r="BE220" s="15" t="s">
        <v>391</v>
      </c>
      <c r="BF220" s="15" t="s">
        <v>390</v>
      </c>
      <c r="BG220" s="13" t="s">
        <v>1151</v>
      </c>
      <c r="BH220" s="13" t="str">
        <f t="shared" si="279"/>
        <v>3734_1</v>
      </c>
      <c r="BI220" s="13"/>
      <c r="BJ220" s="13" t="str">
        <f t="shared" si="280"/>
        <v>100000003734</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1101</v>
      </c>
      <c r="CF220" s="15" t="s">
        <v>398</v>
      </c>
      <c r="CG220" s="15" t="s">
        <v>1153</v>
      </c>
      <c r="CH220" s="15" t="s">
        <v>159</v>
      </c>
      <c r="CI220" s="13">
        <v>1</v>
      </c>
      <c r="CJ220" s="13" t="str">
        <f t="shared" si="281"/>
        <v>GAS_ENQ_NO-3734</v>
      </c>
      <c r="CK220" s="15" t="s">
        <v>779</v>
      </c>
      <c r="CL220" s="15" t="s">
        <v>391</v>
      </c>
      <c r="CM220" s="15" t="s">
        <v>390</v>
      </c>
      <c r="CN220" s="13" t="s">
        <v>1114</v>
      </c>
      <c r="CO220" s="13" t="str">
        <f t="shared" si="282"/>
        <v>GAS_JOB_ID-3734</v>
      </c>
      <c r="CP220" s="15"/>
      <c r="CQ220" s="13" t="str">
        <f t="shared" si="283"/>
        <v>100003734</v>
      </c>
      <c r="CR220" s="13"/>
      <c r="CS220" s="15" t="s">
        <v>49</v>
      </c>
      <c r="CT220" s="217"/>
      <c r="CU220" s="13"/>
      <c r="CV220" s="15"/>
      <c r="CW220" s="15"/>
      <c r="CX220" s="15"/>
      <c r="CY220" s="15"/>
      <c r="CZ220" s="15"/>
      <c r="DA220" s="15" t="s">
        <v>395</v>
      </c>
      <c r="DB220" s="13" t="str">
        <f t="shared" si="163"/>
        <v>GAS_INST_ID-3734</v>
      </c>
      <c r="DC220" s="15"/>
      <c r="DD220" s="15"/>
      <c r="DE220" s="15"/>
      <c r="DF220" s="15"/>
      <c r="DG220" s="15"/>
      <c r="DH220" s="15" t="s">
        <v>397</v>
      </c>
      <c r="DI220" s="15" t="s">
        <v>399</v>
      </c>
      <c r="DJ220" s="15" t="s">
        <v>1113</v>
      </c>
      <c r="DK220" s="15" t="s">
        <v>140</v>
      </c>
      <c r="DL220" s="218"/>
      <c r="DM220" s="218"/>
      <c r="DN220" s="13" t="str">
        <f t="shared" si="164"/>
        <v>DS_Pass-3734</v>
      </c>
      <c r="DO220" s="15"/>
      <c r="DP220" s="15"/>
      <c r="DQ220" s="15"/>
      <c r="DR220" s="13"/>
      <c r="DS220" s="13"/>
      <c r="DT220" s="15" t="s">
        <v>52</v>
      </c>
      <c r="DU220" s="15"/>
      <c r="DV220" s="15"/>
      <c r="DW220" s="13"/>
      <c r="DX220" s="15" t="s">
        <v>54</v>
      </c>
      <c r="DY220" s="15" t="s">
        <v>61</v>
      </c>
      <c r="DZ220" s="15" t="s">
        <v>402</v>
      </c>
      <c r="EA220" s="19" t="str">
        <f t="shared" si="284"/>
        <v>3734CUSTOMER_ADDRESSINST12 ROADCUSTOMER_ADDRESSTESTINGHAMCUSTOMER_ADDRESSTESTINGHAMSHIRE</v>
      </c>
      <c r="EB220" s="15" t="s">
        <v>1113</v>
      </c>
      <c r="EC220" s="218"/>
      <c r="ED220" s="218"/>
      <c r="EE220" s="218"/>
    </row>
    <row r="221" spans="1:135" s="219" customFormat="1" x14ac:dyDescent="0.2">
      <c r="A221" s="209" t="s">
        <v>1159</v>
      </c>
      <c r="B221" s="209" t="s">
        <v>892</v>
      </c>
      <c r="C221" s="209" t="s">
        <v>865</v>
      </c>
      <c r="D221" s="13">
        <f>'Run Parameters'!$B$1 + ROW()-1</f>
        <v>3735</v>
      </c>
      <c r="E221" s="15" t="s">
        <v>47</v>
      </c>
      <c r="F221" s="13" t="s">
        <v>1151</v>
      </c>
      <c r="G221" s="13" t="str">
        <f t="shared" si="265"/>
        <v>Access Dtls-3735</v>
      </c>
      <c r="H221" s="15" t="s">
        <v>275</v>
      </c>
      <c r="I221" s="13" t="str">
        <f>("MR. Test_212_INST12_"&amp;D221&amp;"")</f>
        <v>MR. Test_212_INST12_3735</v>
      </c>
      <c r="J221" s="13"/>
      <c r="K221" s="19" t="s">
        <v>425</v>
      </c>
      <c r="L221" s="13" t="str">
        <f t="shared" si="266"/>
        <v>Cust. Ref-3735</v>
      </c>
      <c r="M221" s="15" t="s">
        <v>48</v>
      </c>
      <c r="N221" s="15" t="s">
        <v>425</v>
      </c>
      <c r="O221" s="13"/>
      <c r="P221" s="13" t="str">
        <f t="shared" si="267"/>
        <v>SN-3735</v>
      </c>
      <c r="Q221" s="13" t="str">
        <f t="shared" si="268"/>
        <v>SI-3735</v>
      </c>
      <c r="R221" s="13" t="str">
        <f t="shared" si="269"/>
        <v>SE-3735</v>
      </c>
      <c r="S221" s="19" t="str">
        <f t="shared" si="270"/>
        <v>Prev_RA-3735</v>
      </c>
      <c r="T221" s="19" t="str">
        <f t="shared" si="271"/>
        <v>Prev_Comms-3735</v>
      </c>
      <c r="U221" s="15" t="s">
        <v>75</v>
      </c>
      <c r="V221" s="15" t="s">
        <v>401</v>
      </c>
      <c r="W221" s="15" t="s">
        <v>75</v>
      </c>
      <c r="X221" s="15" t="s">
        <v>1101</v>
      </c>
      <c r="Y221" s="13" t="str">
        <f t="shared" si="272"/>
        <v>Forward Add-3735</v>
      </c>
      <c r="Z221" s="15" t="s">
        <v>401</v>
      </c>
      <c r="AA221" s="133" t="str">
        <f>'Run Parameters'!$B$2</f>
        <v>2019-04-26 08:00</v>
      </c>
      <c r="AB221" s="213" t="str">
        <f>'Run Parameters'!B$3</f>
        <v>2019-04-26 18:00</v>
      </c>
      <c r="AC221" s="26">
        <f>('Run Parameters'!$B$2) - 7</f>
        <v>43574.333333333336</v>
      </c>
      <c r="AD221" s="15" t="s">
        <v>75</v>
      </c>
      <c r="AE221" s="13" t="str">
        <f t="shared" si="273"/>
        <v>LAST_METER-3735</v>
      </c>
      <c r="AF221" s="133" t="str">
        <f>'Run Parameters'!$B$2</f>
        <v>2019-04-26 08:00</v>
      </c>
      <c r="AG221" s="13" t="str">
        <f>'Run Parameters'!B$4</f>
        <v>AUTOTEST2</v>
      </c>
      <c r="AH221" s="19" t="str">
        <f t="shared" si="274"/>
        <v>Site_Contact_3735</v>
      </c>
      <c r="AI221" s="133" t="str">
        <f>'Run Parameters'!B$2</f>
        <v>2019-04-26 08:00</v>
      </c>
      <c r="AJ221" s="213" t="str">
        <f>'Run Parameters'!B$3</f>
        <v>2019-04-26 18:00</v>
      </c>
      <c r="AK221" s="13" t="s">
        <v>1101</v>
      </c>
      <c r="AL221" s="19" t="str">
        <f t="shared" si="275"/>
        <v>011593735</v>
      </c>
      <c r="AM221" s="13" t="str">
        <f t="shared" si="276"/>
        <v>01153735</v>
      </c>
      <c r="AN221" s="15"/>
      <c r="AO221" s="15"/>
      <c r="AP221" s="13">
        <v>1</v>
      </c>
      <c r="AQ221" s="15" t="s">
        <v>49</v>
      </c>
      <c r="AR221" s="15"/>
      <c r="AS221" s="13"/>
      <c r="AT221" s="15" t="s">
        <v>1120</v>
      </c>
      <c r="AU221" s="15"/>
      <c r="AV221" s="13">
        <f t="shared" si="277"/>
        <v>3735</v>
      </c>
      <c r="AW221" s="13" t="s">
        <v>1149</v>
      </c>
      <c r="AX221" s="13" t="s">
        <v>420</v>
      </c>
      <c r="AY221" s="13" t="s">
        <v>421</v>
      </c>
      <c r="AZ221" s="15" t="s">
        <v>334</v>
      </c>
      <c r="BA221" s="15" t="s">
        <v>154</v>
      </c>
      <c r="BB221" s="13">
        <v>1</v>
      </c>
      <c r="BC221" s="13">
        <f t="shared" si="278"/>
        <v>3735</v>
      </c>
      <c r="BD221" s="15" t="s">
        <v>1150</v>
      </c>
      <c r="BE221" s="15" t="s">
        <v>391</v>
      </c>
      <c r="BF221" s="15" t="s">
        <v>390</v>
      </c>
      <c r="BG221" s="13" t="s">
        <v>1151</v>
      </c>
      <c r="BH221" s="13" t="str">
        <f t="shared" si="279"/>
        <v>3735_1</v>
      </c>
      <c r="BI221" s="13"/>
      <c r="BJ221" s="13" t="str">
        <f t="shared" si="280"/>
        <v>100000003735</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1101</v>
      </c>
      <c r="CF221" s="15" t="s">
        <v>398</v>
      </c>
      <c r="CG221" s="15" t="s">
        <v>1153</v>
      </c>
      <c r="CH221" s="15" t="s">
        <v>159</v>
      </c>
      <c r="CI221" s="13">
        <v>1</v>
      </c>
      <c r="CJ221" s="13" t="str">
        <f t="shared" si="281"/>
        <v>GAS_ENQ_NO-3735</v>
      </c>
      <c r="CK221" s="15" t="s">
        <v>779</v>
      </c>
      <c r="CL221" s="15" t="s">
        <v>391</v>
      </c>
      <c r="CM221" s="15" t="s">
        <v>390</v>
      </c>
      <c r="CN221" s="13" t="s">
        <v>1114</v>
      </c>
      <c r="CO221" s="13" t="str">
        <f t="shared" si="282"/>
        <v>GAS_JOB_ID-3735</v>
      </c>
      <c r="CP221" s="15"/>
      <c r="CQ221" s="13" t="str">
        <f t="shared" si="283"/>
        <v>100003735</v>
      </c>
      <c r="CR221" s="13"/>
      <c r="CS221" s="15" t="s">
        <v>49</v>
      </c>
      <c r="CT221" s="217"/>
      <c r="CU221" s="13"/>
      <c r="CV221" s="15"/>
      <c r="CW221" s="15"/>
      <c r="CX221" s="15"/>
      <c r="CY221" s="15"/>
      <c r="CZ221" s="15"/>
      <c r="DA221" s="15" t="s">
        <v>395</v>
      </c>
      <c r="DB221" s="13" t="str">
        <f t="shared" si="163"/>
        <v>GAS_INST_ID-3735</v>
      </c>
      <c r="DC221" s="15"/>
      <c r="DD221" s="15"/>
      <c r="DE221" s="15"/>
      <c r="DF221" s="15"/>
      <c r="DG221" s="15"/>
      <c r="DH221" s="15" t="s">
        <v>397</v>
      </c>
      <c r="DI221" s="15" t="s">
        <v>399</v>
      </c>
      <c r="DJ221" s="15" t="s">
        <v>1113</v>
      </c>
      <c r="DK221" s="15" t="s">
        <v>140</v>
      </c>
      <c r="DL221" s="218"/>
      <c r="DM221" s="218"/>
      <c r="DN221" s="13" t="str">
        <f t="shared" si="164"/>
        <v>DS_Pass-3735</v>
      </c>
      <c r="DO221" s="15"/>
      <c r="DP221" s="15"/>
      <c r="DQ221" s="15"/>
      <c r="DR221" s="13"/>
      <c r="DS221" s="13"/>
      <c r="DT221" s="15" t="s">
        <v>52</v>
      </c>
      <c r="DU221" s="15"/>
      <c r="DV221" s="15"/>
      <c r="DW221" s="13"/>
      <c r="DX221" s="15" t="s">
        <v>54</v>
      </c>
      <c r="DY221" s="15" t="s">
        <v>61</v>
      </c>
      <c r="DZ221" s="15" t="s">
        <v>402</v>
      </c>
      <c r="EA221" s="19" t="str">
        <f t="shared" si="284"/>
        <v>3735CUSTOMER_ADDRESSINST12 ROADCUSTOMER_ADDRESSTESTINGHAMCUSTOMER_ADDRESSTESTINGHAMSHIRE</v>
      </c>
      <c r="EB221" s="15" t="s">
        <v>1113</v>
      </c>
      <c r="EC221" s="218"/>
      <c r="ED221" s="218"/>
      <c r="EE221" s="218"/>
    </row>
    <row r="222" spans="1:135" s="219" customFormat="1" x14ac:dyDescent="0.2">
      <c r="A222" s="209" t="s">
        <v>1160</v>
      </c>
      <c r="B222" s="209" t="s">
        <v>892</v>
      </c>
      <c r="C222" s="209" t="s">
        <v>865</v>
      </c>
      <c r="D222" s="13">
        <f>'Run Parameters'!$B$1 + ROW()-1</f>
        <v>3736</v>
      </c>
      <c r="E222" s="15" t="s">
        <v>47</v>
      </c>
      <c r="F222" s="13" t="s">
        <v>1151</v>
      </c>
      <c r="G222" s="13" t="str">
        <f t="shared" si="265"/>
        <v>Access Dtls-3736</v>
      </c>
      <c r="H222" s="15" t="s">
        <v>275</v>
      </c>
      <c r="I222" s="13" t="str">
        <f>("MR. Test_213_INST12_"&amp;D222&amp;"")</f>
        <v>MR. Test_213_INST12_3736</v>
      </c>
      <c r="J222" s="13"/>
      <c r="K222" s="19" t="s">
        <v>425</v>
      </c>
      <c r="L222" s="13" t="str">
        <f t="shared" si="266"/>
        <v>Cust. Ref-3736</v>
      </c>
      <c r="M222" s="15" t="s">
        <v>48</v>
      </c>
      <c r="N222" s="15" t="s">
        <v>425</v>
      </c>
      <c r="O222" s="13"/>
      <c r="P222" s="13" t="str">
        <f t="shared" si="267"/>
        <v>SN-3736</v>
      </c>
      <c r="Q222" s="13" t="str">
        <f t="shared" si="268"/>
        <v>SI-3736</v>
      </c>
      <c r="R222" s="13" t="str">
        <f t="shared" si="269"/>
        <v>SE-3736</v>
      </c>
      <c r="S222" s="19" t="str">
        <f t="shared" si="270"/>
        <v>Prev_RA-3736</v>
      </c>
      <c r="T222" s="19" t="str">
        <f t="shared" si="271"/>
        <v>Prev_Comms-3736</v>
      </c>
      <c r="U222" s="15" t="s">
        <v>75</v>
      </c>
      <c r="V222" s="15" t="s">
        <v>401</v>
      </c>
      <c r="W222" s="15" t="s">
        <v>75</v>
      </c>
      <c r="X222" s="15" t="s">
        <v>1101</v>
      </c>
      <c r="Y222" s="13" t="str">
        <f t="shared" si="272"/>
        <v>Forward Add-3736</v>
      </c>
      <c r="Z222" s="15" t="s">
        <v>401</v>
      </c>
      <c r="AA222" s="133" t="str">
        <f>'Run Parameters'!$B$2</f>
        <v>2019-04-26 08:00</v>
      </c>
      <c r="AB222" s="213" t="str">
        <f>'Run Parameters'!B$3</f>
        <v>2019-04-26 18:00</v>
      </c>
      <c r="AC222" s="26">
        <f>('Run Parameters'!$B$2) - 7</f>
        <v>43574.333333333336</v>
      </c>
      <c r="AD222" s="15" t="s">
        <v>75</v>
      </c>
      <c r="AE222" s="13" t="str">
        <f t="shared" si="273"/>
        <v>LAST_METER-3736</v>
      </c>
      <c r="AF222" s="133" t="str">
        <f>'Run Parameters'!$B$2</f>
        <v>2019-04-26 08:00</v>
      </c>
      <c r="AG222" s="13" t="str">
        <f>'Run Parameters'!B$4</f>
        <v>AUTOTEST2</v>
      </c>
      <c r="AH222" s="19" t="str">
        <f t="shared" si="274"/>
        <v>Site_Contact_3736</v>
      </c>
      <c r="AI222" s="133" t="str">
        <f>'Run Parameters'!B$2</f>
        <v>2019-04-26 08:00</v>
      </c>
      <c r="AJ222" s="213" t="str">
        <f>'Run Parameters'!B$3</f>
        <v>2019-04-26 18:00</v>
      </c>
      <c r="AK222" s="13" t="s">
        <v>1101</v>
      </c>
      <c r="AL222" s="19" t="str">
        <f t="shared" si="275"/>
        <v>011593736</v>
      </c>
      <c r="AM222" s="13" t="str">
        <f t="shared" si="276"/>
        <v>01153736</v>
      </c>
      <c r="AN222" s="15"/>
      <c r="AO222" s="15"/>
      <c r="AP222" s="13">
        <v>1</v>
      </c>
      <c r="AQ222" s="15" t="s">
        <v>49</v>
      </c>
      <c r="AR222" s="15"/>
      <c r="AS222" s="13"/>
      <c r="AT222" s="15" t="s">
        <v>1121</v>
      </c>
      <c r="AU222" s="15"/>
      <c r="AV222" s="13">
        <f t="shared" si="277"/>
        <v>3736</v>
      </c>
      <c r="AW222" s="13" t="s">
        <v>1149</v>
      </c>
      <c r="AX222" s="13" t="s">
        <v>420</v>
      </c>
      <c r="AY222" s="13" t="s">
        <v>421</v>
      </c>
      <c r="AZ222" s="15" t="s">
        <v>334</v>
      </c>
      <c r="BA222" s="15" t="s">
        <v>154</v>
      </c>
      <c r="BB222" s="13">
        <v>1</v>
      </c>
      <c r="BC222" s="13">
        <f t="shared" si="278"/>
        <v>3736</v>
      </c>
      <c r="BD222" s="15" t="s">
        <v>1150</v>
      </c>
      <c r="BE222" s="15" t="s">
        <v>391</v>
      </c>
      <c r="BF222" s="15" t="s">
        <v>390</v>
      </c>
      <c r="BG222" s="13" t="s">
        <v>1151</v>
      </c>
      <c r="BH222" s="13" t="str">
        <f t="shared" si="279"/>
        <v>3736_1</v>
      </c>
      <c r="BI222" s="13"/>
      <c r="BJ222" s="13" t="str">
        <f t="shared" si="280"/>
        <v>100000003736</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1101</v>
      </c>
      <c r="CF222" s="15" t="s">
        <v>398</v>
      </c>
      <c r="CG222" s="15" t="s">
        <v>1153</v>
      </c>
      <c r="CH222" s="15" t="s">
        <v>159</v>
      </c>
      <c r="CI222" s="13">
        <v>1</v>
      </c>
      <c r="CJ222" s="13" t="str">
        <f t="shared" si="281"/>
        <v>GAS_ENQ_NO-3736</v>
      </c>
      <c r="CK222" s="15" t="s">
        <v>779</v>
      </c>
      <c r="CL222" s="15" t="s">
        <v>391</v>
      </c>
      <c r="CM222" s="15" t="s">
        <v>390</v>
      </c>
      <c r="CN222" s="13" t="s">
        <v>1114</v>
      </c>
      <c r="CO222" s="13" t="str">
        <f t="shared" si="282"/>
        <v>GAS_JOB_ID-3736</v>
      </c>
      <c r="CP222" s="15"/>
      <c r="CQ222" s="13" t="str">
        <f t="shared" si="283"/>
        <v>100003736</v>
      </c>
      <c r="CR222" s="13"/>
      <c r="CS222" s="15" t="s">
        <v>49</v>
      </c>
      <c r="CT222" s="217"/>
      <c r="CU222" s="13"/>
      <c r="CV222" s="15"/>
      <c r="CW222" s="15"/>
      <c r="CX222" s="15"/>
      <c r="CY222" s="15"/>
      <c r="CZ222" s="15"/>
      <c r="DA222" s="15" t="s">
        <v>395</v>
      </c>
      <c r="DB222" s="13" t="str">
        <f t="shared" si="163"/>
        <v>GAS_INST_ID-3736</v>
      </c>
      <c r="DC222" s="15"/>
      <c r="DD222" s="15"/>
      <c r="DE222" s="15"/>
      <c r="DF222" s="15"/>
      <c r="DG222" s="15"/>
      <c r="DH222" s="15" t="s">
        <v>397</v>
      </c>
      <c r="DI222" s="15" t="s">
        <v>399</v>
      </c>
      <c r="DJ222" s="15" t="s">
        <v>1113</v>
      </c>
      <c r="DK222" s="15" t="s">
        <v>140</v>
      </c>
      <c r="DL222" s="218"/>
      <c r="DM222" s="218"/>
      <c r="DN222" s="13" t="str">
        <f t="shared" si="164"/>
        <v>DS_Pass-3736</v>
      </c>
      <c r="DO222" s="15"/>
      <c r="DP222" s="15"/>
      <c r="DQ222" s="15"/>
      <c r="DR222" s="13"/>
      <c r="DS222" s="13"/>
      <c r="DT222" s="15" t="s">
        <v>52</v>
      </c>
      <c r="DU222" s="15"/>
      <c r="DV222" s="15"/>
      <c r="DW222" s="13"/>
      <c r="DX222" s="15" t="s">
        <v>54</v>
      </c>
      <c r="DY222" s="15" t="s">
        <v>61</v>
      </c>
      <c r="DZ222" s="15" t="s">
        <v>402</v>
      </c>
      <c r="EA222" s="19" t="str">
        <f t="shared" si="284"/>
        <v>3736CUSTOMER_ADDRESSINST12 ROADCUSTOMER_ADDRESSTESTINGHAMCUSTOMER_ADDRESSTESTINGHAMSHIRE</v>
      </c>
      <c r="EB222" s="15" t="s">
        <v>1113</v>
      </c>
      <c r="EC222" s="218"/>
      <c r="ED222" s="218"/>
      <c r="EE222" s="218"/>
    </row>
    <row r="223" spans="1:135" s="219" customFormat="1" x14ac:dyDescent="0.2">
      <c r="A223" s="209" t="s">
        <v>1161</v>
      </c>
      <c r="B223" s="209" t="s">
        <v>892</v>
      </c>
      <c r="C223" s="209" t="s">
        <v>865</v>
      </c>
      <c r="D223" s="13">
        <f>'Run Parameters'!$B$1 + ROW()-1</f>
        <v>3737</v>
      </c>
      <c r="E223" s="15" t="s">
        <v>47</v>
      </c>
      <c r="F223" s="13" t="s">
        <v>1151</v>
      </c>
      <c r="G223" s="13" t="str">
        <f t="shared" si="265"/>
        <v>Access Dtls-3737</v>
      </c>
      <c r="H223" s="15" t="s">
        <v>275</v>
      </c>
      <c r="I223" s="13" t="str">
        <f>("MR. Test_214_INST12_"&amp;D223&amp;"")</f>
        <v>MR. Test_214_INST12_3737</v>
      </c>
      <c r="J223" s="13"/>
      <c r="K223" s="19" t="s">
        <v>425</v>
      </c>
      <c r="L223" s="13" t="str">
        <f t="shared" si="266"/>
        <v>Cust. Ref-3737</v>
      </c>
      <c r="M223" s="15" t="s">
        <v>48</v>
      </c>
      <c r="N223" s="15" t="s">
        <v>425</v>
      </c>
      <c r="O223" s="13"/>
      <c r="P223" s="13" t="str">
        <f t="shared" si="267"/>
        <v>SN-3737</v>
      </c>
      <c r="Q223" s="13" t="str">
        <f t="shared" si="268"/>
        <v>SI-3737</v>
      </c>
      <c r="R223" s="13" t="str">
        <f t="shared" si="269"/>
        <v>SE-3737</v>
      </c>
      <c r="S223" s="19" t="str">
        <f t="shared" si="270"/>
        <v>Prev_RA-3737</v>
      </c>
      <c r="T223" s="19" t="str">
        <f t="shared" si="271"/>
        <v>Prev_Comms-3737</v>
      </c>
      <c r="U223" s="15" t="s">
        <v>75</v>
      </c>
      <c r="V223" s="15" t="s">
        <v>401</v>
      </c>
      <c r="W223" s="15" t="s">
        <v>75</v>
      </c>
      <c r="X223" s="15" t="s">
        <v>1101</v>
      </c>
      <c r="Y223" s="13" t="str">
        <f t="shared" si="272"/>
        <v>Forward Add-3737</v>
      </c>
      <c r="Z223" s="15" t="s">
        <v>401</v>
      </c>
      <c r="AA223" s="133" t="str">
        <f>'Run Parameters'!$B$2</f>
        <v>2019-04-26 08:00</v>
      </c>
      <c r="AB223" s="213" t="str">
        <f>'Run Parameters'!B$3</f>
        <v>2019-04-26 18:00</v>
      </c>
      <c r="AC223" s="26">
        <f>('Run Parameters'!$B$2) - 7</f>
        <v>43574.333333333336</v>
      </c>
      <c r="AD223" s="15" t="s">
        <v>75</v>
      </c>
      <c r="AE223" s="13" t="str">
        <f t="shared" si="273"/>
        <v>LAST_METER-3737</v>
      </c>
      <c r="AF223" s="133" t="str">
        <f>'Run Parameters'!$B$2</f>
        <v>2019-04-26 08:00</v>
      </c>
      <c r="AG223" s="13" t="str">
        <f>'Run Parameters'!B$4</f>
        <v>AUTOTEST2</v>
      </c>
      <c r="AH223" s="19" t="str">
        <f t="shared" si="274"/>
        <v>Site_Contact_3737</v>
      </c>
      <c r="AI223" s="133" t="str">
        <f>'Run Parameters'!B$2</f>
        <v>2019-04-26 08:00</v>
      </c>
      <c r="AJ223" s="213" t="str">
        <f>'Run Parameters'!B$3</f>
        <v>2019-04-26 18:00</v>
      </c>
      <c r="AK223" s="13" t="s">
        <v>1101</v>
      </c>
      <c r="AL223" s="19" t="str">
        <f t="shared" si="275"/>
        <v>011593737</v>
      </c>
      <c r="AM223" s="13" t="str">
        <f t="shared" si="276"/>
        <v>01153737</v>
      </c>
      <c r="AN223" s="15"/>
      <c r="AO223" s="15"/>
      <c r="AP223" s="13">
        <v>1</v>
      </c>
      <c r="AQ223" s="15" t="s">
        <v>49</v>
      </c>
      <c r="AR223" s="15"/>
      <c r="AS223" s="13"/>
      <c r="AT223" s="15" t="s">
        <v>1122</v>
      </c>
      <c r="AU223" s="15"/>
      <c r="AV223" s="13">
        <f t="shared" si="277"/>
        <v>3737</v>
      </c>
      <c r="AW223" s="13" t="s">
        <v>1149</v>
      </c>
      <c r="AX223" s="13" t="s">
        <v>420</v>
      </c>
      <c r="AY223" s="13" t="s">
        <v>421</v>
      </c>
      <c r="AZ223" s="15" t="s">
        <v>334</v>
      </c>
      <c r="BA223" s="15" t="s">
        <v>154</v>
      </c>
      <c r="BB223" s="13">
        <v>1</v>
      </c>
      <c r="BC223" s="13">
        <f t="shared" si="278"/>
        <v>3737</v>
      </c>
      <c r="BD223" s="15" t="s">
        <v>1150</v>
      </c>
      <c r="BE223" s="15" t="s">
        <v>391</v>
      </c>
      <c r="BF223" s="15" t="s">
        <v>390</v>
      </c>
      <c r="BG223" s="13" t="s">
        <v>1151</v>
      </c>
      <c r="BH223" s="13" t="str">
        <f t="shared" si="279"/>
        <v>3737_1</v>
      </c>
      <c r="BI223" s="13"/>
      <c r="BJ223" s="13" t="str">
        <f t="shared" si="280"/>
        <v>100000003737</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1101</v>
      </c>
      <c r="CF223" s="15" t="s">
        <v>398</v>
      </c>
      <c r="CG223" s="15" t="s">
        <v>1153</v>
      </c>
      <c r="CH223" s="15" t="s">
        <v>159</v>
      </c>
      <c r="CI223" s="13">
        <v>1</v>
      </c>
      <c r="CJ223" s="13" t="str">
        <f t="shared" si="281"/>
        <v>GAS_ENQ_NO-3737</v>
      </c>
      <c r="CK223" s="15" t="s">
        <v>779</v>
      </c>
      <c r="CL223" s="15" t="s">
        <v>391</v>
      </c>
      <c r="CM223" s="15" t="s">
        <v>390</v>
      </c>
      <c r="CN223" s="13" t="s">
        <v>1114</v>
      </c>
      <c r="CO223" s="13" t="str">
        <f t="shared" si="282"/>
        <v>GAS_JOB_ID-3737</v>
      </c>
      <c r="CP223" s="15"/>
      <c r="CQ223" s="13" t="str">
        <f t="shared" si="283"/>
        <v>100003737</v>
      </c>
      <c r="CR223" s="13"/>
      <c r="CS223" s="15" t="s">
        <v>49</v>
      </c>
      <c r="CT223" s="217"/>
      <c r="CU223" s="13"/>
      <c r="CV223" s="15"/>
      <c r="CW223" s="15"/>
      <c r="CX223" s="15"/>
      <c r="CY223" s="15"/>
      <c r="CZ223" s="15"/>
      <c r="DA223" s="15" t="s">
        <v>395</v>
      </c>
      <c r="DB223" s="13" t="str">
        <f t="shared" si="163"/>
        <v>GAS_INST_ID-3737</v>
      </c>
      <c r="DC223" s="15"/>
      <c r="DD223" s="15"/>
      <c r="DE223" s="15"/>
      <c r="DF223" s="15"/>
      <c r="DG223" s="15"/>
      <c r="DH223" s="15" t="s">
        <v>397</v>
      </c>
      <c r="DI223" s="15" t="s">
        <v>399</v>
      </c>
      <c r="DJ223" s="15" t="s">
        <v>1113</v>
      </c>
      <c r="DK223" s="15" t="s">
        <v>140</v>
      </c>
      <c r="DL223" s="218"/>
      <c r="DM223" s="218"/>
      <c r="DN223" s="13" t="str">
        <f t="shared" si="164"/>
        <v>DS_Pass-3737</v>
      </c>
      <c r="DO223" s="15"/>
      <c r="DP223" s="15"/>
      <c r="DQ223" s="15"/>
      <c r="DR223" s="13"/>
      <c r="DS223" s="13"/>
      <c r="DT223" s="15" t="s">
        <v>52</v>
      </c>
      <c r="DU223" s="15"/>
      <c r="DV223" s="15"/>
      <c r="DW223" s="13"/>
      <c r="DX223" s="15" t="s">
        <v>54</v>
      </c>
      <c r="DY223" s="15" t="s">
        <v>61</v>
      </c>
      <c r="DZ223" s="15" t="s">
        <v>402</v>
      </c>
      <c r="EA223" s="19" t="str">
        <f t="shared" si="284"/>
        <v>3737CUSTOMER_ADDRESSINST12 ROADCUSTOMER_ADDRESSTESTINGHAMCUSTOMER_ADDRESSTESTINGHAMSHIRE</v>
      </c>
      <c r="EB223" s="15" t="s">
        <v>1113</v>
      </c>
      <c r="EC223" s="218"/>
      <c r="ED223" s="218"/>
      <c r="EE223" s="218"/>
    </row>
    <row r="224" spans="1:135" s="219" customFormat="1" x14ac:dyDescent="0.2">
      <c r="A224" s="209" t="s">
        <v>1162</v>
      </c>
      <c r="B224" s="209" t="s">
        <v>892</v>
      </c>
      <c r="C224" s="209" t="s">
        <v>865</v>
      </c>
      <c r="D224" s="13">
        <f>'Run Parameters'!$B$1 + ROW()-1</f>
        <v>3738</v>
      </c>
      <c r="E224" s="15" t="s">
        <v>47</v>
      </c>
      <c r="F224" s="13" t="s">
        <v>1151</v>
      </c>
      <c r="G224" s="13" t="str">
        <f t="shared" si="265"/>
        <v>Access Dtls-3738</v>
      </c>
      <c r="H224" s="15" t="s">
        <v>275</v>
      </c>
      <c r="I224" s="13" t="str">
        <f>("MR. Test_215_INST12_"&amp;D224&amp;"")</f>
        <v>MR. Test_215_INST12_3738</v>
      </c>
      <c r="J224" s="13"/>
      <c r="K224" s="19" t="s">
        <v>425</v>
      </c>
      <c r="L224" s="13" t="str">
        <f t="shared" si="266"/>
        <v>Cust. Ref-3738</v>
      </c>
      <c r="M224" s="15" t="s">
        <v>48</v>
      </c>
      <c r="N224" s="15" t="s">
        <v>425</v>
      </c>
      <c r="O224" s="13"/>
      <c r="P224" s="13" t="str">
        <f t="shared" si="267"/>
        <v>SN-3738</v>
      </c>
      <c r="Q224" s="13" t="str">
        <f t="shared" si="268"/>
        <v>SI-3738</v>
      </c>
      <c r="R224" s="13" t="str">
        <f t="shared" si="269"/>
        <v>SE-3738</v>
      </c>
      <c r="S224" s="19" t="str">
        <f t="shared" si="270"/>
        <v>Prev_RA-3738</v>
      </c>
      <c r="T224" s="19" t="str">
        <f t="shared" si="271"/>
        <v>Prev_Comms-3738</v>
      </c>
      <c r="U224" s="15" t="s">
        <v>75</v>
      </c>
      <c r="V224" s="15" t="s">
        <v>401</v>
      </c>
      <c r="W224" s="15" t="s">
        <v>75</v>
      </c>
      <c r="X224" s="15" t="s">
        <v>1101</v>
      </c>
      <c r="Y224" s="13" t="str">
        <f t="shared" si="272"/>
        <v>Forward Add-3738</v>
      </c>
      <c r="Z224" s="15" t="s">
        <v>401</v>
      </c>
      <c r="AA224" s="133" t="str">
        <f>'Run Parameters'!$B$2</f>
        <v>2019-04-26 08:00</v>
      </c>
      <c r="AB224" s="213" t="str">
        <f>'Run Parameters'!B$3</f>
        <v>2019-04-26 18:00</v>
      </c>
      <c r="AC224" s="26">
        <f>('Run Parameters'!$B$2) - 7</f>
        <v>43574.333333333336</v>
      </c>
      <c r="AD224" s="15" t="s">
        <v>75</v>
      </c>
      <c r="AE224" s="13" t="str">
        <f t="shared" si="273"/>
        <v>LAST_METER-3738</v>
      </c>
      <c r="AF224" s="133" t="str">
        <f>'Run Parameters'!$B$2</f>
        <v>2019-04-26 08:00</v>
      </c>
      <c r="AG224" s="13" t="str">
        <f>'Run Parameters'!B$4</f>
        <v>AUTOTEST2</v>
      </c>
      <c r="AH224" s="19" t="str">
        <f t="shared" si="274"/>
        <v>Site_Contact_3738</v>
      </c>
      <c r="AI224" s="133" t="str">
        <f>'Run Parameters'!B$2</f>
        <v>2019-04-26 08:00</v>
      </c>
      <c r="AJ224" s="213" t="str">
        <f>'Run Parameters'!B$3</f>
        <v>2019-04-26 18:00</v>
      </c>
      <c r="AK224" s="13" t="s">
        <v>1101</v>
      </c>
      <c r="AL224" s="19" t="str">
        <f t="shared" si="275"/>
        <v>011593738</v>
      </c>
      <c r="AM224" s="13" t="str">
        <f t="shared" si="276"/>
        <v>01153738</v>
      </c>
      <c r="AN224" s="15"/>
      <c r="AO224" s="15"/>
      <c r="AP224" s="13">
        <v>1</v>
      </c>
      <c r="AQ224" s="15" t="s">
        <v>49</v>
      </c>
      <c r="AR224" s="15"/>
      <c r="AS224" s="13"/>
      <c r="AT224" s="15" t="s">
        <v>1123</v>
      </c>
      <c r="AU224" s="15"/>
      <c r="AV224" s="13">
        <f t="shared" si="277"/>
        <v>3738</v>
      </c>
      <c r="AW224" s="13" t="s">
        <v>1149</v>
      </c>
      <c r="AX224" s="13" t="s">
        <v>420</v>
      </c>
      <c r="AY224" s="13" t="s">
        <v>421</v>
      </c>
      <c r="AZ224" s="15" t="s">
        <v>334</v>
      </c>
      <c r="BA224" s="15" t="s">
        <v>154</v>
      </c>
      <c r="BB224" s="13">
        <v>1</v>
      </c>
      <c r="BC224" s="13">
        <f t="shared" si="278"/>
        <v>3738</v>
      </c>
      <c r="BD224" s="15" t="s">
        <v>1150</v>
      </c>
      <c r="BE224" s="15" t="s">
        <v>391</v>
      </c>
      <c r="BF224" s="15" t="s">
        <v>390</v>
      </c>
      <c r="BG224" s="13" t="s">
        <v>1151</v>
      </c>
      <c r="BH224" s="13" t="str">
        <f t="shared" si="279"/>
        <v>3738_1</v>
      </c>
      <c r="BI224" s="13"/>
      <c r="BJ224" s="13" t="str">
        <f t="shared" si="280"/>
        <v>100000003738</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1101</v>
      </c>
      <c r="CF224" s="15" t="s">
        <v>398</v>
      </c>
      <c r="CG224" s="15" t="s">
        <v>1153</v>
      </c>
      <c r="CH224" s="15" t="s">
        <v>159</v>
      </c>
      <c r="CI224" s="13">
        <v>1</v>
      </c>
      <c r="CJ224" s="13" t="str">
        <f t="shared" si="281"/>
        <v>GAS_ENQ_NO-3738</v>
      </c>
      <c r="CK224" s="15" t="s">
        <v>779</v>
      </c>
      <c r="CL224" s="15" t="s">
        <v>391</v>
      </c>
      <c r="CM224" s="15" t="s">
        <v>390</v>
      </c>
      <c r="CN224" s="13" t="s">
        <v>1114</v>
      </c>
      <c r="CO224" s="13" t="str">
        <f t="shared" si="282"/>
        <v>GAS_JOB_ID-3738</v>
      </c>
      <c r="CP224" s="15"/>
      <c r="CQ224" s="13" t="str">
        <f t="shared" si="283"/>
        <v>100003738</v>
      </c>
      <c r="CR224" s="13"/>
      <c r="CS224" s="15" t="s">
        <v>49</v>
      </c>
      <c r="CT224" s="217"/>
      <c r="CU224" s="13"/>
      <c r="CV224" s="15"/>
      <c r="CW224" s="15"/>
      <c r="CX224" s="15"/>
      <c r="CY224" s="15"/>
      <c r="CZ224" s="15"/>
      <c r="DA224" s="15" t="s">
        <v>395</v>
      </c>
      <c r="DB224" s="13" t="str">
        <f t="shared" si="163"/>
        <v>GAS_INST_ID-3738</v>
      </c>
      <c r="DC224" s="15"/>
      <c r="DD224" s="15"/>
      <c r="DE224" s="15"/>
      <c r="DF224" s="15"/>
      <c r="DG224" s="15"/>
      <c r="DH224" s="15" t="s">
        <v>397</v>
      </c>
      <c r="DI224" s="15" t="s">
        <v>399</v>
      </c>
      <c r="DJ224" s="15" t="s">
        <v>1113</v>
      </c>
      <c r="DK224" s="15" t="s">
        <v>140</v>
      </c>
      <c r="DL224" s="218"/>
      <c r="DM224" s="218"/>
      <c r="DN224" s="13" t="str">
        <f t="shared" si="164"/>
        <v>DS_Pass-3738</v>
      </c>
      <c r="DO224" s="15"/>
      <c r="DP224" s="15"/>
      <c r="DQ224" s="15"/>
      <c r="DR224" s="13"/>
      <c r="DS224" s="13"/>
      <c r="DT224" s="15" t="s">
        <v>52</v>
      </c>
      <c r="DU224" s="15"/>
      <c r="DV224" s="15"/>
      <c r="DW224" s="13"/>
      <c r="DX224" s="15" t="s">
        <v>54</v>
      </c>
      <c r="DY224" s="15" t="s">
        <v>61</v>
      </c>
      <c r="DZ224" s="15" t="s">
        <v>402</v>
      </c>
      <c r="EA224" s="19" t="str">
        <f t="shared" si="284"/>
        <v>3738CUSTOMER_ADDRESSINST12 ROADCUSTOMER_ADDRESSTESTINGHAMCUSTOMER_ADDRESSTESTINGHAMSHIRE</v>
      </c>
      <c r="EB224" s="15" t="s">
        <v>1113</v>
      </c>
      <c r="EC224" s="218"/>
      <c r="ED224" s="218"/>
      <c r="EE224" s="218"/>
    </row>
    <row r="225" spans="1:135" s="219" customFormat="1" x14ac:dyDescent="0.2">
      <c r="A225" s="209" t="s">
        <v>1135</v>
      </c>
      <c r="B225" s="209" t="s">
        <v>892</v>
      </c>
      <c r="C225" s="209" t="s">
        <v>865</v>
      </c>
      <c r="D225" s="13">
        <f>'Run Parameters'!$B$1 + ROW()-1</f>
        <v>3739</v>
      </c>
      <c r="E225" s="15" t="s">
        <v>47</v>
      </c>
      <c r="F225" s="13" t="s">
        <v>1151</v>
      </c>
      <c r="G225" s="13" t="str">
        <f t="shared" si="265"/>
        <v>Access Dtls-3739</v>
      </c>
      <c r="H225" s="15" t="s">
        <v>275</v>
      </c>
      <c r="I225" s="13" t="str">
        <f>("MR. Test_216_INST12_"&amp;D225&amp;"")</f>
        <v>MR. Test_216_INST12_3739</v>
      </c>
      <c r="J225" s="13"/>
      <c r="K225" s="19" t="s">
        <v>425</v>
      </c>
      <c r="L225" s="13" t="str">
        <f t="shared" si="266"/>
        <v>Cust. Ref-3739</v>
      </c>
      <c r="M225" s="15" t="s">
        <v>48</v>
      </c>
      <c r="N225" s="15" t="s">
        <v>425</v>
      </c>
      <c r="O225" s="13"/>
      <c r="P225" s="13" t="str">
        <f t="shared" si="267"/>
        <v>SN-3739</v>
      </c>
      <c r="Q225" s="13" t="str">
        <f t="shared" si="268"/>
        <v>SI-3739</v>
      </c>
      <c r="R225" s="13" t="str">
        <f t="shared" si="269"/>
        <v>SE-3739</v>
      </c>
      <c r="S225" s="19" t="str">
        <f t="shared" si="270"/>
        <v>Prev_RA-3739</v>
      </c>
      <c r="T225" s="19" t="str">
        <f t="shared" si="271"/>
        <v>Prev_Comms-3739</v>
      </c>
      <c r="U225" s="15" t="s">
        <v>75</v>
      </c>
      <c r="V225" s="15" t="s">
        <v>401</v>
      </c>
      <c r="W225" s="15" t="s">
        <v>75</v>
      </c>
      <c r="X225" s="15" t="s">
        <v>1101</v>
      </c>
      <c r="Y225" s="13" t="str">
        <f t="shared" si="272"/>
        <v>Forward Add-3739</v>
      </c>
      <c r="Z225" s="15" t="s">
        <v>401</v>
      </c>
      <c r="AA225" s="133" t="str">
        <f>'Run Parameters'!$B$2</f>
        <v>2019-04-26 08:00</v>
      </c>
      <c r="AB225" s="213" t="str">
        <f>'Run Parameters'!B$3</f>
        <v>2019-04-26 18:00</v>
      </c>
      <c r="AC225" s="26">
        <f>('Run Parameters'!$B$2) - 7</f>
        <v>43574.333333333336</v>
      </c>
      <c r="AD225" s="15" t="s">
        <v>75</v>
      </c>
      <c r="AE225" s="13" t="str">
        <f t="shared" si="273"/>
        <v>LAST_METER-3739</v>
      </c>
      <c r="AF225" s="133" t="str">
        <f>'Run Parameters'!$B$2</f>
        <v>2019-04-26 08:00</v>
      </c>
      <c r="AG225" s="13" t="str">
        <f>'Run Parameters'!B$4</f>
        <v>AUTOTEST2</v>
      </c>
      <c r="AH225" s="19" t="str">
        <f t="shared" si="274"/>
        <v>Site_Contact_3739</v>
      </c>
      <c r="AI225" s="133" t="str">
        <f>'Run Parameters'!B$2</f>
        <v>2019-04-26 08:00</v>
      </c>
      <c r="AJ225" s="213" t="str">
        <f>'Run Parameters'!B$3</f>
        <v>2019-04-26 18:00</v>
      </c>
      <c r="AK225" s="13" t="s">
        <v>1101</v>
      </c>
      <c r="AL225" s="19" t="str">
        <f t="shared" si="275"/>
        <v>011593739</v>
      </c>
      <c r="AM225" s="13" t="str">
        <f t="shared" si="276"/>
        <v>01153739</v>
      </c>
      <c r="AN225" s="15"/>
      <c r="AO225" s="15"/>
      <c r="AP225" s="13">
        <v>1</v>
      </c>
      <c r="AQ225" s="15" t="s">
        <v>49</v>
      </c>
      <c r="AR225" s="15"/>
      <c r="AS225" s="13"/>
      <c r="AT225" s="15" t="s">
        <v>1124</v>
      </c>
      <c r="AU225" s="15"/>
      <c r="AV225" s="13">
        <f t="shared" si="277"/>
        <v>3739</v>
      </c>
      <c r="AW225" s="13" t="s">
        <v>1149</v>
      </c>
      <c r="AX225" s="13" t="s">
        <v>420</v>
      </c>
      <c r="AY225" s="13" t="s">
        <v>421</v>
      </c>
      <c r="AZ225" s="15" t="s">
        <v>334</v>
      </c>
      <c r="BA225" s="15" t="s">
        <v>154</v>
      </c>
      <c r="BB225" s="13">
        <v>1</v>
      </c>
      <c r="BC225" s="13">
        <f t="shared" si="278"/>
        <v>3739</v>
      </c>
      <c r="BD225" s="15" t="s">
        <v>1150</v>
      </c>
      <c r="BE225" s="15" t="s">
        <v>391</v>
      </c>
      <c r="BF225" s="15" t="s">
        <v>390</v>
      </c>
      <c r="BG225" s="13" t="s">
        <v>1151</v>
      </c>
      <c r="BH225" s="13" t="str">
        <f t="shared" si="279"/>
        <v>3739_1</v>
      </c>
      <c r="BI225" s="13"/>
      <c r="BJ225" s="13" t="str">
        <f t="shared" si="280"/>
        <v>100000003739</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1101</v>
      </c>
      <c r="CF225" s="15" t="s">
        <v>398</v>
      </c>
      <c r="CG225" s="15" t="s">
        <v>1153</v>
      </c>
      <c r="CH225" s="15" t="s">
        <v>159</v>
      </c>
      <c r="CI225" s="13">
        <v>1</v>
      </c>
      <c r="CJ225" s="13" t="str">
        <f t="shared" si="281"/>
        <v>GAS_ENQ_NO-3739</v>
      </c>
      <c r="CK225" s="15" t="s">
        <v>779</v>
      </c>
      <c r="CL225" s="15" t="s">
        <v>391</v>
      </c>
      <c r="CM225" s="15" t="s">
        <v>390</v>
      </c>
      <c r="CN225" s="13" t="s">
        <v>1114</v>
      </c>
      <c r="CO225" s="13" t="str">
        <f t="shared" si="282"/>
        <v>GAS_JOB_ID-3739</v>
      </c>
      <c r="CP225" s="15"/>
      <c r="CQ225" s="13" t="str">
        <f t="shared" si="283"/>
        <v>100003739</v>
      </c>
      <c r="CR225" s="13"/>
      <c r="CS225" s="15" t="s">
        <v>49</v>
      </c>
      <c r="CT225" s="217"/>
      <c r="CU225" s="13"/>
      <c r="CV225" s="15"/>
      <c r="CW225" s="15"/>
      <c r="CX225" s="15"/>
      <c r="CY225" s="15"/>
      <c r="CZ225" s="15"/>
      <c r="DA225" s="15" t="s">
        <v>395</v>
      </c>
      <c r="DB225" s="13" t="str">
        <f t="shared" si="163"/>
        <v>GAS_INST_ID-3739</v>
      </c>
      <c r="DC225" s="15"/>
      <c r="DD225" s="15"/>
      <c r="DE225" s="15"/>
      <c r="DF225" s="15"/>
      <c r="DG225" s="15"/>
      <c r="DH225" s="15" t="s">
        <v>397</v>
      </c>
      <c r="DI225" s="15" t="s">
        <v>399</v>
      </c>
      <c r="DJ225" s="15" t="s">
        <v>1113</v>
      </c>
      <c r="DK225" s="15" t="s">
        <v>140</v>
      </c>
      <c r="DL225" s="218"/>
      <c r="DM225" s="218"/>
      <c r="DN225" s="13" t="str">
        <f t="shared" si="164"/>
        <v>DS_Pass-3739</v>
      </c>
      <c r="DO225" s="15"/>
      <c r="DP225" s="15"/>
      <c r="DQ225" s="15"/>
      <c r="DR225" s="13"/>
      <c r="DS225" s="13"/>
      <c r="DT225" s="15" t="s">
        <v>52</v>
      </c>
      <c r="DU225" s="15"/>
      <c r="DV225" s="15"/>
      <c r="DW225" s="13"/>
      <c r="DX225" s="15" t="s">
        <v>54</v>
      </c>
      <c r="DY225" s="15" t="s">
        <v>61</v>
      </c>
      <c r="DZ225" s="15" t="s">
        <v>402</v>
      </c>
      <c r="EA225" s="19" t="str">
        <f t="shared" si="284"/>
        <v>3739CUSTOMER_ADDRESSINST12 ROADCUSTOMER_ADDRESSTESTINGHAMCUSTOMER_ADDRESSTESTINGHAMSHIRE</v>
      </c>
      <c r="EB225" s="15" t="s">
        <v>1113</v>
      </c>
      <c r="EC225" s="218"/>
      <c r="ED225" s="218"/>
      <c r="EE225" s="218"/>
    </row>
    <row r="226" spans="1:135" s="219" customFormat="1" x14ac:dyDescent="0.2">
      <c r="A226" s="209" t="s">
        <v>1136</v>
      </c>
      <c r="B226" s="209" t="s">
        <v>892</v>
      </c>
      <c r="C226" s="209" t="s">
        <v>865</v>
      </c>
      <c r="D226" s="13">
        <f>'Run Parameters'!$B$1 + ROW()-1</f>
        <v>3740</v>
      </c>
      <c r="E226" s="15" t="s">
        <v>47</v>
      </c>
      <c r="F226" s="13" t="s">
        <v>1151</v>
      </c>
      <c r="G226" s="13" t="str">
        <f t="shared" si="265"/>
        <v>Access Dtls-3740</v>
      </c>
      <c r="H226" s="15" t="s">
        <v>275</v>
      </c>
      <c r="I226" s="13" t="str">
        <f>("MR. Test_217_INST12_"&amp;D226&amp;"")</f>
        <v>MR. Test_217_INST12_3740</v>
      </c>
      <c r="J226" s="13"/>
      <c r="K226" s="19" t="s">
        <v>425</v>
      </c>
      <c r="L226" s="13" t="str">
        <f t="shared" si="266"/>
        <v>Cust. Ref-3740</v>
      </c>
      <c r="M226" s="15" t="s">
        <v>48</v>
      </c>
      <c r="N226" s="15" t="s">
        <v>425</v>
      </c>
      <c r="O226" s="13"/>
      <c r="P226" s="13" t="str">
        <f t="shared" si="267"/>
        <v>SN-3740</v>
      </c>
      <c r="Q226" s="13" t="str">
        <f t="shared" si="268"/>
        <v>SI-3740</v>
      </c>
      <c r="R226" s="13" t="str">
        <f t="shared" si="269"/>
        <v>SE-3740</v>
      </c>
      <c r="S226" s="19" t="str">
        <f t="shared" si="270"/>
        <v>Prev_RA-3740</v>
      </c>
      <c r="T226" s="19" t="str">
        <f t="shared" si="271"/>
        <v>Prev_Comms-3740</v>
      </c>
      <c r="U226" s="15" t="s">
        <v>75</v>
      </c>
      <c r="V226" s="15" t="s">
        <v>401</v>
      </c>
      <c r="W226" s="15" t="s">
        <v>75</v>
      </c>
      <c r="X226" s="15" t="s">
        <v>1101</v>
      </c>
      <c r="Y226" s="13" t="str">
        <f t="shared" si="272"/>
        <v>Forward Add-3740</v>
      </c>
      <c r="Z226" s="15" t="s">
        <v>401</v>
      </c>
      <c r="AA226" s="133" t="str">
        <f>'Run Parameters'!$B$2</f>
        <v>2019-04-26 08:00</v>
      </c>
      <c r="AB226" s="213" t="str">
        <f>'Run Parameters'!B$3</f>
        <v>2019-04-26 18:00</v>
      </c>
      <c r="AC226" s="26">
        <f>('Run Parameters'!$B$2) - 7</f>
        <v>43574.333333333336</v>
      </c>
      <c r="AD226" s="15" t="s">
        <v>75</v>
      </c>
      <c r="AE226" s="13" t="str">
        <f t="shared" si="273"/>
        <v>LAST_METER-3740</v>
      </c>
      <c r="AF226" s="133" t="str">
        <f>'Run Parameters'!$B$2</f>
        <v>2019-04-26 08:00</v>
      </c>
      <c r="AG226" s="13" t="str">
        <f>'Run Parameters'!B$4</f>
        <v>AUTOTEST2</v>
      </c>
      <c r="AH226" s="19" t="str">
        <f t="shared" si="274"/>
        <v>Site_Contact_3740</v>
      </c>
      <c r="AI226" s="133" t="str">
        <f>'Run Parameters'!B$2</f>
        <v>2019-04-26 08:00</v>
      </c>
      <c r="AJ226" s="213" t="str">
        <f>'Run Parameters'!B$3</f>
        <v>2019-04-26 18:00</v>
      </c>
      <c r="AK226" s="13" t="s">
        <v>1101</v>
      </c>
      <c r="AL226" s="19" t="str">
        <f t="shared" si="275"/>
        <v>011593740</v>
      </c>
      <c r="AM226" s="13" t="str">
        <f t="shared" si="276"/>
        <v>01153740</v>
      </c>
      <c r="AN226" s="15"/>
      <c r="AO226" s="15"/>
      <c r="AP226" s="13">
        <v>1</v>
      </c>
      <c r="AQ226" s="15" t="s">
        <v>49</v>
      </c>
      <c r="AR226" s="15"/>
      <c r="AS226" s="13"/>
      <c r="AT226" s="15" t="s">
        <v>774</v>
      </c>
      <c r="AU226" s="15"/>
      <c r="AV226" s="13">
        <f t="shared" si="277"/>
        <v>3740</v>
      </c>
      <c r="AW226" s="13" t="s">
        <v>1149</v>
      </c>
      <c r="AX226" s="13" t="s">
        <v>420</v>
      </c>
      <c r="AY226" s="13" t="s">
        <v>421</v>
      </c>
      <c r="AZ226" s="15" t="s">
        <v>334</v>
      </c>
      <c r="BA226" s="15" t="s">
        <v>154</v>
      </c>
      <c r="BB226" s="13">
        <v>1</v>
      </c>
      <c r="BC226" s="13">
        <f t="shared" si="278"/>
        <v>3740</v>
      </c>
      <c r="BD226" s="15" t="s">
        <v>1150</v>
      </c>
      <c r="BE226" s="15" t="s">
        <v>391</v>
      </c>
      <c r="BF226" s="15" t="s">
        <v>390</v>
      </c>
      <c r="BG226" s="13" t="s">
        <v>1151</v>
      </c>
      <c r="BH226" s="13" t="str">
        <f t="shared" si="279"/>
        <v>3740_1</v>
      </c>
      <c r="BI226" s="13"/>
      <c r="BJ226" s="13" t="str">
        <f t="shared" si="280"/>
        <v>100000003740</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1101</v>
      </c>
      <c r="CF226" s="15" t="s">
        <v>398</v>
      </c>
      <c r="CG226" s="15" t="s">
        <v>1153</v>
      </c>
      <c r="CH226" s="15" t="s">
        <v>159</v>
      </c>
      <c r="CI226" s="13">
        <v>1</v>
      </c>
      <c r="CJ226" s="13" t="str">
        <f t="shared" si="281"/>
        <v>GAS_ENQ_NO-3740</v>
      </c>
      <c r="CK226" s="15" t="s">
        <v>779</v>
      </c>
      <c r="CL226" s="15" t="s">
        <v>391</v>
      </c>
      <c r="CM226" s="15" t="s">
        <v>390</v>
      </c>
      <c r="CN226" s="13" t="s">
        <v>1114</v>
      </c>
      <c r="CO226" s="13" t="str">
        <f t="shared" si="282"/>
        <v>GAS_JOB_ID-3740</v>
      </c>
      <c r="CP226" s="15"/>
      <c r="CQ226" s="13" t="str">
        <f t="shared" si="283"/>
        <v>100003740</v>
      </c>
      <c r="CR226" s="13"/>
      <c r="CS226" s="15" t="s">
        <v>49</v>
      </c>
      <c r="CT226" s="217"/>
      <c r="CU226" s="13"/>
      <c r="CV226" s="15"/>
      <c r="CW226" s="15"/>
      <c r="CX226" s="15"/>
      <c r="CY226" s="15"/>
      <c r="CZ226" s="15"/>
      <c r="DA226" s="15" t="s">
        <v>395</v>
      </c>
      <c r="DB226" s="13" t="str">
        <f t="shared" si="163"/>
        <v>GAS_INST_ID-3740</v>
      </c>
      <c r="DC226" s="15"/>
      <c r="DD226" s="15"/>
      <c r="DE226" s="15"/>
      <c r="DF226" s="15"/>
      <c r="DG226" s="15"/>
      <c r="DH226" s="15" t="s">
        <v>397</v>
      </c>
      <c r="DI226" s="15" t="s">
        <v>399</v>
      </c>
      <c r="DJ226" s="15" t="s">
        <v>1113</v>
      </c>
      <c r="DK226" s="15" t="s">
        <v>140</v>
      </c>
      <c r="DL226" s="218"/>
      <c r="DM226" s="218"/>
      <c r="DN226" s="13" t="str">
        <f t="shared" si="164"/>
        <v>DS_Pass-3740</v>
      </c>
      <c r="DO226" s="15"/>
      <c r="DP226" s="15"/>
      <c r="DQ226" s="15"/>
      <c r="DR226" s="13"/>
      <c r="DS226" s="13"/>
      <c r="DT226" s="15" t="s">
        <v>52</v>
      </c>
      <c r="DU226" s="15"/>
      <c r="DV226" s="15"/>
      <c r="DW226" s="13"/>
      <c r="DX226" s="15" t="s">
        <v>54</v>
      </c>
      <c r="DY226" s="15" t="s">
        <v>61</v>
      </c>
      <c r="DZ226" s="15" t="s">
        <v>402</v>
      </c>
      <c r="EA226" s="19" t="str">
        <f t="shared" si="284"/>
        <v>3740CUSTOMER_ADDRESSINST12 ROADCUSTOMER_ADDRESSTESTINGHAMCUSTOMER_ADDRESSTESTINGHAMSHIRE</v>
      </c>
      <c r="EB226" s="15" t="s">
        <v>1113</v>
      </c>
      <c r="EC226" s="218"/>
      <c r="ED226" s="218"/>
      <c r="EE226" s="218"/>
    </row>
    <row r="227" spans="1:135" s="219" customFormat="1" x14ac:dyDescent="0.2">
      <c r="A227" s="209" t="s">
        <v>1137</v>
      </c>
      <c r="B227" s="209" t="s">
        <v>892</v>
      </c>
      <c r="C227" s="209" t="s">
        <v>865</v>
      </c>
      <c r="D227" s="13">
        <f>'Run Parameters'!$B$1 + ROW()-1</f>
        <v>3741</v>
      </c>
      <c r="E227" s="15" t="s">
        <v>47</v>
      </c>
      <c r="F227" s="13" t="s">
        <v>1151</v>
      </c>
      <c r="G227" s="13" t="str">
        <f t="shared" si="265"/>
        <v>Access Dtls-3741</v>
      </c>
      <c r="H227" s="15" t="s">
        <v>275</v>
      </c>
      <c r="I227" s="13" t="str">
        <f>("MR. Test_218_INST12_"&amp;D227&amp;"")</f>
        <v>MR. Test_218_INST12_3741</v>
      </c>
      <c r="J227" s="13"/>
      <c r="K227" s="19" t="s">
        <v>425</v>
      </c>
      <c r="L227" s="13" t="str">
        <f t="shared" si="266"/>
        <v>Cust. Ref-3741</v>
      </c>
      <c r="M227" s="15" t="s">
        <v>48</v>
      </c>
      <c r="N227" s="15" t="s">
        <v>425</v>
      </c>
      <c r="O227" s="13"/>
      <c r="P227" s="13" t="str">
        <f t="shared" si="267"/>
        <v>SN-3741</v>
      </c>
      <c r="Q227" s="13" t="str">
        <f t="shared" si="268"/>
        <v>SI-3741</v>
      </c>
      <c r="R227" s="13" t="str">
        <f t="shared" si="269"/>
        <v>SE-3741</v>
      </c>
      <c r="S227" s="19" t="str">
        <f t="shared" si="270"/>
        <v>Prev_RA-3741</v>
      </c>
      <c r="T227" s="19" t="str">
        <f t="shared" si="271"/>
        <v>Prev_Comms-3741</v>
      </c>
      <c r="U227" s="15" t="s">
        <v>75</v>
      </c>
      <c r="V227" s="15" t="s">
        <v>401</v>
      </c>
      <c r="W227" s="15" t="s">
        <v>75</v>
      </c>
      <c r="X227" s="15" t="s">
        <v>1101</v>
      </c>
      <c r="Y227" s="13" t="str">
        <f t="shared" si="272"/>
        <v>Forward Add-3741</v>
      </c>
      <c r="Z227" s="15" t="s">
        <v>401</v>
      </c>
      <c r="AA227" s="133" t="str">
        <f>'Run Parameters'!$B$2</f>
        <v>2019-04-26 08:00</v>
      </c>
      <c r="AB227" s="213" t="str">
        <f>'Run Parameters'!B$3</f>
        <v>2019-04-26 18:00</v>
      </c>
      <c r="AC227" s="26">
        <f>('Run Parameters'!$B$2) - 7</f>
        <v>43574.333333333336</v>
      </c>
      <c r="AD227" s="15" t="s">
        <v>75</v>
      </c>
      <c r="AE227" s="13" t="str">
        <f t="shared" si="273"/>
        <v>LAST_METER-3741</v>
      </c>
      <c r="AF227" s="133" t="str">
        <f>'Run Parameters'!$B$2</f>
        <v>2019-04-26 08:00</v>
      </c>
      <c r="AG227" s="13" t="str">
        <f>'Run Parameters'!B$4</f>
        <v>AUTOTEST2</v>
      </c>
      <c r="AH227" s="19" t="str">
        <f t="shared" si="274"/>
        <v>Site_Contact_3741</v>
      </c>
      <c r="AI227" s="133" t="str">
        <f>'Run Parameters'!B$2</f>
        <v>2019-04-26 08:00</v>
      </c>
      <c r="AJ227" s="213" t="str">
        <f>'Run Parameters'!B$3</f>
        <v>2019-04-26 18:00</v>
      </c>
      <c r="AK227" s="13" t="s">
        <v>1101</v>
      </c>
      <c r="AL227" s="19" t="str">
        <f t="shared" si="275"/>
        <v>011593741</v>
      </c>
      <c r="AM227" s="13" t="str">
        <f t="shared" si="276"/>
        <v>01153741</v>
      </c>
      <c r="AN227" s="15"/>
      <c r="AO227" s="15"/>
      <c r="AP227" s="13">
        <v>1</v>
      </c>
      <c r="AQ227" s="15" t="s">
        <v>49</v>
      </c>
      <c r="AR227" s="15"/>
      <c r="AS227" s="13"/>
      <c r="AT227" s="15" t="s">
        <v>1125</v>
      </c>
      <c r="AU227" s="15"/>
      <c r="AV227" s="13">
        <f t="shared" si="277"/>
        <v>3741</v>
      </c>
      <c r="AW227" s="13" t="s">
        <v>1149</v>
      </c>
      <c r="AX227" s="13" t="s">
        <v>420</v>
      </c>
      <c r="AY227" s="13" t="s">
        <v>421</v>
      </c>
      <c r="AZ227" s="15" t="s">
        <v>334</v>
      </c>
      <c r="BA227" s="15" t="s">
        <v>154</v>
      </c>
      <c r="BB227" s="13">
        <v>1</v>
      </c>
      <c r="BC227" s="13">
        <f t="shared" si="278"/>
        <v>3741</v>
      </c>
      <c r="BD227" s="15" t="s">
        <v>1150</v>
      </c>
      <c r="BE227" s="15" t="s">
        <v>391</v>
      </c>
      <c r="BF227" s="15" t="s">
        <v>390</v>
      </c>
      <c r="BG227" s="13" t="s">
        <v>1151</v>
      </c>
      <c r="BH227" s="13" t="str">
        <f t="shared" si="279"/>
        <v>3741_1</v>
      </c>
      <c r="BI227" s="13"/>
      <c r="BJ227" s="13" t="str">
        <f t="shared" si="280"/>
        <v>100000003741</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1101</v>
      </c>
      <c r="CF227" s="15" t="s">
        <v>398</v>
      </c>
      <c r="CG227" s="15" t="s">
        <v>1153</v>
      </c>
      <c r="CH227" s="15" t="s">
        <v>159</v>
      </c>
      <c r="CI227" s="13">
        <v>1</v>
      </c>
      <c r="CJ227" s="13" t="str">
        <f t="shared" si="281"/>
        <v>GAS_ENQ_NO-3741</v>
      </c>
      <c r="CK227" s="15" t="s">
        <v>779</v>
      </c>
      <c r="CL227" s="15" t="s">
        <v>391</v>
      </c>
      <c r="CM227" s="15" t="s">
        <v>390</v>
      </c>
      <c r="CN227" s="13" t="s">
        <v>1114</v>
      </c>
      <c r="CO227" s="13" t="str">
        <f t="shared" si="282"/>
        <v>GAS_JOB_ID-3741</v>
      </c>
      <c r="CP227" s="15"/>
      <c r="CQ227" s="13" t="str">
        <f t="shared" si="283"/>
        <v>100003741</v>
      </c>
      <c r="CR227" s="13"/>
      <c r="CS227" s="15" t="s">
        <v>49</v>
      </c>
      <c r="CT227" s="217"/>
      <c r="CU227" s="13"/>
      <c r="CV227" s="15"/>
      <c r="CW227" s="15"/>
      <c r="CX227" s="15"/>
      <c r="CY227" s="15"/>
      <c r="CZ227" s="15"/>
      <c r="DA227" s="15" t="s">
        <v>395</v>
      </c>
      <c r="DB227" s="13" t="str">
        <f t="shared" si="163"/>
        <v>GAS_INST_ID-3741</v>
      </c>
      <c r="DC227" s="15"/>
      <c r="DD227" s="15"/>
      <c r="DE227" s="15"/>
      <c r="DF227" s="15"/>
      <c r="DG227" s="15"/>
      <c r="DH227" s="15" t="s">
        <v>397</v>
      </c>
      <c r="DI227" s="15" t="s">
        <v>399</v>
      </c>
      <c r="DJ227" s="15" t="s">
        <v>1113</v>
      </c>
      <c r="DK227" s="15" t="s">
        <v>140</v>
      </c>
      <c r="DL227" s="218"/>
      <c r="DM227" s="218"/>
      <c r="DN227" s="13" t="str">
        <f t="shared" si="164"/>
        <v>DS_Pass-3741</v>
      </c>
      <c r="DO227" s="15"/>
      <c r="DP227" s="15"/>
      <c r="DQ227" s="15"/>
      <c r="DR227" s="13"/>
      <c r="DS227" s="13"/>
      <c r="DT227" s="15" t="s">
        <v>52</v>
      </c>
      <c r="DU227" s="15"/>
      <c r="DV227" s="15"/>
      <c r="DW227" s="13"/>
      <c r="DX227" s="15" t="s">
        <v>54</v>
      </c>
      <c r="DY227" s="15" t="s">
        <v>61</v>
      </c>
      <c r="DZ227" s="15" t="s">
        <v>402</v>
      </c>
      <c r="EA227" s="19" t="str">
        <f t="shared" si="284"/>
        <v>3741CUSTOMER_ADDRESSINST12 ROADCUSTOMER_ADDRESSTESTINGHAMCUSTOMER_ADDRESSTESTINGHAMSHIRE</v>
      </c>
      <c r="EB227" s="15" t="s">
        <v>1113</v>
      </c>
      <c r="EC227" s="218"/>
      <c r="ED227" s="218"/>
      <c r="EE227" s="218"/>
    </row>
    <row r="228" spans="1:135" s="219" customFormat="1" x14ac:dyDescent="0.2">
      <c r="A228" s="209" t="s">
        <v>1083</v>
      </c>
      <c r="B228" s="209" t="s">
        <v>892</v>
      </c>
      <c r="C228" s="209" t="s">
        <v>865</v>
      </c>
      <c r="D228" s="13">
        <f>'Run Parameters'!$B$1 + ROW()-1</f>
        <v>3742</v>
      </c>
      <c r="E228" s="15" t="s">
        <v>47</v>
      </c>
      <c r="F228" s="13" t="s">
        <v>857</v>
      </c>
      <c r="G228" s="13" t="str">
        <f t="shared" ref="G228" si="285">("Access Dtls-" &amp; D228)</f>
        <v>Access Dtls-3742</v>
      </c>
      <c r="H228" s="15" t="s">
        <v>275</v>
      </c>
      <c r="I228" s="13" t="str">
        <f>("MR. Test_227_EXCH9_"&amp;D228&amp;"")</f>
        <v>MR. Test_227_EXCH9_3742</v>
      </c>
      <c r="J228" s="13"/>
      <c r="K228" s="19" t="s">
        <v>425</v>
      </c>
      <c r="L228" s="13" t="str">
        <f t="shared" ref="L228" si="286">("Cust. Ref-" &amp; D228)</f>
        <v>Cust. Ref-3742</v>
      </c>
      <c r="M228" s="15" t="s">
        <v>48</v>
      </c>
      <c r="N228" s="15" t="s">
        <v>425</v>
      </c>
      <c r="O228" s="13"/>
      <c r="P228" s="13" t="str">
        <f t="shared" ref="P228" si="287">("SN-" &amp; D228)</f>
        <v>SN-3742</v>
      </c>
      <c r="Q228" s="13" t="str">
        <f t="shared" ref="Q228" si="288">("SI-" &amp; D228)</f>
        <v>SI-3742</v>
      </c>
      <c r="R228" s="13" t="str">
        <f t="shared" ref="R228" si="289">("SE-" &amp; D228)</f>
        <v>SE-3742</v>
      </c>
      <c r="S228" s="19" t="str">
        <f t="shared" ref="S228" si="290">("Prev_RA-" &amp; D228)</f>
        <v>Prev_RA-3742</v>
      </c>
      <c r="T228" s="19" t="str">
        <f t="shared" ref="T228" si="291">("Prev_Comms-" &amp; D228)</f>
        <v>Prev_Comms-3742</v>
      </c>
      <c r="U228" s="15" t="s">
        <v>75</v>
      </c>
      <c r="V228" s="15" t="s">
        <v>401</v>
      </c>
      <c r="W228" s="15" t="s">
        <v>75</v>
      </c>
      <c r="X228" s="15" t="s">
        <v>396</v>
      </c>
      <c r="Y228" s="13" t="str">
        <f t="shared" ref="Y228" si="292">("Forward Add-" &amp; D228)</f>
        <v>Forward Add-3742</v>
      </c>
      <c r="Z228" s="15" t="s">
        <v>401</v>
      </c>
      <c r="AA228" s="133" t="str">
        <f>'Run Parameters'!$B$2</f>
        <v>2019-04-26 08:00</v>
      </c>
      <c r="AB228" s="213" t="str">
        <f>'Run Parameters'!B$3</f>
        <v>2019-04-26 18:00</v>
      </c>
      <c r="AC228" s="26">
        <f>('Run Parameters'!$B$2) - 7</f>
        <v>43574.333333333336</v>
      </c>
      <c r="AD228" s="15" t="s">
        <v>75</v>
      </c>
      <c r="AE228" s="13" t="str">
        <f t="shared" ref="AE228" si="293">("LAST_METER-" &amp; D228)</f>
        <v>LAST_METER-3742</v>
      </c>
      <c r="AF228" s="133" t="str">
        <f>'Run Parameters'!$B$2</f>
        <v>2019-04-26 08:00</v>
      </c>
      <c r="AG228" s="13" t="str">
        <f>'Run Parameters'!B$4</f>
        <v>AUTOTEST2</v>
      </c>
      <c r="AH228" s="19" t="str">
        <f t="shared" ref="AH228" si="294">("Site_Contact_" &amp; D228)</f>
        <v>Site_Contact_3742</v>
      </c>
      <c r="AI228" s="133" t="str">
        <f>'Run Parameters'!B$2</f>
        <v>2019-04-26 08:00</v>
      </c>
      <c r="AJ228" s="213" t="str">
        <f>'Run Parameters'!B$3</f>
        <v>2019-04-26 18:00</v>
      </c>
      <c r="AK228" s="13" t="s">
        <v>396</v>
      </c>
      <c r="AL228" s="19" t="str">
        <f t="shared" ref="AL228" si="295">"01159" &amp; D228</f>
        <v>011593742</v>
      </c>
      <c r="AM228" s="13" t="str">
        <f t="shared" ref="AM228" si="296">("0115" &amp; D228)</f>
        <v>01153742</v>
      </c>
      <c r="AN228" s="15"/>
      <c r="AO228" s="15"/>
      <c r="AP228" s="13">
        <v>1</v>
      </c>
      <c r="AQ228" s="15" t="s">
        <v>49</v>
      </c>
      <c r="AR228" s="15"/>
      <c r="AS228" s="13"/>
      <c r="AT228" s="15" t="s">
        <v>400</v>
      </c>
      <c r="AU228" s="15"/>
      <c r="AV228" s="13">
        <f t="shared" ref="AV228" si="297">D228</f>
        <v>3742</v>
      </c>
      <c r="AW228" s="13" t="s">
        <v>858</v>
      </c>
      <c r="AX228" s="13" t="s">
        <v>420</v>
      </c>
      <c r="AY228" s="13" t="s">
        <v>421</v>
      </c>
      <c r="AZ228" s="15" t="s">
        <v>334</v>
      </c>
      <c r="BA228" s="15" t="s">
        <v>154</v>
      </c>
      <c r="BB228" s="13">
        <v>1</v>
      </c>
      <c r="BC228" s="13">
        <f t="shared" ref="BC228" si="298">D228</f>
        <v>3742</v>
      </c>
      <c r="BD228" s="15" t="s">
        <v>962</v>
      </c>
      <c r="BE228" s="15" t="s">
        <v>390</v>
      </c>
      <c r="BF228" s="15" t="s">
        <v>391</v>
      </c>
      <c r="BG228" s="13" t="s">
        <v>857</v>
      </c>
      <c r="BH228" s="13" t="str">
        <f t="shared" ref="BH228" si="299">BC228&amp;"_"&amp;BB228</f>
        <v>3742_1</v>
      </c>
      <c r="BI228" s="13"/>
      <c r="BJ228" s="13" t="str">
        <f t="shared" ref="BJ228" si="300">"10000000" &amp; D228</f>
        <v>100000003742</v>
      </c>
      <c r="BK228" s="15" t="s">
        <v>51</v>
      </c>
      <c r="BL228" s="15" t="s">
        <v>54</v>
      </c>
      <c r="BM228" s="13" t="s">
        <v>277</v>
      </c>
      <c r="BN228" s="15" t="s">
        <v>51</v>
      </c>
      <c r="BO228" s="13" t="str">
        <f t="shared" ref="BO228" si="301">"S05S" &amp; D228</f>
        <v>S05S3742</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GAS_ENQ_NO-3742</v>
      </c>
      <c r="CK228" s="15" t="s">
        <v>779</v>
      </c>
      <c r="CL228" s="15" t="s">
        <v>391</v>
      </c>
      <c r="CM228" s="15" t="s">
        <v>390</v>
      </c>
      <c r="CN228" s="13" t="s">
        <v>780</v>
      </c>
      <c r="CO228" s="13" t="str">
        <f t="shared" ref="CO228" si="303">("GAS_JOB_ID-" &amp; D228)</f>
        <v>GAS_JOB_ID-3742</v>
      </c>
      <c r="CP228" s="15"/>
      <c r="CQ228" s="13" t="str">
        <f t="shared" ref="CQ228" si="304">"10000" &amp; D228</f>
        <v>100003742</v>
      </c>
      <c r="CR228" s="13" t="s">
        <v>154</v>
      </c>
      <c r="CS228" s="15" t="s">
        <v>51</v>
      </c>
      <c r="CT228" s="217" t="str">
        <f t="shared" ref="CT228" si="305">"GMETER" &amp; D228</f>
        <v>GMETER3742</v>
      </c>
      <c r="CU228" s="13" t="s">
        <v>161</v>
      </c>
      <c r="CV228" s="15" t="s">
        <v>165</v>
      </c>
      <c r="CW228" s="15" t="s">
        <v>414</v>
      </c>
      <c r="CX228" s="15"/>
      <c r="CY228" s="15"/>
      <c r="CZ228" s="15" t="s">
        <v>394</v>
      </c>
      <c r="DA228" s="15" t="s">
        <v>395</v>
      </c>
      <c r="DB228" s="13" t="str">
        <f t="shared" si="163"/>
        <v>GAS_INST_ID-3742</v>
      </c>
      <c r="DC228" s="15" t="s">
        <v>161</v>
      </c>
      <c r="DD228" s="15"/>
      <c r="DE228" s="15" t="s">
        <v>51</v>
      </c>
      <c r="DF228" s="15" t="s">
        <v>264</v>
      </c>
      <c r="DG228" s="15"/>
      <c r="DH228" s="15" t="s">
        <v>397</v>
      </c>
      <c r="DI228" s="15" t="s">
        <v>399</v>
      </c>
      <c r="DJ228" s="15" t="s">
        <v>856</v>
      </c>
      <c r="DK228" s="15" t="s">
        <v>140</v>
      </c>
      <c r="DL228" s="218"/>
      <c r="DM228" s="218"/>
      <c r="DN228" s="13" t="str">
        <f t="shared" si="164"/>
        <v>DS_Pass-3742</v>
      </c>
      <c r="DO228" s="15"/>
      <c r="DP228" s="15"/>
      <c r="DQ228" s="15"/>
      <c r="DR228" s="13"/>
      <c r="DS228" s="13"/>
      <c r="DT228" s="15" t="s">
        <v>52</v>
      </c>
      <c r="DU228" s="15"/>
      <c r="DV228" s="15"/>
      <c r="DW228" s="13"/>
      <c r="DX228" s="15" t="s">
        <v>54</v>
      </c>
      <c r="DY228" s="15" t="s">
        <v>61</v>
      </c>
      <c r="DZ228" s="15" t="s">
        <v>402</v>
      </c>
      <c r="EA228" s="19" t="str">
        <f t="shared" ref="EA228" si="306">CONCATENATE(AV228, $EA$1, AW228, $EA$1, AX228, $EA$1, AY228)</f>
        <v>3742CUSTOMER_ADDRESSEXCH9 ROADCUSTOMER_ADDRESSTESTINGHAMCUSTOMER_ADDRESSTESTINGHAMSHIRE</v>
      </c>
      <c r="EB228" s="15" t="s">
        <v>856</v>
      </c>
      <c r="EC228" s="218"/>
      <c r="ED228" s="218"/>
      <c r="EE228" s="218"/>
    </row>
    <row r="229" spans="1:135" s="182" customFormat="1" x14ac:dyDescent="0.2">
      <c r="A229" s="171"/>
      <c r="B229" s="171"/>
      <c r="C229" s="171"/>
      <c r="D229" s="168"/>
      <c r="E229" s="169"/>
      <c r="F229" s="170"/>
      <c r="G229" s="168"/>
      <c r="H229" s="169"/>
      <c r="I229" s="168"/>
      <c r="J229" s="170"/>
      <c r="K229" s="171"/>
      <c r="L229" s="168"/>
      <c r="M229" s="169"/>
      <c r="N229" s="169"/>
      <c r="O229" s="168"/>
      <c r="P229" s="168"/>
      <c r="Q229" s="168"/>
      <c r="R229" s="168"/>
      <c r="S229" s="172"/>
      <c r="T229" s="172"/>
      <c r="U229" s="169"/>
      <c r="V229" s="169"/>
      <c r="W229" s="169"/>
      <c r="X229" s="169"/>
      <c r="Y229" s="168"/>
      <c r="Z229" s="169"/>
      <c r="AA229" s="173"/>
      <c r="AB229" s="174"/>
      <c r="AC229" s="175"/>
      <c r="AD229" s="169"/>
      <c r="AE229" s="170"/>
      <c r="AF229" s="174"/>
      <c r="AG229" s="168"/>
      <c r="AH229" s="172"/>
      <c r="AI229" s="174"/>
      <c r="AJ229" s="213"/>
      <c r="AK229" s="168"/>
      <c r="AL229" s="172"/>
      <c r="AM229" s="168"/>
      <c r="AN229" s="169"/>
      <c r="AO229" s="185"/>
      <c r="AP229" s="168"/>
      <c r="AQ229" s="176"/>
      <c r="AR229" s="169"/>
      <c r="AS229" s="168"/>
      <c r="AT229" s="177"/>
      <c r="AU229" s="177"/>
      <c r="AV229" s="168"/>
      <c r="AW229" s="168"/>
      <c r="AX229" s="168"/>
      <c r="AY229" s="168"/>
      <c r="AZ229" s="169"/>
      <c r="BA229" s="177"/>
      <c r="BB229" s="168"/>
      <c r="BC229" s="170"/>
      <c r="BD229" s="177"/>
      <c r="BE229" s="177"/>
      <c r="BF229" s="177"/>
      <c r="BG229" s="170"/>
      <c r="BH229" s="170"/>
      <c r="BI229" s="168"/>
      <c r="BJ229" s="168"/>
      <c r="BK229" s="177"/>
      <c r="BL229" s="177"/>
      <c r="BM229" s="170"/>
      <c r="BN229" s="177"/>
      <c r="BO229" s="170"/>
      <c r="BP229" s="177"/>
      <c r="BQ229" s="177"/>
      <c r="BR229" s="170"/>
      <c r="BS229" s="177"/>
      <c r="BT229" s="177"/>
      <c r="BU229" s="177"/>
      <c r="BV229" s="177"/>
      <c r="BW229" s="177"/>
      <c r="BX229" s="177"/>
      <c r="BY229" s="177"/>
      <c r="BZ229" s="177"/>
      <c r="CA229" s="177"/>
      <c r="CB229" s="177"/>
      <c r="CC229" s="177"/>
      <c r="CD229" s="177"/>
      <c r="CE229" s="177"/>
      <c r="CF229" s="177"/>
      <c r="CG229" s="177"/>
      <c r="CH229" s="177"/>
      <c r="CI229" s="170"/>
      <c r="CJ229" s="170"/>
      <c r="CK229" s="177"/>
      <c r="CL229" s="177"/>
      <c r="CM229" s="177"/>
      <c r="CN229" s="170"/>
      <c r="CO229" s="170"/>
      <c r="CP229" s="177"/>
      <c r="CQ229" s="170"/>
      <c r="CR229" s="170"/>
      <c r="CS229" s="177"/>
      <c r="CT229" s="179"/>
      <c r="CU229" s="170"/>
      <c r="CV229" s="177"/>
      <c r="CW229" s="177"/>
      <c r="CX229" s="177"/>
      <c r="CY229" s="177"/>
      <c r="CZ229" s="177"/>
      <c r="DA229" s="177"/>
      <c r="DB229" s="170"/>
      <c r="DC229" s="177"/>
      <c r="DD229" s="177"/>
      <c r="DE229" s="177"/>
      <c r="DF229" s="177"/>
      <c r="DG229" s="177"/>
      <c r="DH229" s="177"/>
      <c r="DI229" s="177"/>
      <c r="DJ229" s="180"/>
      <c r="DK229" s="177"/>
      <c r="DL229" s="169"/>
      <c r="DM229" s="169"/>
      <c r="DN229" s="170"/>
      <c r="DO229" s="169"/>
      <c r="DP229" s="169"/>
      <c r="DQ229" s="169"/>
      <c r="DR229" s="168"/>
      <c r="DS229" s="168"/>
      <c r="DT229" s="169"/>
      <c r="DU229" s="169"/>
      <c r="DV229" s="169"/>
      <c r="DW229" s="168"/>
      <c r="DX229" s="169"/>
      <c r="DY229" s="169"/>
      <c r="DZ229" s="177"/>
      <c r="EA229" s="172"/>
      <c r="EB229" s="177"/>
      <c r="EC229" s="177"/>
      <c r="ED229" s="177"/>
      <c r="EE229" s="181"/>
    </row>
    <row r="230" spans="1:135" s="182" customFormat="1" x14ac:dyDescent="0.2">
      <c r="A230" s="171"/>
      <c r="B230" s="171"/>
      <c r="C230" s="171"/>
      <c r="D230" s="168">
        <f>'Run Parameters'!$B$1 + ROW()-1</f>
        <v>3744</v>
      </c>
      <c r="E230" s="169" t="s">
        <v>47</v>
      </c>
      <c r="F230" s="170" t="s">
        <v>766</v>
      </c>
      <c r="G230" s="168" t="str">
        <f t="shared" ref="G230:G240" si="307">("Access Dtls-" &amp; D230)</f>
        <v>Access Dtls-3744</v>
      </c>
      <c r="H230" s="169" t="s">
        <v>275</v>
      </c>
      <c r="I230" s="168" t="str">
        <f>("MR. Test_"&amp; AV230 &amp;"_EXCH3")</f>
        <v>MR. Test_3744_EXCH3</v>
      </c>
      <c r="J230" s="170"/>
      <c r="K230" s="171" t="s">
        <v>425</v>
      </c>
      <c r="L230" s="168" t="str">
        <f t="shared" ref="L230:L240" si="308">("Cust. Ref-" &amp; D230)</f>
        <v>Cust. Ref-3744</v>
      </c>
      <c r="M230" s="169" t="s">
        <v>48</v>
      </c>
      <c r="N230" s="169" t="s">
        <v>425</v>
      </c>
      <c r="O230" s="168"/>
      <c r="P230" s="168" t="str">
        <f t="shared" ref="P230:P240" si="309">("SN-" &amp; D230)</f>
        <v>SN-3744</v>
      </c>
      <c r="Q230" s="168" t="str">
        <f t="shared" ref="Q230:Q240" si="310">("SI-" &amp; D230)</f>
        <v>SI-3744</v>
      </c>
      <c r="R230" s="168" t="str">
        <f t="shared" ref="R230:R240" si="311">("SE-" &amp; D230)</f>
        <v>SE-3744</v>
      </c>
      <c r="S230" s="172" t="str">
        <f t="shared" ref="S230:S240" si="312">("Prev_RA-" &amp; D230)</f>
        <v>Prev_RA-3744</v>
      </c>
      <c r="T230" s="172" t="str">
        <f t="shared" ref="T230:T240" si="313">("Prev_Comms-" &amp; D230)</f>
        <v>Prev_Comms-3744</v>
      </c>
      <c r="U230" s="169" t="s">
        <v>75</v>
      </c>
      <c r="V230" s="169" t="s">
        <v>401</v>
      </c>
      <c r="W230" s="169" t="s">
        <v>75</v>
      </c>
      <c r="X230" s="169" t="s">
        <v>396</v>
      </c>
      <c r="Y230" s="168" t="str">
        <f t="shared" ref="Y230:Y240" si="314">("Forward Add-" &amp; D230)</f>
        <v>Forward Add-3744</v>
      </c>
      <c r="Z230" s="169" t="s">
        <v>401</v>
      </c>
      <c r="AA230" s="173" t="str">
        <f>'Run Parameters'!$B$2</f>
        <v>2019-04-26 08:00</v>
      </c>
      <c r="AB230" s="173" t="str">
        <f>'Run Parameters'!B$3</f>
        <v>2019-04-26 18:00</v>
      </c>
      <c r="AC230" s="175">
        <f>('Run Parameters'!$B$2) - 7</f>
        <v>43574.333333333336</v>
      </c>
      <c r="AD230" s="169" t="s">
        <v>75</v>
      </c>
      <c r="AE230" s="170" t="str">
        <f t="shared" ref="AE230:AE240" si="315">("LAST_METER-" &amp; D230)</f>
        <v>LAST_METER-3744</v>
      </c>
      <c r="AF230" s="173" t="str">
        <f>'Run Parameters'!$B$2</f>
        <v>2019-04-26 08:00</v>
      </c>
      <c r="AG230" s="168" t="str">
        <f>'Run Parameters'!B$4</f>
        <v>AUTOTEST2</v>
      </c>
      <c r="AH230" s="172" t="str">
        <f t="shared" ref="AH230:AH240" si="316">("Site_Contact_" &amp; D230)</f>
        <v>Site_Contact_3744</v>
      </c>
      <c r="AI230" s="173" t="str">
        <f>'Run Parameters'!B$2</f>
        <v>2019-04-26 08:00</v>
      </c>
      <c r="AJ230" s="215" t="str">
        <f>'Run Parameters'!B$3</f>
        <v>2019-04-26 18:00</v>
      </c>
      <c r="AK230" s="168" t="s">
        <v>396</v>
      </c>
      <c r="AL230" s="172" t="str">
        <f t="shared" ref="AL230:AL240" si="317">"01159" &amp; D230</f>
        <v>011593744</v>
      </c>
      <c r="AM230" s="168" t="str">
        <f t="shared" ref="AM230:AM240" si="318">("0115" &amp; D230)</f>
        <v>01153744</v>
      </c>
      <c r="AN230" s="169"/>
      <c r="AO230" s="185"/>
      <c r="AP230" s="168">
        <v>1</v>
      </c>
      <c r="AQ230" s="176" t="s">
        <v>49</v>
      </c>
      <c r="AR230" s="169"/>
      <c r="AS230" s="168"/>
      <c r="AT230" s="177" t="s">
        <v>400</v>
      </c>
      <c r="AU230" s="177"/>
      <c r="AV230" s="168">
        <f t="shared" ref="AV230:AV240" si="319">D230</f>
        <v>3744</v>
      </c>
      <c r="AW230" s="168" t="s">
        <v>767</v>
      </c>
      <c r="AX230" s="168" t="s">
        <v>420</v>
      </c>
      <c r="AY230" s="168" t="s">
        <v>421</v>
      </c>
      <c r="AZ230" s="169" t="s">
        <v>334</v>
      </c>
      <c r="BA230" s="177" t="s">
        <v>154</v>
      </c>
      <c r="BB230" s="168">
        <v>1</v>
      </c>
      <c r="BC230" s="170">
        <f t="shared" ref="BC230:BC240" si="320">D230</f>
        <v>3744</v>
      </c>
      <c r="BD230" s="177" t="s">
        <v>768</v>
      </c>
      <c r="BE230" s="177" t="s">
        <v>391</v>
      </c>
      <c r="BF230" s="177" t="s">
        <v>391</v>
      </c>
      <c r="BG230" s="170" t="s">
        <v>766</v>
      </c>
      <c r="BH230" s="170" t="str">
        <f t="shared" ref="BH230:BH240" si="321">BC230&amp;"_"&amp;BB230</f>
        <v>3744_1</v>
      </c>
      <c r="BI230" s="168"/>
      <c r="BJ230" s="168" t="str">
        <f t="shared" ref="BJ230:BJ240" si="322">"10000000" &amp; D230</f>
        <v>100000003744</v>
      </c>
      <c r="BK230" s="177" t="s">
        <v>51</v>
      </c>
      <c r="BL230" s="177" t="s">
        <v>54</v>
      </c>
      <c r="BM230" s="170" t="s">
        <v>769</v>
      </c>
      <c r="BN230" s="177" t="s">
        <v>51</v>
      </c>
      <c r="BO230" s="170" t="str">
        <f t="shared" ref="BO230:BO240" si="323">"S05S" &amp; D230</f>
        <v>S05S3744</v>
      </c>
      <c r="BP230" s="177" t="s">
        <v>770</v>
      </c>
      <c r="BQ230" s="177" t="s">
        <v>770</v>
      </c>
      <c r="BR230" s="170" t="s">
        <v>161</v>
      </c>
      <c r="BS230" s="177" t="s">
        <v>50</v>
      </c>
      <c r="BT230" s="177" t="s">
        <v>47</v>
      </c>
      <c r="BU230" s="177" t="s">
        <v>393</v>
      </c>
      <c r="BV230" s="177" t="s">
        <v>51</v>
      </c>
      <c r="BW230" s="177" t="s">
        <v>154</v>
      </c>
      <c r="BX230" s="177"/>
      <c r="BY230" s="177"/>
      <c r="BZ230" s="177" t="s">
        <v>157</v>
      </c>
      <c r="CA230" s="177" t="s">
        <v>269</v>
      </c>
      <c r="CB230" s="177" t="s">
        <v>412</v>
      </c>
      <c r="CC230" s="177" t="s">
        <v>771</v>
      </c>
      <c r="CD230" s="177" t="s">
        <v>392</v>
      </c>
      <c r="CE230" s="177" t="s">
        <v>396</v>
      </c>
      <c r="CF230" s="177" t="s">
        <v>398</v>
      </c>
      <c r="CG230" s="177" t="s">
        <v>267</v>
      </c>
      <c r="CH230" s="177" t="s">
        <v>159</v>
      </c>
      <c r="CI230" s="170">
        <v>1</v>
      </c>
      <c r="CJ230" s="170" t="str">
        <f>("GAS_ENQ_NO-" &amp; D230)</f>
        <v>GAS_ENQ_NO-3744</v>
      </c>
      <c r="CK230" s="177" t="s">
        <v>165</v>
      </c>
      <c r="CL230" s="177" t="s">
        <v>391</v>
      </c>
      <c r="CM230" s="177" t="s">
        <v>391</v>
      </c>
      <c r="CN230" s="170" t="s">
        <v>278</v>
      </c>
      <c r="CO230" s="170" t="str">
        <f>("GAS_JOB_ID-" &amp; D230)</f>
        <v>GAS_JOB_ID-3744</v>
      </c>
      <c r="CP230" s="177"/>
      <c r="CQ230" s="170" t="str">
        <f>"10000" &amp; D230</f>
        <v>100003744</v>
      </c>
      <c r="CR230" s="170" t="s">
        <v>154</v>
      </c>
      <c r="CS230" s="177" t="s">
        <v>51</v>
      </c>
      <c r="CT230" s="179" t="str">
        <f>"GMETER" &amp; D230</f>
        <v>GMETER3744</v>
      </c>
      <c r="CU230" s="170" t="s">
        <v>161</v>
      </c>
      <c r="CV230" s="177" t="s">
        <v>165</v>
      </c>
      <c r="CW230" s="177" t="s">
        <v>772</v>
      </c>
      <c r="CX230" s="177"/>
      <c r="CY230" s="177"/>
      <c r="CZ230" s="177" t="s">
        <v>394</v>
      </c>
      <c r="DA230" s="177" t="s">
        <v>395</v>
      </c>
      <c r="DB230" s="170" t="str">
        <f>("GAS_INST_ID-" &amp; $D230)</f>
        <v>GAS_INST_ID-3744</v>
      </c>
      <c r="DC230" s="177" t="s">
        <v>161</v>
      </c>
      <c r="DD230" s="177"/>
      <c r="DE230" s="177" t="s">
        <v>51</v>
      </c>
      <c r="DF230" s="177" t="s">
        <v>264</v>
      </c>
      <c r="DG230" s="177"/>
      <c r="DH230" s="177" t="s">
        <v>397</v>
      </c>
      <c r="DI230" s="177" t="s">
        <v>399</v>
      </c>
      <c r="DJ230" s="180" t="s">
        <v>267</v>
      </c>
      <c r="DK230" s="177" t="s">
        <v>140</v>
      </c>
      <c r="DL230" s="169"/>
      <c r="DM230" s="169"/>
      <c r="DN230" s="170" t="str">
        <f>("DS_Pass-" &amp; $D230)</f>
        <v>DS_Pass-3744</v>
      </c>
      <c r="DO230" s="169"/>
      <c r="DP230" s="169"/>
      <c r="DQ230" s="169"/>
      <c r="DR230" s="168"/>
      <c r="DS230" s="168"/>
      <c r="DT230" s="169"/>
      <c r="DU230" s="169"/>
      <c r="DV230" s="169"/>
      <c r="DW230" s="168"/>
      <c r="DX230" s="169"/>
      <c r="DY230" s="169"/>
      <c r="DZ230" s="177" t="s">
        <v>770</v>
      </c>
      <c r="EA230" s="172"/>
      <c r="EB230" s="177"/>
      <c r="EC230" s="177"/>
      <c r="ED230" s="177"/>
      <c r="EE230" s="181"/>
    </row>
    <row r="231" spans="1:135" s="182" customFormat="1" x14ac:dyDescent="0.2">
      <c r="A231" s="171"/>
      <c r="B231" s="171"/>
      <c r="C231" s="171"/>
      <c r="D231" s="168">
        <f>'Run Parameters'!$B$1 + ROW()-1</f>
        <v>3745</v>
      </c>
      <c r="E231" s="169" t="s">
        <v>47</v>
      </c>
      <c r="F231" s="170" t="s">
        <v>766</v>
      </c>
      <c r="G231" s="168" t="str">
        <f t="shared" si="307"/>
        <v>Access Dtls-3745</v>
      </c>
      <c r="H231" s="169" t="s">
        <v>275</v>
      </c>
      <c r="I231" s="168" t="str">
        <f>("MR. Test_"&amp; AV231 &amp;"_EXCH3")</f>
        <v>MR. Test_3745_EXCH3</v>
      </c>
      <c r="J231" s="170"/>
      <c r="K231" s="171" t="s">
        <v>425</v>
      </c>
      <c r="L231" s="168" t="str">
        <f t="shared" si="308"/>
        <v>Cust. Ref-3745</v>
      </c>
      <c r="M231" s="169" t="s">
        <v>48</v>
      </c>
      <c r="N231" s="169" t="s">
        <v>425</v>
      </c>
      <c r="O231" s="168"/>
      <c r="P231" s="168" t="str">
        <f t="shared" si="309"/>
        <v>SN-3745</v>
      </c>
      <c r="Q231" s="168" t="str">
        <f t="shared" si="310"/>
        <v>SI-3745</v>
      </c>
      <c r="R231" s="168" t="str">
        <f t="shared" si="311"/>
        <v>SE-3745</v>
      </c>
      <c r="S231" s="172" t="str">
        <f t="shared" si="312"/>
        <v>Prev_RA-3745</v>
      </c>
      <c r="T231" s="172" t="str">
        <f t="shared" si="313"/>
        <v>Prev_Comms-3745</v>
      </c>
      <c r="U231" s="169" t="s">
        <v>75</v>
      </c>
      <c r="V231" s="169" t="s">
        <v>401</v>
      </c>
      <c r="W231" s="169" t="s">
        <v>75</v>
      </c>
      <c r="X231" s="169" t="s">
        <v>396</v>
      </c>
      <c r="Y231" s="168" t="str">
        <f t="shared" si="314"/>
        <v>Forward Add-3745</v>
      </c>
      <c r="Z231" s="169" t="s">
        <v>401</v>
      </c>
      <c r="AA231" s="173" t="str">
        <f>'Run Parameters'!$B$2</f>
        <v>2019-04-26 08:00</v>
      </c>
      <c r="AB231" s="173" t="str">
        <f>'Run Parameters'!B$3</f>
        <v>2019-04-26 18:00</v>
      </c>
      <c r="AC231" s="175">
        <f>('Run Parameters'!$B$2) - 7</f>
        <v>43574.333333333336</v>
      </c>
      <c r="AD231" s="169" t="s">
        <v>75</v>
      </c>
      <c r="AE231" s="170" t="str">
        <f t="shared" si="315"/>
        <v>LAST_METER-3745</v>
      </c>
      <c r="AF231" s="173" t="str">
        <f>'Run Parameters'!$B$2</f>
        <v>2019-04-26 08:00</v>
      </c>
      <c r="AG231" s="168" t="str">
        <f>'Run Parameters'!B$4</f>
        <v>AUTOTEST2</v>
      </c>
      <c r="AH231" s="172" t="str">
        <f t="shared" si="316"/>
        <v>Site_Contact_3745</v>
      </c>
      <c r="AI231" s="173" t="str">
        <f>'Run Parameters'!B$2</f>
        <v>2019-04-26 08:00</v>
      </c>
      <c r="AJ231" s="215" t="str">
        <f>'Run Parameters'!B$3</f>
        <v>2019-04-26 18:00</v>
      </c>
      <c r="AK231" s="168" t="s">
        <v>396</v>
      </c>
      <c r="AL231" s="172" t="str">
        <f t="shared" si="317"/>
        <v>011593745</v>
      </c>
      <c r="AM231" s="168" t="str">
        <f t="shared" si="318"/>
        <v>01153745</v>
      </c>
      <c r="AN231" s="169"/>
      <c r="AO231" s="185"/>
      <c r="AP231" s="168">
        <v>1</v>
      </c>
      <c r="AQ231" s="176" t="s">
        <v>49</v>
      </c>
      <c r="AR231" s="169"/>
      <c r="AS231" s="168"/>
      <c r="AT231" s="177" t="s">
        <v>400</v>
      </c>
      <c r="AU231" s="177"/>
      <c r="AV231" s="168">
        <f t="shared" si="319"/>
        <v>3745</v>
      </c>
      <c r="AW231" s="168" t="s">
        <v>767</v>
      </c>
      <c r="AX231" s="168" t="s">
        <v>420</v>
      </c>
      <c r="AY231" s="168" t="s">
        <v>421</v>
      </c>
      <c r="AZ231" s="169" t="s">
        <v>334</v>
      </c>
      <c r="BA231" s="177" t="s">
        <v>154</v>
      </c>
      <c r="BB231" s="168">
        <v>1</v>
      </c>
      <c r="BC231" s="170">
        <f t="shared" si="320"/>
        <v>3745</v>
      </c>
      <c r="BD231" s="177" t="s">
        <v>768</v>
      </c>
      <c r="BE231" s="177" t="s">
        <v>391</v>
      </c>
      <c r="BF231" s="177" t="s">
        <v>391</v>
      </c>
      <c r="BG231" s="170" t="s">
        <v>766</v>
      </c>
      <c r="BH231" s="170" t="str">
        <f t="shared" si="321"/>
        <v>3745_1</v>
      </c>
      <c r="BI231" s="168"/>
      <c r="BJ231" s="168" t="str">
        <f t="shared" si="322"/>
        <v>100000003745</v>
      </c>
      <c r="BK231" s="177" t="s">
        <v>51</v>
      </c>
      <c r="BL231" s="177" t="s">
        <v>54</v>
      </c>
      <c r="BM231" s="170" t="s">
        <v>769</v>
      </c>
      <c r="BN231" s="177" t="s">
        <v>51</v>
      </c>
      <c r="BO231" s="170" t="str">
        <f t="shared" si="323"/>
        <v>S05S3745</v>
      </c>
      <c r="BP231" s="177" t="s">
        <v>770</v>
      </c>
      <c r="BQ231" s="177" t="s">
        <v>770</v>
      </c>
      <c r="BR231" s="170" t="s">
        <v>161</v>
      </c>
      <c r="BS231" s="177" t="s">
        <v>50</v>
      </c>
      <c r="BT231" s="177" t="s">
        <v>47</v>
      </c>
      <c r="BU231" s="177" t="s">
        <v>393</v>
      </c>
      <c r="BV231" s="177" t="s">
        <v>51</v>
      </c>
      <c r="BW231" s="177" t="s">
        <v>154</v>
      </c>
      <c r="BX231" s="177"/>
      <c r="BY231" s="177"/>
      <c r="BZ231" s="177" t="s">
        <v>157</v>
      </c>
      <c r="CA231" s="177" t="s">
        <v>269</v>
      </c>
      <c r="CB231" s="177" t="s">
        <v>412</v>
      </c>
      <c r="CC231" s="177" t="s">
        <v>771</v>
      </c>
      <c r="CD231" s="177" t="s">
        <v>392</v>
      </c>
      <c r="CE231" s="177" t="s">
        <v>396</v>
      </c>
      <c r="CF231" s="177" t="s">
        <v>398</v>
      </c>
      <c r="CG231" s="177" t="s">
        <v>267</v>
      </c>
      <c r="CH231" s="177" t="s">
        <v>159</v>
      </c>
      <c r="CI231" s="170">
        <v>1</v>
      </c>
      <c r="CJ231" s="170" t="str">
        <f>("GAS_ENQ_NO-" &amp; D231)</f>
        <v>GAS_ENQ_NO-3745</v>
      </c>
      <c r="CK231" s="177" t="s">
        <v>165</v>
      </c>
      <c r="CL231" s="177" t="s">
        <v>391</v>
      </c>
      <c r="CM231" s="177" t="s">
        <v>391</v>
      </c>
      <c r="CN231" s="170" t="s">
        <v>278</v>
      </c>
      <c r="CO231" s="170" t="str">
        <f>("GAS_JOB_ID-" &amp; D231)</f>
        <v>GAS_JOB_ID-3745</v>
      </c>
      <c r="CP231" s="177"/>
      <c r="CQ231" s="170" t="str">
        <f>"10000" &amp; D231</f>
        <v>100003745</v>
      </c>
      <c r="CR231" s="170" t="s">
        <v>154</v>
      </c>
      <c r="CS231" s="177" t="s">
        <v>51</v>
      </c>
      <c r="CT231" s="179" t="str">
        <f>"GMETER" &amp; D231</f>
        <v>GMETER3745</v>
      </c>
      <c r="CU231" s="170" t="s">
        <v>161</v>
      </c>
      <c r="CV231" s="177" t="s">
        <v>165</v>
      </c>
      <c r="CW231" s="177" t="s">
        <v>772</v>
      </c>
      <c r="CX231" s="177"/>
      <c r="CY231" s="177"/>
      <c r="CZ231" s="177" t="s">
        <v>394</v>
      </c>
      <c r="DA231" s="177" t="s">
        <v>395</v>
      </c>
      <c r="DB231" s="170" t="str">
        <f>("GAS_INST_ID-" &amp; $D231)</f>
        <v>GAS_INST_ID-3745</v>
      </c>
      <c r="DC231" s="177" t="s">
        <v>161</v>
      </c>
      <c r="DD231" s="177"/>
      <c r="DE231" s="177" t="s">
        <v>51</v>
      </c>
      <c r="DF231" s="177" t="s">
        <v>264</v>
      </c>
      <c r="DG231" s="177"/>
      <c r="DH231" s="177" t="s">
        <v>397</v>
      </c>
      <c r="DI231" s="177" t="s">
        <v>399</v>
      </c>
      <c r="DJ231" s="180" t="s">
        <v>267</v>
      </c>
      <c r="DK231" s="177" t="s">
        <v>140</v>
      </c>
      <c r="DL231" s="169"/>
      <c r="DM231" s="169"/>
      <c r="DN231" s="170" t="str">
        <f>("DS_Pass-" &amp; $D231)</f>
        <v>DS_Pass-3745</v>
      </c>
      <c r="DO231" s="169"/>
      <c r="DP231" s="169"/>
      <c r="DQ231" s="169"/>
      <c r="DR231" s="168"/>
      <c r="DS231" s="168"/>
      <c r="DT231" s="169"/>
      <c r="DU231" s="169"/>
      <c r="DV231" s="169"/>
      <c r="DW231" s="168"/>
      <c r="DX231" s="169"/>
      <c r="DY231" s="169"/>
      <c r="DZ231" s="177" t="s">
        <v>770</v>
      </c>
      <c r="EA231" s="172"/>
      <c r="EB231" s="177"/>
      <c r="EC231" s="177"/>
      <c r="ED231" s="177"/>
      <c r="EE231" s="181"/>
    </row>
    <row r="232" spans="1:135" s="182" customFormat="1" x14ac:dyDescent="0.2">
      <c r="A232" s="171"/>
      <c r="B232" s="171"/>
      <c r="C232" s="171"/>
      <c r="D232" s="168">
        <f>'Run Parameters'!$B$1 + ROW()-1</f>
        <v>3746</v>
      </c>
      <c r="E232" s="169" t="s">
        <v>47</v>
      </c>
      <c r="F232" s="170" t="s">
        <v>766</v>
      </c>
      <c r="G232" s="168" t="str">
        <f t="shared" si="307"/>
        <v>Access Dtls-3746</v>
      </c>
      <c r="H232" s="169" t="s">
        <v>275</v>
      </c>
      <c r="I232" s="168" t="str">
        <f>("MR. Test_"&amp; AV232 &amp;"_EXCH3")</f>
        <v>MR. Test_3746_EXCH3</v>
      </c>
      <c r="J232" s="170"/>
      <c r="K232" s="171" t="s">
        <v>425</v>
      </c>
      <c r="L232" s="168" t="str">
        <f t="shared" si="308"/>
        <v>Cust. Ref-3746</v>
      </c>
      <c r="M232" s="169" t="s">
        <v>48</v>
      </c>
      <c r="N232" s="169" t="s">
        <v>425</v>
      </c>
      <c r="O232" s="168"/>
      <c r="P232" s="168" t="str">
        <f t="shared" si="309"/>
        <v>SN-3746</v>
      </c>
      <c r="Q232" s="168" t="str">
        <f t="shared" si="310"/>
        <v>SI-3746</v>
      </c>
      <c r="R232" s="168" t="str">
        <f t="shared" si="311"/>
        <v>SE-3746</v>
      </c>
      <c r="S232" s="172" t="str">
        <f t="shared" si="312"/>
        <v>Prev_RA-3746</v>
      </c>
      <c r="T232" s="172" t="str">
        <f t="shared" si="313"/>
        <v>Prev_Comms-3746</v>
      </c>
      <c r="U232" s="169" t="s">
        <v>75</v>
      </c>
      <c r="V232" s="169" t="s">
        <v>844</v>
      </c>
      <c r="W232" s="169" t="s">
        <v>75</v>
      </c>
      <c r="X232" s="169" t="s">
        <v>396</v>
      </c>
      <c r="Y232" s="168" t="str">
        <f t="shared" si="314"/>
        <v>Forward Add-3746</v>
      </c>
      <c r="Z232" s="169" t="s">
        <v>844</v>
      </c>
      <c r="AA232" s="173" t="str">
        <f>'Run Parameters'!$B$2</f>
        <v>2019-04-26 08:00</v>
      </c>
      <c r="AB232" s="173" t="str">
        <f>'Run Parameters'!B$3</f>
        <v>2019-04-26 18:00</v>
      </c>
      <c r="AC232" s="175">
        <f>('Run Parameters'!$B$2) - 7</f>
        <v>43574.333333333336</v>
      </c>
      <c r="AD232" s="169" t="s">
        <v>75</v>
      </c>
      <c r="AE232" s="170" t="str">
        <f t="shared" si="315"/>
        <v>LAST_METER-3746</v>
      </c>
      <c r="AF232" s="173" t="str">
        <f>'Run Parameters'!$B$2</f>
        <v>2019-04-26 08:00</v>
      </c>
      <c r="AG232" s="168" t="str">
        <f>'Run Parameters'!B$4</f>
        <v>AUTOTEST2</v>
      </c>
      <c r="AH232" s="172" t="str">
        <f t="shared" si="316"/>
        <v>Site_Contact_3746</v>
      </c>
      <c r="AI232" s="173" t="str">
        <f>'Run Parameters'!B$2</f>
        <v>2019-04-26 08:00</v>
      </c>
      <c r="AJ232" s="215" t="str">
        <f>'Run Parameters'!B$3</f>
        <v>2019-04-26 18:00</v>
      </c>
      <c r="AK232" s="168" t="s">
        <v>396</v>
      </c>
      <c r="AL232" s="172" t="str">
        <f t="shared" si="317"/>
        <v>011593746</v>
      </c>
      <c r="AM232" s="168" t="str">
        <f t="shared" si="318"/>
        <v>01153746</v>
      </c>
      <c r="AN232" s="169"/>
      <c r="AO232" s="185"/>
      <c r="AP232" s="168">
        <v>2</v>
      </c>
      <c r="AQ232" s="176" t="s">
        <v>51</v>
      </c>
      <c r="AR232" s="169"/>
      <c r="AS232" s="168"/>
      <c r="AT232" s="177" t="s">
        <v>845</v>
      </c>
      <c r="AU232" s="177"/>
      <c r="AV232" s="168">
        <f t="shared" si="319"/>
        <v>3746</v>
      </c>
      <c r="AW232" s="168" t="s">
        <v>767</v>
      </c>
      <c r="AX232" s="168" t="s">
        <v>420</v>
      </c>
      <c r="AY232" s="168" t="s">
        <v>421</v>
      </c>
      <c r="AZ232" s="169" t="s">
        <v>334</v>
      </c>
      <c r="BA232" s="177" t="s">
        <v>154</v>
      </c>
      <c r="BB232" s="168">
        <v>2</v>
      </c>
      <c r="BC232" s="170">
        <f t="shared" si="320"/>
        <v>3746</v>
      </c>
      <c r="BD232" s="177" t="s">
        <v>768</v>
      </c>
      <c r="BE232" s="177" t="s">
        <v>391</v>
      </c>
      <c r="BF232" s="177" t="s">
        <v>391</v>
      </c>
      <c r="BG232" s="170" t="s">
        <v>766</v>
      </c>
      <c r="BH232" s="170" t="str">
        <f t="shared" si="321"/>
        <v>3746_2</v>
      </c>
      <c r="BI232" s="168"/>
      <c r="BJ232" s="168" t="str">
        <f t="shared" si="322"/>
        <v>100000003746</v>
      </c>
      <c r="BK232" s="177" t="s">
        <v>65</v>
      </c>
      <c r="BL232" s="177" t="s">
        <v>846</v>
      </c>
      <c r="BM232" s="170" t="s">
        <v>847</v>
      </c>
      <c r="BN232" s="177" t="s">
        <v>65</v>
      </c>
      <c r="BO232" s="170" t="str">
        <f t="shared" si="323"/>
        <v>S05S3746</v>
      </c>
      <c r="BP232" s="177" t="s">
        <v>770</v>
      </c>
      <c r="BQ232" s="177" t="s">
        <v>770</v>
      </c>
      <c r="BR232" s="170" t="s">
        <v>161</v>
      </c>
      <c r="BS232" s="177" t="s">
        <v>202</v>
      </c>
      <c r="BT232" s="177" t="s">
        <v>47</v>
      </c>
      <c r="BU232" s="177" t="s">
        <v>848</v>
      </c>
      <c r="BV232" s="177" t="s">
        <v>65</v>
      </c>
      <c r="BW232" s="177" t="s">
        <v>154</v>
      </c>
      <c r="BX232" s="177"/>
      <c r="BY232" s="177"/>
      <c r="BZ232" s="177" t="s">
        <v>157</v>
      </c>
      <c r="CA232" s="177" t="s">
        <v>849</v>
      </c>
      <c r="CB232" s="177" t="s">
        <v>850</v>
      </c>
      <c r="CC232" s="177" t="s">
        <v>851</v>
      </c>
      <c r="CD232" s="177" t="s">
        <v>392</v>
      </c>
      <c r="CE232" s="177" t="s">
        <v>396</v>
      </c>
      <c r="CF232" s="177" t="s">
        <v>398</v>
      </c>
      <c r="CG232" s="177" t="s">
        <v>852</v>
      </c>
      <c r="CH232" s="177" t="s">
        <v>159</v>
      </c>
      <c r="CI232" s="170">
        <v>2</v>
      </c>
      <c r="CJ232" s="170" t="str">
        <f>("GAS_ENQ_NO-" &amp; D232)</f>
        <v>GAS_ENQ_NO-3746</v>
      </c>
      <c r="CK232" s="177" t="s">
        <v>853</v>
      </c>
      <c r="CL232" s="177" t="s">
        <v>391</v>
      </c>
      <c r="CM232" s="177" t="s">
        <v>391</v>
      </c>
      <c r="CN232" s="170" t="s">
        <v>278</v>
      </c>
      <c r="CO232" s="170" t="str">
        <f>("GAS_JOB_ID-" &amp; D232)</f>
        <v>GAS_JOB_ID-3746</v>
      </c>
      <c r="CP232" s="177"/>
      <c r="CQ232" s="170" t="str">
        <f>"10000" &amp; D232</f>
        <v>100003746</v>
      </c>
      <c r="CR232" s="170" t="s">
        <v>154</v>
      </c>
      <c r="CS232" s="177" t="s">
        <v>65</v>
      </c>
      <c r="CT232" s="179" t="str">
        <f>"GMETER" &amp; D232</f>
        <v>GMETER3746</v>
      </c>
      <c r="CU232" s="170" t="s">
        <v>161</v>
      </c>
      <c r="CV232" s="177" t="s">
        <v>853</v>
      </c>
      <c r="CW232" s="177" t="s">
        <v>772</v>
      </c>
      <c r="CX232" s="177"/>
      <c r="CY232" s="177"/>
      <c r="CZ232" s="177" t="s">
        <v>394</v>
      </c>
      <c r="DA232" s="177" t="s">
        <v>395</v>
      </c>
      <c r="DB232" s="170" t="str">
        <f>("GAS_INST_ID-" &amp; $D232)</f>
        <v>GAS_INST_ID-3746</v>
      </c>
      <c r="DC232" s="177" t="s">
        <v>161</v>
      </c>
      <c r="DD232" s="177"/>
      <c r="DE232" s="177" t="s">
        <v>65</v>
      </c>
      <c r="DF232" s="177" t="s">
        <v>854</v>
      </c>
      <c r="DG232" s="177"/>
      <c r="DH232" s="177" t="s">
        <v>397</v>
      </c>
      <c r="DI232" s="177" t="s">
        <v>399</v>
      </c>
      <c r="DJ232" s="180" t="s">
        <v>852</v>
      </c>
      <c r="DK232" s="177" t="s">
        <v>140</v>
      </c>
      <c r="DL232" s="169"/>
      <c r="DM232" s="169"/>
      <c r="DN232" s="170" t="str">
        <f>("DS_Pass-" &amp; $D232)</f>
        <v>DS_Pass-3746</v>
      </c>
      <c r="DO232" s="169"/>
      <c r="DP232" s="169"/>
      <c r="DQ232" s="169"/>
      <c r="DR232" s="168"/>
      <c r="DS232" s="168"/>
      <c r="DT232" s="169"/>
      <c r="DU232" s="169"/>
      <c r="DV232" s="169"/>
      <c r="DW232" s="168"/>
      <c r="DX232" s="169"/>
      <c r="DY232" s="169"/>
      <c r="DZ232" s="177" t="s">
        <v>770</v>
      </c>
      <c r="EA232" s="172"/>
      <c r="EB232" s="177"/>
      <c r="EC232" s="177"/>
      <c r="ED232" s="177"/>
      <c r="EE232" s="181"/>
    </row>
    <row r="233" spans="1:135" s="182" customFormat="1" x14ac:dyDescent="0.2">
      <c r="A233" s="171"/>
      <c r="B233" s="171"/>
      <c r="C233" s="171"/>
      <c r="D233" s="168">
        <f>'Run Parameters'!$B$1 + ROW()-1</f>
        <v>3747</v>
      </c>
      <c r="E233" s="169" t="s">
        <v>47</v>
      </c>
      <c r="F233" s="170" t="s">
        <v>831</v>
      </c>
      <c r="G233" s="168" t="str">
        <f t="shared" si="307"/>
        <v>Access Dtls-3747</v>
      </c>
      <c r="H233" s="169" t="s">
        <v>332</v>
      </c>
      <c r="I233" s="168" t="str">
        <f>("MR. Test_"&amp; AV233 &amp;"_EXCH1")</f>
        <v>MR. Test_3747_EXCH1</v>
      </c>
      <c r="J233" s="168"/>
      <c r="K233" s="171" t="s">
        <v>425</v>
      </c>
      <c r="L233" s="168" t="str">
        <f t="shared" si="308"/>
        <v>Cust. Ref-3747</v>
      </c>
      <c r="M233" s="169" t="s">
        <v>48</v>
      </c>
      <c r="N233" s="169" t="s">
        <v>425</v>
      </c>
      <c r="O233" s="168"/>
      <c r="P233" s="168" t="str">
        <f t="shared" si="309"/>
        <v>SN-3747</v>
      </c>
      <c r="Q233" s="168" t="str">
        <f t="shared" si="310"/>
        <v>SI-3747</v>
      </c>
      <c r="R233" s="168" t="str">
        <f t="shared" si="311"/>
        <v>SE-3747</v>
      </c>
      <c r="S233" s="172" t="str">
        <f t="shared" si="312"/>
        <v>Prev_RA-3747</v>
      </c>
      <c r="T233" s="172" t="str">
        <f t="shared" si="313"/>
        <v>Prev_Comms-3747</v>
      </c>
      <c r="U233" s="169" t="s">
        <v>75</v>
      </c>
      <c r="V233" s="169" t="s">
        <v>401</v>
      </c>
      <c r="W233" s="169" t="s">
        <v>75</v>
      </c>
      <c r="X233" s="169" t="s">
        <v>396</v>
      </c>
      <c r="Y233" s="168" t="str">
        <f t="shared" si="314"/>
        <v>Forward Add-3747</v>
      </c>
      <c r="Z233" s="169" t="s">
        <v>401</v>
      </c>
      <c r="AA233" s="173" t="str">
        <f>'Run Parameters'!$B$2</f>
        <v>2019-04-26 08:00</v>
      </c>
      <c r="AB233" s="173" t="str">
        <f>'Run Parameters'!B$3</f>
        <v>2019-04-26 18:00</v>
      </c>
      <c r="AC233" s="175">
        <f>('Run Parameters'!$B$2) - 7</f>
        <v>43574.333333333336</v>
      </c>
      <c r="AD233" s="169" t="s">
        <v>75</v>
      </c>
      <c r="AE233" s="170" t="str">
        <f t="shared" si="315"/>
        <v>LAST_METER-3747</v>
      </c>
      <c r="AF233" s="173" t="str">
        <f>'Run Parameters'!$B$2</f>
        <v>2019-04-26 08:00</v>
      </c>
      <c r="AG233" s="168" t="str">
        <f>'Run Parameters'!B$4</f>
        <v>AUTOTEST2</v>
      </c>
      <c r="AH233" s="172" t="str">
        <f t="shared" si="316"/>
        <v>Site_Contact_3747</v>
      </c>
      <c r="AI233" s="173" t="str">
        <f>'Run Parameters'!B$2</f>
        <v>2019-04-26 08:00</v>
      </c>
      <c r="AJ233" s="215" t="str">
        <f>'Run Parameters'!B$3</f>
        <v>2019-04-26 18:00</v>
      </c>
      <c r="AK233" s="168" t="s">
        <v>396</v>
      </c>
      <c r="AL233" s="172" t="str">
        <f t="shared" si="317"/>
        <v>011593747</v>
      </c>
      <c r="AM233" s="168" t="str">
        <f t="shared" si="318"/>
        <v>01153747</v>
      </c>
      <c r="AN233" s="169"/>
      <c r="AO233" s="169"/>
      <c r="AP233" s="168">
        <v>1</v>
      </c>
      <c r="AQ233" s="176" t="s">
        <v>49</v>
      </c>
      <c r="AR233" s="169"/>
      <c r="AS233" s="168"/>
      <c r="AT233" s="177" t="s">
        <v>832</v>
      </c>
      <c r="AU233" s="177"/>
      <c r="AV233" s="168">
        <f t="shared" si="319"/>
        <v>3747</v>
      </c>
      <c r="AW233" s="168" t="s">
        <v>833</v>
      </c>
      <c r="AX233" s="168" t="s">
        <v>420</v>
      </c>
      <c r="AY233" s="168" t="s">
        <v>421</v>
      </c>
      <c r="AZ233" s="169" t="s">
        <v>333</v>
      </c>
      <c r="BA233" s="169" t="s">
        <v>154</v>
      </c>
      <c r="BB233" s="168">
        <v>1</v>
      </c>
      <c r="BC233" s="170">
        <f t="shared" si="320"/>
        <v>3747</v>
      </c>
      <c r="BD233" s="178" t="s">
        <v>834</v>
      </c>
      <c r="BE233" s="169" t="s">
        <v>391</v>
      </c>
      <c r="BF233" s="169" t="s">
        <v>391</v>
      </c>
      <c r="BG233" s="168" t="s">
        <v>831</v>
      </c>
      <c r="BH233" s="170" t="str">
        <f t="shared" si="321"/>
        <v>3747_1</v>
      </c>
      <c r="BI233" s="168"/>
      <c r="BJ233" s="168" t="str">
        <f t="shared" si="322"/>
        <v>100000003747</v>
      </c>
      <c r="BK233" s="169" t="s">
        <v>51</v>
      </c>
      <c r="BL233" s="169" t="s">
        <v>405</v>
      </c>
      <c r="BM233" s="168" t="s">
        <v>411</v>
      </c>
      <c r="BN233" s="169"/>
      <c r="BO233" s="170" t="str">
        <f t="shared" si="323"/>
        <v>S05S3747</v>
      </c>
      <c r="BP233" s="169" t="s">
        <v>409</v>
      </c>
      <c r="BQ233" s="169" t="s">
        <v>409</v>
      </c>
      <c r="BR233" s="168" t="s">
        <v>159</v>
      </c>
      <c r="BS233" s="169" t="s">
        <v>50</v>
      </c>
      <c r="BT233" s="177" t="s">
        <v>157</v>
      </c>
      <c r="BU233" s="169" t="s">
        <v>835</v>
      </c>
      <c r="BV233" s="169" t="s">
        <v>51</v>
      </c>
      <c r="BW233" s="169" t="s">
        <v>154</v>
      </c>
      <c r="BX233" s="169"/>
      <c r="BY233" s="169"/>
      <c r="BZ233" s="169" t="s">
        <v>157</v>
      </c>
      <c r="CA233" s="169" t="s">
        <v>269</v>
      </c>
      <c r="CB233" s="177" t="s">
        <v>412</v>
      </c>
      <c r="CC233" s="177" t="s">
        <v>771</v>
      </c>
      <c r="CD233" s="177" t="s">
        <v>392</v>
      </c>
      <c r="CE233" s="177" t="s">
        <v>396</v>
      </c>
      <c r="CF233" s="177" t="s">
        <v>398</v>
      </c>
      <c r="CG233" s="178" t="s">
        <v>836</v>
      </c>
      <c r="CH233" s="177" t="s">
        <v>159</v>
      </c>
      <c r="CI233" s="170">
        <v>1</v>
      </c>
      <c r="CJ233" s="170" t="str">
        <f>("GAS_ENQ_NO-" &amp; D233)</f>
        <v>GAS_ENQ_NO-3747</v>
      </c>
      <c r="CK233" s="177" t="s">
        <v>165</v>
      </c>
      <c r="CL233" s="177" t="s">
        <v>391</v>
      </c>
      <c r="CM233" s="177" t="s">
        <v>391</v>
      </c>
      <c r="CN233" s="170" t="s">
        <v>837</v>
      </c>
      <c r="CO233" s="170" t="str">
        <f>("GAS_JOB_ID-" &amp; D233)</f>
        <v>GAS_JOB_ID-3747</v>
      </c>
      <c r="CP233" s="177"/>
      <c r="CQ233" s="170" t="str">
        <f>"10000" &amp; D233</f>
        <v>100003747</v>
      </c>
      <c r="CR233" s="170" t="s">
        <v>154</v>
      </c>
      <c r="CS233" s="177" t="s">
        <v>51</v>
      </c>
      <c r="CT233" s="179" t="str">
        <f>"GMETER" &amp; D233</f>
        <v>GMETER3747</v>
      </c>
      <c r="CU233" s="170" t="s">
        <v>161</v>
      </c>
      <c r="CV233" s="177" t="s">
        <v>165</v>
      </c>
      <c r="CW233" s="177" t="s">
        <v>772</v>
      </c>
      <c r="CX233" s="177"/>
      <c r="CY233" s="177"/>
      <c r="CZ233" s="177" t="s">
        <v>394</v>
      </c>
      <c r="DA233" s="177" t="s">
        <v>395</v>
      </c>
      <c r="DB233" s="170" t="str">
        <f>("GAS_INST_ID-" &amp; $D233)</f>
        <v>GAS_INST_ID-3747</v>
      </c>
      <c r="DC233" s="177" t="s">
        <v>161</v>
      </c>
      <c r="DD233" s="177"/>
      <c r="DE233" s="177" t="s">
        <v>51</v>
      </c>
      <c r="DF233" s="177" t="s">
        <v>264</v>
      </c>
      <c r="DG233" s="177"/>
      <c r="DH233" s="177" t="s">
        <v>397</v>
      </c>
      <c r="DI233" s="177" t="s">
        <v>399</v>
      </c>
      <c r="DJ233" s="180" t="s">
        <v>836</v>
      </c>
      <c r="DK233" s="177" t="s">
        <v>140</v>
      </c>
      <c r="DL233" s="169"/>
      <c r="DM233" s="169"/>
      <c r="DN233" s="170" t="str">
        <f t="shared" ref="DN233:DN240" si="324">("DS_Pass-" &amp; $D233)</f>
        <v>DS_Pass-3747</v>
      </c>
      <c r="DO233" s="169"/>
      <c r="DP233" s="169"/>
      <c r="DQ233" s="169"/>
      <c r="DR233" s="168"/>
      <c r="DS233" s="168"/>
      <c r="DT233" s="169"/>
      <c r="DU233" s="169"/>
      <c r="DV233" s="169"/>
      <c r="DW233" s="168"/>
      <c r="DX233" s="169"/>
      <c r="DY233" s="169"/>
      <c r="DZ233" s="169" t="s">
        <v>409</v>
      </c>
      <c r="EA233" s="172"/>
      <c r="EB233" s="169"/>
      <c r="EC233" s="169"/>
      <c r="ED233" s="178"/>
      <c r="EE233" s="181"/>
    </row>
    <row r="234" spans="1:135" s="182" customFormat="1" x14ac:dyDescent="0.2">
      <c r="A234" s="171"/>
      <c r="B234" s="171"/>
      <c r="C234" s="171"/>
      <c r="D234" s="168">
        <f>'Run Parameters'!$B$1 + ROW()-1</f>
        <v>3748</v>
      </c>
      <c r="E234" s="169" t="s">
        <v>47</v>
      </c>
      <c r="F234" s="170" t="s">
        <v>831</v>
      </c>
      <c r="G234" s="168" t="str">
        <f t="shared" si="307"/>
        <v>Access Dtls-3748</v>
      </c>
      <c r="H234" s="169" t="s">
        <v>332</v>
      </c>
      <c r="I234" s="168" t="str">
        <f>("MR. Test_"&amp; AV234 &amp;"_EXCH1")</f>
        <v>MR. Test_3748_EXCH1</v>
      </c>
      <c r="J234" s="168"/>
      <c r="K234" s="171" t="s">
        <v>425</v>
      </c>
      <c r="L234" s="168" t="str">
        <f t="shared" si="308"/>
        <v>Cust. Ref-3748</v>
      </c>
      <c r="M234" s="169" t="s">
        <v>48</v>
      </c>
      <c r="N234" s="169" t="s">
        <v>425</v>
      </c>
      <c r="O234" s="168"/>
      <c r="P234" s="168" t="str">
        <f t="shared" si="309"/>
        <v>SN-3748</v>
      </c>
      <c r="Q234" s="168" t="str">
        <f t="shared" si="310"/>
        <v>SI-3748</v>
      </c>
      <c r="R234" s="168" t="str">
        <f t="shared" si="311"/>
        <v>SE-3748</v>
      </c>
      <c r="S234" s="172" t="str">
        <f t="shared" si="312"/>
        <v>Prev_RA-3748</v>
      </c>
      <c r="T234" s="172" t="str">
        <f t="shared" si="313"/>
        <v>Prev_Comms-3748</v>
      </c>
      <c r="U234" s="169" t="s">
        <v>75</v>
      </c>
      <c r="V234" s="169" t="s">
        <v>401</v>
      </c>
      <c r="W234" s="169" t="s">
        <v>75</v>
      </c>
      <c r="X234" s="169" t="s">
        <v>396</v>
      </c>
      <c r="Y234" s="168" t="str">
        <f t="shared" si="314"/>
        <v>Forward Add-3748</v>
      </c>
      <c r="Z234" s="169" t="s">
        <v>401</v>
      </c>
      <c r="AA234" s="173" t="str">
        <f>'Run Parameters'!$B$2</f>
        <v>2019-04-26 08:00</v>
      </c>
      <c r="AB234" s="173" t="str">
        <f>'Run Parameters'!B$3</f>
        <v>2019-04-26 18:00</v>
      </c>
      <c r="AC234" s="175">
        <f>('Run Parameters'!$B$2) - 7</f>
        <v>43574.333333333336</v>
      </c>
      <c r="AD234" s="169" t="s">
        <v>75</v>
      </c>
      <c r="AE234" s="170" t="str">
        <f t="shared" si="315"/>
        <v>LAST_METER-3748</v>
      </c>
      <c r="AF234" s="173" t="str">
        <f>'Run Parameters'!$B$2</f>
        <v>2019-04-26 08:00</v>
      </c>
      <c r="AG234" s="168" t="str">
        <f>'Run Parameters'!B$4</f>
        <v>AUTOTEST2</v>
      </c>
      <c r="AH234" s="172" t="str">
        <f t="shared" si="316"/>
        <v>Site_Contact_3748</v>
      </c>
      <c r="AI234" s="173" t="str">
        <f>'Run Parameters'!B$2</f>
        <v>2019-04-26 08:00</v>
      </c>
      <c r="AJ234" s="215" t="str">
        <f>'Run Parameters'!B$3</f>
        <v>2019-04-26 18:00</v>
      </c>
      <c r="AK234" s="168" t="s">
        <v>396</v>
      </c>
      <c r="AL234" s="172" t="str">
        <f t="shared" si="317"/>
        <v>011593748</v>
      </c>
      <c r="AM234" s="168" t="str">
        <f t="shared" si="318"/>
        <v>01153748</v>
      </c>
      <c r="AN234" s="169"/>
      <c r="AO234" s="169"/>
      <c r="AP234" s="168">
        <v>1</v>
      </c>
      <c r="AQ234" s="176" t="s">
        <v>49</v>
      </c>
      <c r="AR234" s="169"/>
      <c r="AS234" s="168"/>
      <c r="AT234" s="177" t="s">
        <v>832</v>
      </c>
      <c r="AU234" s="177"/>
      <c r="AV234" s="168">
        <f t="shared" si="319"/>
        <v>3748</v>
      </c>
      <c r="AW234" s="168" t="s">
        <v>833</v>
      </c>
      <c r="AX234" s="168" t="s">
        <v>420</v>
      </c>
      <c r="AY234" s="168" t="s">
        <v>421</v>
      </c>
      <c r="AZ234" s="169" t="s">
        <v>333</v>
      </c>
      <c r="BA234" s="169" t="s">
        <v>154</v>
      </c>
      <c r="BB234" s="168">
        <v>1</v>
      </c>
      <c r="BC234" s="170">
        <f t="shared" si="320"/>
        <v>3748</v>
      </c>
      <c r="BD234" s="178" t="s">
        <v>834</v>
      </c>
      <c r="BE234" s="169" t="s">
        <v>391</v>
      </c>
      <c r="BF234" s="169" t="s">
        <v>391</v>
      </c>
      <c r="BG234" s="168" t="s">
        <v>831</v>
      </c>
      <c r="BH234" s="170" t="str">
        <f t="shared" si="321"/>
        <v>3748_1</v>
      </c>
      <c r="BI234" s="168"/>
      <c r="BJ234" s="168" t="str">
        <f t="shared" si="322"/>
        <v>100000003748</v>
      </c>
      <c r="BK234" s="169" t="s">
        <v>51</v>
      </c>
      <c r="BL234" s="169" t="s">
        <v>405</v>
      </c>
      <c r="BM234" s="168" t="s">
        <v>411</v>
      </c>
      <c r="BN234" s="169"/>
      <c r="BO234" s="170" t="str">
        <f t="shared" si="323"/>
        <v>S05S3748</v>
      </c>
      <c r="BP234" s="169" t="s">
        <v>409</v>
      </c>
      <c r="BQ234" s="169" t="s">
        <v>409</v>
      </c>
      <c r="BR234" s="168" t="s">
        <v>159</v>
      </c>
      <c r="BS234" s="169" t="s">
        <v>50</v>
      </c>
      <c r="BT234" s="177" t="s">
        <v>157</v>
      </c>
      <c r="BU234" s="169" t="s">
        <v>835</v>
      </c>
      <c r="BV234" s="169" t="s">
        <v>51</v>
      </c>
      <c r="BW234" s="169" t="s">
        <v>154</v>
      </c>
      <c r="BX234" s="169"/>
      <c r="BY234" s="169"/>
      <c r="BZ234" s="169" t="s">
        <v>157</v>
      </c>
      <c r="CA234" s="169" t="s">
        <v>269</v>
      </c>
      <c r="CB234" s="177" t="s">
        <v>412</v>
      </c>
      <c r="CC234" s="177" t="s">
        <v>771</v>
      </c>
      <c r="CD234" s="177" t="s">
        <v>392</v>
      </c>
      <c r="CE234" s="177" t="s">
        <v>396</v>
      </c>
      <c r="CF234" s="177" t="s">
        <v>398</v>
      </c>
      <c r="CG234" s="178" t="s">
        <v>836</v>
      </c>
      <c r="CH234" s="177" t="s">
        <v>159</v>
      </c>
      <c r="CI234" s="170">
        <v>1</v>
      </c>
      <c r="CJ234" s="170" t="str">
        <f>("GAS_ENQ_NO-" &amp; D234)</f>
        <v>GAS_ENQ_NO-3748</v>
      </c>
      <c r="CK234" s="177" t="s">
        <v>165</v>
      </c>
      <c r="CL234" s="177" t="s">
        <v>391</v>
      </c>
      <c r="CM234" s="177" t="s">
        <v>391</v>
      </c>
      <c r="CN234" s="170" t="s">
        <v>837</v>
      </c>
      <c r="CO234" s="170" t="str">
        <f>("GAS_JOB_ID-" &amp; D234)</f>
        <v>GAS_JOB_ID-3748</v>
      </c>
      <c r="CP234" s="177"/>
      <c r="CQ234" s="170" t="str">
        <f>"10000" &amp; D234</f>
        <v>100003748</v>
      </c>
      <c r="CR234" s="170" t="s">
        <v>154</v>
      </c>
      <c r="CS234" s="177" t="s">
        <v>51</v>
      </c>
      <c r="CT234" s="179" t="str">
        <f>"GMETER" &amp; D234</f>
        <v>GMETER3748</v>
      </c>
      <c r="CU234" s="170" t="s">
        <v>161</v>
      </c>
      <c r="CV234" s="177" t="s">
        <v>165</v>
      </c>
      <c r="CW234" s="177" t="s">
        <v>772</v>
      </c>
      <c r="CX234" s="177"/>
      <c r="CY234" s="177"/>
      <c r="CZ234" s="177" t="s">
        <v>394</v>
      </c>
      <c r="DA234" s="177" t="s">
        <v>395</v>
      </c>
      <c r="DB234" s="170" t="str">
        <f>("GAS_INST_ID-" &amp; $D234)</f>
        <v>GAS_INST_ID-3748</v>
      </c>
      <c r="DC234" s="177" t="s">
        <v>161</v>
      </c>
      <c r="DD234" s="177"/>
      <c r="DE234" s="177" t="s">
        <v>51</v>
      </c>
      <c r="DF234" s="177" t="s">
        <v>264</v>
      </c>
      <c r="DG234" s="177"/>
      <c r="DH234" s="177" t="s">
        <v>397</v>
      </c>
      <c r="DI234" s="177" t="s">
        <v>399</v>
      </c>
      <c r="DJ234" s="180" t="s">
        <v>836</v>
      </c>
      <c r="DK234" s="177" t="s">
        <v>140</v>
      </c>
      <c r="DL234" s="169"/>
      <c r="DM234" s="169"/>
      <c r="DN234" s="170" t="str">
        <f t="shared" si="324"/>
        <v>DS_Pass-3748</v>
      </c>
      <c r="DO234" s="169"/>
      <c r="DP234" s="169"/>
      <c r="DQ234" s="169"/>
      <c r="DR234" s="168"/>
      <c r="DS234" s="168"/>
      <c r="DT234" s="169"/>
      <c r="DU234" s="169"/>
      <c r="DV234" s="169"/>
      <c r="DW234" s="168"/>
      <c r="DX234" s="169"/>
      <c r="DY234" s="169"/>
      <c r="DZ234" s="169" t="s">
        <v>409</v>
      </c>
      <c r="EA234" s="172"/>
      <c r="EB234" s="169"/>
      <c r="EC234" s="169"/>
      <c r="ED234" s="178"/>
      <c r="EE234" s="181"/>
    </row>
    <row r="235" spans="1:135" s="199" customFormat="1" x14ac:dyDescent="0.2">
      <c r="A235" s="189"/>
      <c r="B235" s="189"/>
      <c r="C235" s="189"/>
      <c r="D235" s="186">
        <f>'Run Parameters'!$B$1 + ROW()-1</f>
        <v>3749</v>
      </c>
      <c r="E235" s="187" t="s">
        <v>47</v>
      </c>
      <c r="F235" s="188" t="s">
        <v>403</v>
      </c>
      <c r="G235" s="186" t="str">
        <f t="shared" si="307"/>
        <v>Access Dtls-3749</v>
      </c>
      <c r="H235" s="187" t="s">
        <v>275</v>
      </c>
      <c r="I235" s="186" t="str">
        <f>("MR. Test_"&amp; AV235 &amp;"_EXCH2")</f>
        <v>MR. Test_3749_EXCH2</v>
      </c>
      <c r="J235" s="188"/>
      <c r="K235" s="189" t="s">
        <v>425</v>
      </c>
      <c r="L235" s="186" t="str">
        <f t="shared" si="308"/>
        <v>Cust. Ref-3749</v>
      </c>
      <c r="M235" s="187" t="s">
        <v>48</v>
      </c>
      <c r="N235" s="187" t="s">
        <v>425</v>
      </c>
      <c r="O235" s="186"/>
      <c r="P235" s="186" t="str">
        <f t="shared" si="309"/>
        <v>SN-3749</v>
      </c>
      <c r="Q235" s="186" t="str">
        <f t="shared" si="310"/>
        <v>SI-3749</v>
      </c>
      <c r="R235" s="186" t="str">
        <f t="shared" si="311"/>
        <v>SE-3749</v>
      </c>
      <c r="S235" s="190" t="str">
        <f t="shared" si="312"/>
        <v>Prev_RA-3749</v>
      </c>
      <c r="T235" s="190" t="str">
        <f t="shared" si="313"/>
        <v>Prev_Comms-3749</v>
      </c>
      <c r="U235" s="187" t="s">
        <v>75</v>
      </c>
      <c r="V235" s="187" t="s">
        <v>401</v>
      </c>
      <c r="W235" s="187" t="s">
        <v>75</v>
      </c>
      <c r="X235" s="187" t="s">
        <v>396</v>
      </c>
      <c r="Y235" s="186" t="str">
        <f t="shared" si="314"/>
        <v>Forward Add-3749</v>
      </c>
      <c r="Z235" s="187" t="s">
        <v>401</v>
      </c>
      <c r="AA235" s="191" t="str">
        <f>'Run Parameters'!$B$2</f>
        <v>2019-04-26 08:00</v>
      </c>
      <c r="AB235" s="191" t="str">
        <f>'Run Parameters'!B$3</f>
        <v>2019-04-26 18:00</v>
      </c>
      <c r="AC235" s="192">
        <f>('Run Parameters'!$B$2) - 7</f>
        <v>43574.333333333336</v>
      </c>
      <c r="AD235" s="187" t="s">
        <v>75</v>
      </c>
      <c r="AE235" s="188" t="str">
        <f t="shared" si="315"/>
        <v>LAST_METER-3749</v>
      </c>
      <c r="AF235" s="191" t="str">
        <f>'Run Parameters'!$B$2</f>
        <v>2019-04-26 08:00</v>
      </c>
      <c r="AG235" s="186" t="str">
        <f>'Run Parameters'!B$4</f>
        <v>AUTOTEST2</v>
      </c>
      <c r="AH235" s="190" t="str">
        <f t="shared" si="316"/>
        <v>Site_Contact_3749</v>
      </c>
      <c r="AI235" s="191" t="str">
        <f>'Run Parameters'!B$2</f>
        <v>2019-04-26 08:00</v>
      </c>
      <c r="AJ235" s="214" t="str">
        <f>'Run Parameters'!B$3</f>
        <v>2019-04-26 18:00</v>
      </c>
      <c r="AK235" s="186" t="s">
        <v>396</v>
      </c>
      <c r="AL235" s="190" t="str">
        <f t="shared" si="317"/>
        <v>011593749</v>
      </c>
      <c r="AM235" s="186" t="str">
        <f t="shared" si="318"/>
        <v>01153749</v>
      </c>
      <c r="AN235" s="187"/>
      <c r="AO235" s="193"/>
      <c r="AP235" s="186">
        <v>1</v>
      </c>
      <c r="AQ235" s="194" t="s">
        <v>49</v>
      </c>
      <c r="AR235" s="187"/>
      <c r="AS235" s="186"/>
      <c r="AT235" s="195"/>
      <c r="AU235" s="195"/>
      <c r="AV235" s="186">
        <f t="shared" si="319"/>
        <v>3749</v>
      </c>
      <c r="AW235" s="186" t="s">
        <v>423</v>
      </c>
      <c r="AX235" s="186" t="s">
        <v>420</v>
      </c>
      <c r="AY235" s="186" t="s">
        <v>421</v>
      </c>
      <c r="AZ235" s="187" t="s">
        <v>334</v>
      </c>
      <c r="BA235" s="195" t="s">
        <v>154</v>
      </c>
      <c r="BB235" s="186">
        <v>1</v>
      </c>
      <c r="BC235" s="188">
        <f t="shared" si="320"/>
        <v>3749</v>
      </c>
      <c r="BD235" s="195" t="s">
        <v>410</v>
      </c>
      <c r="BE235" s="195" t="s">
        <v>391</v>
      </c>
      <c r="BF235" s="195" t="s">
        <v>391</v>
      </c>
      <c r="BG235" s="188" t="s">
        <v>403</v>
      </c>
      <c r="BH235" s="188" t="str">
        <f t="shared" si="321"/>
        <v>3749_1</v>
      </c>
      <c r="BI235" s="186"/>
      <c r="BJ235" s="186" t="str">
        <f t="shared" si="322"/>
        <v>100000003749</v>
      </c>
      <c r="BK235" s="195" t="s">
        <v>51</v>
      </c>
      <c r="BL235" s="195" t="s">
        <v>54</v>
      </c>
      <c r="BM235" s="188" t="s">
        <v>411</v>
      </c>
      <c r="BN235" s="195" t="s">
        <v>51</v>
      </c>
      <c r="BO235" s="188" t="str">
        <f t="shared" si="323"/>
        <v>S05S3749</v>
      </c>
      <c r="BP235" s="195" t="s">
        <v>402</v>
      </c>
      <c r="BQ235" s="195" t="s">
        <v>402</v>
      </c>
      <c r="BR235" s="188" t="s">
        <v>161</v>
      </c>
      <c r="BS235" s="195" t="s">
        <v>50</v>
      </c>
      <c r="BT235" s="195" t="s">
        <v>135</v>
      </c>
      <c r="BU235" s="195" t="s">
        <v>393</v>
      </c>
      <c r="BV235" s="195" t="s">
        <v>51</v>
      </c>
      <c r="BW235" s="195" t="s">
        <v>154</v>
      </c>
      <c r="BX235" s="195"/>
      <c r="BY235" s="195"/>
      <c r="BZ235" s="195" t="s">
        <v>157</v>
      </c>
      <c r="CA235" s="195" t="s">
        <v>269</v>
      </c>
      <c r="CB235" s="195" t="s">
        <v>412</v>
      </c>
      <c r="CC235" s="195" t="s">
        <v>781</v>
      </c>
      <c r="CD235" s="195" t="s">
        <v>392</v>
      </c>
      <c r="CE235" s="195" t="s">
        <v>396</v>
      </c>
      <c r="CF235" s="195" t="s">
        <v>398</v>
      </c>
      <c r="CG235" s="195" t="s">
        <v>418</v>
      </c>
      <c r="CH235" s="195" t="s">
        <v>159</v>
      </c>
      <c r="CI235" s="186"/>
      <c r="CJ235" s="186"/>
      <c r="CK235" s="187"/>
      <c r="CL235" s="195"/>
      <c r="CM235" s="195"/>
      <c r="CN235" s="186"/>
      <c r="CO235" s="188"/>
      <c r="CP235" s="195"/>
      <c r="CQ235" s="188"/>
      <c r="CR235" s="186"/>
      <c r="CS235" s="195"/>
      <c r="CT235" s="196"/>
      <c r="CU235" s="186"/>
      <c r="CV235" s="195"/>
      <c r="CW235" s="195"/>
      <c r="CX235" s="195"/>
      <c r="CY235" s="195"/>
      <c r="CZ235" s="195"/>
      <c r="DA235" s="195"/>
      <c r="DB235" s="188"/>
      <c r="DC235" s="195"/>
      <c r="DD235" s="187"/>
      <c r="DE235" s="195"/>
      <c r="DF235" s="195"/>
      <c r="DG235" s="195"/>
      <c r="DH235" s="195"/>
      <c r="DI235" s="195"/>
      <c r="DJ235" s="197"/>
      <c r="DK235" s="187"/>
      <c r="DL235" s="187"/>
      <c r="DM235" s="187"/>
      <c r="DN235" s="188" t="str">
        <f t="shared" si="324"/>
        <v>DS_Pass-3749</v>
      </c>
      <c r="DO235" s="187"/>
      <c r="DP235" s="187"/>
      <c r="DQ235" s="187"/>
      <c r="DR235" s="186"/>
      <c r="DS235" s="186"/>
      <c r="DT235" s="187"/>
      <c r="DU235" s="187"/>
      <c r="DV235" s="187"/>
      <c r="DW235" s="186"/>
      <c r="DX235" s="187"/>
      <c r="DY235" s="187"/>
      <c r="DZ235" s="195" t="s">
        <v>402</v>
      </c>
      <c r="EA235" s="190"/>
      <c r="EB235" s="195"/>
      <c r="EC235" s="195"/>
      <c r="ED235" s="195"/>
      <c r="EE235" s="198"/>
    </row>
    <row r="236" spans="1:135" s="199" customFormat="1" x14ac:dyDescent="0.2">
      <c r="A236" s="189"/>
      <c r="B236" s="189"/>
      <c r="C236" s="189"/>
      <c r="D236" s="186">
        <f>'Run Parameters'!$B$1 + ROW()-1</f>
        <v>3750</v>
      </c>
      <c r="E236" s="187" t="s">
        <v>47</v>
      </c>
      <c r="F236" s="188" t="s">
        <v>403</v>
      </c>
      <c r="G236" s="186" t="str">
        <f t="shared" si="307"/>
        <v>Access Dtls-3750</v>
      </c>
      <c r="H236" s="187" t="s">
        <v>275</v>
      </c>
      <c r="I236" s="186" t="str">
        <f>("MR. Test_"&amp; AV236 &amp;"_EXCH2")</f>
        <v>MR. Test_3750_EXCH2</v>
      </c>
      <c r="J236" s="188"/>
      <c r="K236" s="189" t="s">
        <v>425</v>
      </c>
      <c r="L236" s="186" t="str">
        <f t="shared" si="308"/>
        <v>Cust. Ref-3750</v>
      </c>
      <c r="M236" s="187" t="s">
        <v>48</v>
      </c>
      <c r="N236" s="187" t="s">
        <v>425</v>
      </c>
      <c r="O236" s="186"/>
      <c r="P236" s="186" t="str">
        <f t="shared" si="309"/>
        <v>SN-3750</v>
      </c>
      <c r="Q236" s="186" t="str">
        <f t="shared" si="310"/>
        <v>SI-3750</v>
      </c>
      <c r="R236" s="186" t="str">
        <f t="shared" si="311"/>
        <v>SE-3750</v>
      </c>
      <c r="S236" s="190" t="str">
        <f t="shared" si="312"/>
        <v>Prev_RA-3750</v>
      </c>
      <c r="T236" s="190" t="str">
        <f t="shared" si="313"/>
        <v>Prev_Comms-3750</v>
      </c>
      <c r="U236" s="187" t="s">
        <v>75</v>
      </c>
      <c r="V236" s="187" t="s">
        <v>401</v>
      </c>
      <c r="W236" s="187" t="s">
        <v>75</v>
      </c>
      <c r="X236" s="187" t="s">
        <v>396</v>
      </c>
      <c r="Y236" s="186" t="str">
        <f t="shared" si="314"/>
        <v>Forward Add-3750</v>
      </c>
      <c r="Z236" s="187" t="s">
        <v>401</v>
      </c>
      <c r="AA236" s="191" t="str">
        <f>'Run Parameters'!$B$2</f>
        <v>2019-04-26 08:00</v>
      </c>
      <c r="AB236" s="191" t="str">
        <f>'Run Parameters'!B$3</f>
        <v>2019-04-26 18:00</v>
      </c>
      <c r="AC236" s="192">
        <f>('Run Parameters'!$B$2) - 7</f>
        <v>43574.333333333336</v>
      </c>
      <c r="AD236" s="187" t="s">
        <v>75</v>
      </c>
      <c r="AE236" s="188" t="str">
        <f t="shared" si="315"/>
        <v>LAST_METER-3750</v>
      </c>
      <c r="AF236" s="191" t="str">
        <f>'Run Parameters'!$B$2</f>
        <v>2019-04-26 08:00</v>
      </c>
      <c r="AG236" s="186" t="str">
        <f>'Run Parameters'!B$4</f>
        <v>AUTOTEST2</v>
      </c>
      <c r="AH236" s="190" t="str">
        <f t="shared" si="316"/>
        <v>Site_Contact_3750</v>
      </c>
      <c r="AI236" s="191" t="str">
        <f>'Run Parameters'!B$2</f>
        <v>2019-04-26 08:00</v>
      </c>
      <c r="AJ236" s="214" t="str">
        <f>'Run Parameters'!B$3</f>
        <v>2019-04-26 18:00</v>
      </c>
      <c r="AK236" s="186" t="s">
        <v>396</v>
      </c>
      <c r="AL236" s="190" t="str">
        <f t="shared" si="317"/>
        <v>011593750</v>
      </c>
      <c r="AM236" s="186" t="str">
        <f t="shared" si="318"/>
        <v>01153750</v>
      </c>
      <c r="AN236" s="187"/>
      <c r="AO236" s="193"/>
      <c r="AP236" s="186">
        <v>1</v>
      </c>
      <c r="AQ236" s="194" t="s">
        <v>49</v>
      </c>
      <c r="AR236" s="187"/>
      <c r="AS236" s="186"/>
      <c r="AT236" s="195"/>
      <c r="AU236" s="195"/>
      <c r="AV236" s="186">
        <f t="shared" si="319"/>
        <v>3750</v>
      </c>
      <c r="AW236" s="186" t="s">
        <v>423</v>
      </c>
      <c r="AX236" s="186" t="s">
        <v>420</v>
      </c>
      <c r="AY236" s="186" t="s">
        <v>421</v>
      </c>
      <c r="AZ236" s="187" t="s">
        <v>334</v>
      </c>
      <c r="BA236" s="195" t="s">
        <v>154</v>
      </c>
      <c r="BB236" s="186">
        <v>1</v>
      </c>
      <c r="BC236" s="188">
        <f t="shared" si="320"/>
        <v>3750</v>
      </c>
      <c r="BD236" s="195" t="s">
        <v>410</v>
      </c>
      <c r="BE236" s="195" t="s">
        <v>391</v>
      </c>
      <c r="BF236" s="195" t="s">
        <v>391</v>
      </c>
      <c r="BG236" s="188" t="s">
        <v>403</v>
      </c>
      <c r="BH236" s="188" t="str">
        <f t="shared" si="321"/>
        <v>3750_1</v>
      </c>
      <c r="BI236" s="186"/>
      <c r="BJ236" s="186" t="str">
        <f t="shared" si="322"/>
        <v>100000003750</v>
      </c>
      <c r="BK236" s="195" t="s">
        <v>51</v>
      </c>
      <c r="BL236" s="195" t="s">
        <v>54</v>
      </c>
      <c r="BM236" s="188" t="s">
        <v>411</v>
      </c>
      <c r="BN236" s="195" t="s">
        <v>51</v>
      </c>
      <c r="BO236" s="188" t="str">
        <f t="shared" si="323"/>
        <v>S05S3750</v>
      </c>
      <c r="BP236" s="195" t="s">
        <v>402</v>
      </c>
      <c r="BQ236" s="195" t="s">
        <v>402</v>
      </c>
      <c r="BR236" s="188" t="s">
        <v>161</v>
      </c>
      <c r="BS236" s="195" t="s">
        <v>50</v>
      </c>
      <c r="BT236" s="195" t="s">
        <v>135</v>
      </c>
      <c r="BU236" s="195" t="s">
        <v>393</v>
      </c>
      <c r="BV236" s="195" t="s">
        <v>51</v>
      </c>
      <c r="BW236" s="195" t="s">
        <v>154</v>
      </c>
      <c r="BX236" s="195"/>
      <c r="BY236" s="195"/>
      <c r="BZ236" s="195" t="s">
        <v>157</v>
      </c>
      <c r="CA236" s="195" t="s">
        <v>269</v>
      </c>
      <c r="CB236" s="195" t="s">
        <v>412</v>
      </c>
      <c r="CC236" s="195" t="s">
        <v>781</v>
      </c>
      <c r="CD236" s="195" t="s">
        <v>392</v>
      </c>
      <c r="CE236" s="195" t="s">
        <v>396</v>
      </c>
      <c r="CF236" s="195" t="s">
        <v>398</v>
      </c>
      <c r="CG236" s="195" t="s">
        <v>418</v>
      </c>
      <c r="CH236" s="195" t="s">
        <v>159</v>
      </c>
      <c r="CI236" s="186"/>
      <c r="CJ236" s="186"/>
      <c r="CK236" s="187"/>
      <c r="CL236" s="195"/>
      <c r="CM236" s="195"/>
      <c r="CN236" s="186"/>
      <c r="CO236" s="188"/>
      <c r="CP236" s="195"/>
      <c r="CQ236" s="188"/>
      <c r="CR236" s="186"/>
      <c r="CS236" s="195"/>
      <c r="CT236" s="196"/>
      <c r="CU236" s="186"/>
      <c r="CV236" s="195"/>
      <c r="CW236" s="195"/>
      <c r="CX236" s="195"/>
      <c r="CY236" s="195"/>
      <c r="CZ236" s="195"/>
      <c r="DA236" s="195"/>
      <c r="DB236" s="188"/>
      <c r="DC236" s="195"/>
      <c r="DD236" s="187"/>
      <c r="DE236" s="195"/>
      <c r="DF236" s="195"/>
      <c r="DG236" s="195"/>
      <c r="DH236" s="195"/>
      <c r="DI236" s="195"/>
      <c r="DJ236" s="197"/>
      <c r="DK236" s="187"/>
      <c r="DL236" s="187"/>
      <c r="DM236" s="187"/>
      <c r="DN236" s="188" t="str">
        <f t="shared" si="324"/>
        <v>DS_Pass-3750</v>
      </c>
      <c r="DO236" s="187"/>
      <c r="DP236" s="187"/>
      <c r="DQ236" s="187"/>
      <c r="DR236" s="186"/>
      <c r="DS236" s="186"/>
      <c r="DT236" s="187"/>
      <c r="DU236" s="187"/>
      <c r="DV236" s="187"/>
      <c r="DW236" s="186"/>
      <c r="DX236" s="187"/>
      <c r="DY236" s="187"/>
      <c r="DZ236" s="195" t="s">
        <v>402</v>
      </c>
      <c r="EA236" s="190"/>
      <c r="EB236" s="195"/>
      <c r="EC236" s="195"/>
      <c r="ED236" s="195"/>
      <c r="EE236" s="198"/>
    </row>
    <row r="237" spans="1:135" s="199" customFormat="1" x14ac:dyDescent="0.2">
      <c r="A237" s="189"/>
      <c r="B237" s="189"/>
      <c r="C237" s="189"/>
      <c r="D237" s="186">
        <f>'Run Parameters'!$B$1 + ROW()-1</f>
        <v>3751</v>
      </c>
      <c r="E237" s="187" t="s">
        <v>47</v>
      </c>
      <c r="F237" s="188" t="s">
        <v>403</v>
      </c>
      <c r="G237" s="186" t="str">
        <f t="shared" si="307"/>
        <v>Access Dtls-3751</v>
      </c>
      <c r="H237" s="187" t="s">
        <v>275</v>
      </c>
      <c r="I237" s="186" t="str">
        <f>("MR. Test_"&amp; AV237 &amp;"_EXCH2")</f>
        <v>MR. Test_3751_EXCH2</v>
      </c>
      <c r="J237" s="188"/>
      <c r="K237" s="189" t="s">
        <v>425</v>
      </c>
      <c r="L237" s="186" t="str">
        <f t="shared" si="308"/>
        <v>Cust. Ref-3751</v>
      </c>
      <c r="M237" s="187" t="s">
        <v>48</v>
      </c>
      <c r="N237" s="187" t="s">
        <v>425</v>
      </c>
      <c r="O237" s="186"/>
      <c r="P237" s="186" t="str">
        <f t="shared" si="309"/>
        <v>SN-3751</v>
      </c>
      <c r="Q237" s="186" t="str">
        <f t="shared" si="310"/>
        <v>SI-3751</v>
      </c>
      <c r="R237" s="186" t="str">
        <f t="shared" si="311"/>
        <v>SE-3751</v>
      </c>
      <c r="S237" s="190" t="str">
        <f t="shared" si="312"/>
        <v>Prev_RA-3751</v>
      </c>
      <c r="T237" s="190" t="str">
        <f t="shared" si="313"/>
        <v>Prev_Comms-3751</v>
      </c>
      <c r="U237" s="187" t="s">
        <v>75</v>
      </c>
      <c r="V237" s="187" t="s">
        <v>401</v>
      </c>
      <c r="W237" s="187" t="s">
        <v>75</v>
      </c>
      <c r="X237" s="187" t="s">
        <v>396</v>
      </c>
      <c r="Y237" s="186" t="str">
        <f t="shared" si="314"/>
        <v>Forward Add-3751</v>
      </c>
      <c r="Z237" s="187" t="s">
        <v>401</v>
      </c>
      <c r="AA237" s="191" t="str">
        <f>'Run Parameters'!$B$2</f>
        <v>2019-04-26 08:00</v>
      </c>
      <c r="AB237" s="191" t="str">
        <f>'Run Parameters'!B$3</f>
        <v>2019-04-26 18:00</v>
      </c>
      <c r="AC237" s="192">
        <f>('Run Parameters'!$B$2) - 7</f>
        <v>43574.333333333336</v>
      </c>
      <c r="AD237" s="187" t="s">
        <v>75</v>
      </c>
      <c r="AE237" s="188" t="str">
        <f t="shared" si="315"/>
        <v>LAST_METER-3751</v>
      </c>
      <c r="AF237" s="191" t="str">
        <f>'Run Parameters'!$B$2</f>
        <v>2019-04-26 08:00</v>
      </c>
      <c r="AG237" s="186" t="str">
        <f>'Run Parameters'!B$4</f>
        <v>AUTOTEST2</v>
      </c>
      <c r="AH237" s="190" t="str">
        <f t="shared" si="316"/>
        <v>Site_Contact_3751</v>
      </c>
      <c r="AI237" s="191" t="str">
        <f>'Run Parameters'!B$2</f>
        <v>2019-04-26 08:00</v>
      </c>
      <c r="AJ237" s="214" t="str">
        <f>'Run Parameters'!B$3</f>
        <v>2019-04-26 18:00</v>
      </c>
      <c r="AK237" s="186" t="s">
        <v>396</v>
      </c>
      <c r="AL237" s="190" t="str">
        <f t="shared" si="317"/>
        <v>011593751</v>
      </c>
      <c r="AM237" s="186" t="str">
        <f t="shared" si="318"/>
        <v>01153751</v>
      </c>
      <c r="AN237" s="187"/>
      <c r="AO237" s="193"/>
      <c r="AP237" s="186">
        <v>1</v>
      </c>
      <c r="AQ237" s="194" t="s">
        <v>49</v>
      </c>
      <c r="AR237" s="187"/>
      <c r="AS237" s="186"/>
      <c r="AT237" s="195"/>
      <c r="AU237" s="195"/>
      <c r="AV237" s="186">
        <f t="shared" si="319"/>
        <v>3751</v>
      </c>
      <c r="AW237" s="186" t="s">
        <v>423</v>
      </c>
      <c r="AX237" s="186" t="s">
        <v>420</v>
      </c>
      <c r="AY237" s="186" t="s">
        <v>421</v>
      </c>
      <c r="AZ237" s="187" t="s">
        <v>334</v>
      </c>
      <c r="BA237" s="195" t="s">
        <v>154</v>
      </c>
      <c r="BB237" s="186">
        <v>1</v>
      </c>
      <c r="BC237" s="188">
        <f t="shared" si="320"/>
        <v>3751</v>
      </c>
      <c r="BD237" s="195" t="s">
        <v>410</v>
      </c>
      <c r="BE237" s="195" t="s">
        <v>391</v>
      </c>
      <c r="BF237" s="195" t="s">
        <v>391</v>
      </c>
      <c r="BG237" s="188" t="s">
        <v>403</v>
      </c>
      <c r="BH237" s="188" t="str">
        <f t="shared" si="321"/>
        <v>3751_1</v>
      </c>
      <c r="BI237" s="186"/>
      <c r="BJ237" s="186" t="str">
        <f t="shared" si="322"/>
        <v>100000003751</v>
      </c>
      <c r="BK237" s="195" t="s">
        <v>51</v>
      </c>
      <c r="BL237" s="195" t="s">
        <v>54</v>
      </c>
      <c r="BM237" s="188" t="s">
        <v>411</v>
      </c>
      <c r="BN237" s="195" t="s">
        <v>51</v>
      </c>
      <c r="BO237" s="188" t="str">
        <f t="shared" si="323"/>
        <v>S05S3751</v>
      </c>
      <c r="BP237" s="195" t="s">
        <v>402</v>
      </c>
      <c r="BQ237" s="195" t="s">
        <v>402</v>
      </c>
      <c r="BR237" s="188" t="s">
        <v>161</v>
      </c>
      <c r="BS237" s="195" t="s">
        <v>50</v>
      </c>
      <c r="BT237" s="195" t="s">
        <v>135</v>
      </c>
      <c r="BU237" s="195" t="s">
        <v>393</v>
      </c>
      <c r="BV237" s="195" t="s">
        <v>51</v>
      </c>
      <c r="BW237" s="195" t="s">
        <v>154</v>
      </c>
      <c r="BX237" s="195"/>
      <c r="BY237" s="195"/>
      <c r="BZ237" s="195" t="s">
        <v>157</v>
      </c>
      <c r="CA237" s="195" t="s">
        <v>269</v>
      </c>
      <c r="CB237" s="195" t="s">
        <v>412</v>
      </c>
      <c r="CC237" s="195" t="s">
        <v>781</v>
      </c>
      <c r="CD237" s="195" t="s">
        <v>392</v>
      </c>
      <c r="CE237" s="195" t="s">
        <v>396</v>
      </c>
      <c r="CF237" s="195" t="s">
        <v>398</v>
      </c>
      <c r="CG237" s="195" t="s">
        <v>418</v>
      </c>
      <c r="CH237" s="195" t="s">
        <v>159</v>
      </c>
      <c r="CI237" s="186"/>
      <c r="CJ237" s="186"/>
      <c r="CK237" s="187"/>
      <c r="CL237" s="195"/>
      <c r="CM237" s="195"/>
      <c r="CN237" s="186"/>
      <c r="CO237" s="188"/>
      <c r="CP237" s="195"/>
      <c r="CQ237" s="188"/>
      <c r="CR237" s="186"/>
      <c r="CS237" s="195"/>
      <c r="CT237" s="196"/>
      <c r="CU237" s="186"/>
      <c r="CV237" s="195"/>
      <c r="CW237" s="195"/>
      <c r="CX237" s="195"/>
      <c r="CY237" s="195"/>
      <c r="CZ237" s="195"/>
      <c r="DA237" s="195"/>
      <c r="DB237" s="188"/>
      <c r="DC237" s="195"/>
      <c r="DD237" s="187"/>
      <c r="DE237" s="195"/>
      <c r="DF237" s="195"/>
      <c r="DG237" s="195"/>
      <c r="DH237" s="195"/>
      <c r="DI237" s="195"/>
      <c r="DJ237" s="197"/>
      <c r="DK237" s="187"/>
      <c r="DL237" s="187"/>
      <c r="DM237" s="187"/>
      <c r="DN237" s="188" t="str">
        <f t="shared" si="324"/>
        <v>DS_Pass-3751</v>
      </c>
      <c r="DO237" s="187"/>
      <c r="DP237" s="187"/>
      <c r="DQ237" s="187"/>
      <c r="DR237" s="186"/>
      <c r="DS237" s="186"/>
      <c r="DT237" s="187"/>
      <c r="DU237" s="187"/>
      <c r="DV237" s="187"/>
      <c r="DW237" s="186"/>
      <c r="DX237" s="187"/>
      <c r="DY237" s="187"/>
      <c r="DZ237" s="195" t="s">
        <v>402</v>
      </c>
      <c r="EA237" s="190"/>
      <c r="EB237" s="195"/>
      <c r="EC237" s="195"/>
      <c r="ED237" s="195"/>
      <c r="EE237" s="198"/>
    </row>
    <row r="238" spans="1:135" s="199" customFormat="1" x14ac:dyDescent="0.2">
      <c r="A238" s="189"/>
      <c r="B238" s="189"/>
      <c r="C238" s="189"/>
      <c r="D238" s="186">
        <f>'Run Parameters'!$B$1 + ROW()-1</f>
        <v>3752</v>
      </c>
      <c r="E238" s="187" t="s">
        <v>47</v>
      </c>
      <c r="F238" s="188" t="s">
        <v>403</v>
      </c>
      <c r="G238" s="186" t="str">
        <f t="shared" si="307"/>
        <v>Access Dtls-3752</v>
      </c>
      <c r="H238" s="187" t="s">
        <v>275</v>
      </c>
      <c r="I238" s="186" t="str">
        <f>("MR. Test_"&amp; AV238 &amp;"_EXCH2")</f>
        <v>MR. Test_3752_EXCH2</v>
      </c>
      <c r="J238" s="188"/>
      <c r="K238" s="189" t="s">
        <v>425</v>
      </c>
      <c r="L238" s="186" t="str">
        <f t="shared" si="308"/>
        <v>Cust. Ref-3752</v>
      </c>
      <c r="M238" s="187" t="s">
        <v>48</v>
      </c>
      <c r="N238" s="187" t="s">
        <v>425</v>
      </c>
      <c r="O238" s="186"/>
      <c r="P238" s="186" t="str">
        <f t="shared" si="309"/>
        <v>SN-3752</v>
      </c>
      <c r="Q238" s="186" t="str">
        <f t="shared" si="310"/>
        <v>SI-3752</v>
      </c>
      <c r="R238" s="186" t="str">
        <f t="shared" si="311"/>
        <v>SE-3752</v>
      </c>
      <c r="S238" s="190" t="str">
        <f t="shared" si="312"/>
        <v>Prev_RA-3752</v>
      </c>
      <c r="T238" s="190" t="str">
        <f t="shared" si="313"/>
        <v>Prev_Comms-3752</v>
      </c>
      <c r="U238" s="187" t="s">
        <v>75</v>
      </c>
      <c r="V238" s="187" t="s">
        <v>401</v>
      </c>
      <c r="W238" s="187" t="s">
        <v>75</v>
      </c>
      <c r="X238" s="187" t="s">
        <v>396</v>
      </c>
      <c r="Y238" s="186" t="str">
        <f t="shared" si="314"/>
        <v>Forward Add-3752</v>
      </c>
      <c r="Z238" s="187" t="s">
        <v>401</v>
      </c>
      <c r="AA238" s="191" t="str">
        <f>'Run Parameters'!$B$2</f>
        <v>2019-04-26 08:00</v>
      </c>
      <c r="AB238" s="191" t="str">
        <f>'Run Parameters'!B$3</f>
        <v>2019-04-26 18:00</v>
      </c>
      <c r="AC238" s="192">
        <f>('Run Parameters'!$B$2) - 7</f>
        <v>43574.333333333336</v>
      </c>
      <c r="AD238" s="187" t="s">
        <v>75</v>
      </c>
      <c r="AE238" s="188" t="str">
        <f t="shared" si="315"/>
        <v>LAST_METER-3752</v>
      </c>
      <c r="AF238" s="191" t="str">
        <f>'Run Parameters'!$B$2</f>
        <v>2019-04-26 08:00</v>
      </c>
      <c r="AG238" s="186" t="str">
        <f>'Run Parameters'!B$4</f>
        <v>AUTOTEST2</v>
      </c>
      <c r="AH238" s="190" t="str">
        <f t="shared" si="316"/>
        <v>Site_Contact_3752</v>
      </c>
      <c r="AI238" s="191" t="str">
        <f>'Run Parameters'!B$2</f>
        <v>2019-04-26 08:00</v>
      </c>
      <c r="AJ238" s="214" t="str">
        <f>'Run Parameters'!B$3</f>
        <v>2019-04-26 18:00</v>
      </c>
      <c r="AK238" s="186" t="s">
        <v>396</v>
      </c>
      <c r="AL238" s="190" t="str">
        <f t="shared" si="317"/>
        <v>011593752</v>
      </c>
      <c r="AM238" s="186" t="str">
        <f t="shared" si="318"/>
        <v>01153752</v>
      </c>
      <c r="AN238" s="187"/>
      <c r="AO238" s="193"/>
      <c r="AP238" s="186">
        <v>1</v>
      </c>
      <c r="AQ238" s="194" t="s">
        <v>49</v>
      </c>
      <c r="AR238" s="187"/>
      <c r="AS238" s="186"/>
      <c r="AT238" s="195"/>
      <c r="AU238" s="195"/>
      <c r="AV238" s="186">
        <f t="shared" si="319"/>
        <v>3752</v>
      </c>
      <c r="AW238" s="186" t="s">
        <v>423</v>
      </c>
      <c r="AX238" s="186" t="s">
        <v>420</v>
      </c>
      <c r="AY238" s="186" t="s">
        <v>421</v>
      </c>
      <c r="AZ238" s="187" t="s">
        <v>334</v>
      </c>
      <c r="BA238" s="195" t="s">
        <v>154</v>
      </c>
      <c r="BB238" s="186">
        <v>1</v>
      </c>
      <c r="BC238" s="188">
        <f t="shared" si="320"/>
        <v>3752</v>
      </c>
      <c r="BD238" s="195" t="s">
        <v>410</v>
      </c>
      <c r="BE238" s="195" t="s">
        <v>391</v>
      </c>
      <c r="BF238" s="195" t="s">
        <v>391</v>
      </c>
      <c r="BG238" s="188" t="s">
        <v>403</v>
      </c>
      <c r="BH238" s="188" t="str">
        <f t="shared" si="321"/>
        <v>3752_1</v>
      </c>
      <c r="BI238" s="186"/>
      <c r="BJ238" s="186" t="str">
        <f t="shared" si="322"/>
        <v>100000003752</v>
      </c>
      <c r="BK238" s="195" t="s">
        <v>51</v>
      </c>
      <c r="BL238" s="195" t="s">
        <v>54</v>
      </c>
      <c r="BM238" s="188" t="s">
        <v>411</v>
      </c>
      <c r="BN238" s="195" t="s">
        <v>51</v>
      </c>
      <c r="BO238" s="188" t="str">
        <f t="shared" si="323"/>
        <v>S05S3752</v>
      </c>
      <c r="BP238" s="195" t="s">
        <v>402</v>
      </c>
      <c r="BQ238" s="195" t="s">
        <v>402</v>
      </c>
      <c r="BR238" s="188" t="s">
        <v>161</v>
      </c>
      <c r="BS238" s="195" t="s">
        <v>50</v>
      </c>
      <c r="BT238" s="195" t="s">
        <v>135</v>
      </c>
      <c r="BU238" s="195" t="s">
        <v>393</v>
      </c>
      <c r="BV238" s="195" t="s">
        <v>51</v>
      </c>
      <c r="BW238" s="195" t="s">
        <v>154</v>
      </c>
      <c r="BX238" s="195"/>
      <c r="BY238" s="195"/>
      <c r="BZ238" s="195" t="s">
        <v>157</v>
      </c>
      <c r="CA238" s="195" t="s">
        <v>269</v>
      </c>
      <c r="CB238" s="195" t="s">
        <v>412</v>
      </c>
      <c r="CC238" s="195" t="s">
        <v>781</v>
      </c>
      <c r="CD238" s="195" t="s">
        <v>392</v>
      </c>
      <c r="CE238" s="195" t="s">
        <v>396</v>
      </c>
      <c r="CF238" s="195" t="s">
        <v>398</v>
      </c>
      <c r="CG238" s="195" t="s">
        <v>418</v>
      </c>
      <c r="CH238" s="195" t="s">
        <v>159</v>
      </c>
      <c r="CI238" s="186"/>
      <c r="CJ238" s="186"/>
      <c r="CK238" s="187"/>
      <c r="CL238" s="195"/>
      <c r="CM238" s="195"/>
      <c r="CN238" s="186"/>
      <c r="CO238" s="188"/>
      <c r="CP238" s="195"/>
      <c r="CQ238" s="188"/>
      <c r="CR238" s="186"/>
      <c r="CS238" s="195"/>
      <c r="CT238" s="196"/>
      <c r="CU238" s="186"/>
      <c r="CV238" s="195"/>
      <c r="CW238" s="195"/>
      <c r="CX238" s="195"/>
      <c r="CY238" s="195"/>
      <c r="CZ238" s="195"/>
      <c r="DA238" s="195"/>
      <c r="DB238" s="188"/>
      <c r="DC238" s="195"/>
      <c r="DD238" s="187"/>
      <c r="DE238" s="195"/>
      <c r="DF238" s="195"/>
      <c r="DG238" s="195"/>
      <c r="DH238" s="195"/>
      <c r="DI238" s="195"/>
      <c r="DJ238" s="197"/>
      <c r="DK238" s="187"/>
      <c r="DL238" s="187"/>
      <c r="DM238" s="187"/>
      <c r="DN238" s="188" t="str">
        <f t="shared" si="324"/>
        <v>DS_Pass-3752</v>
      </c>
      <c r="DO238" s="187"/>
      <c r="DP238" s="187"/>
      <c r="DQ238" s="187"/>
      <c r="DR238" s="186"/>
      <c r="DS238" s="186"/>
      <c r="DT238" s="187"/>
      <c r="DU238" s="187"/>
      <c r="DV238" s="187"/>
      <c r="DW238" s="186"/>
      <c r="DX238" s="187"/>
      <c r="DY238" s="187"/>
      <c r="DZ238" s="195" t="s">
        <v>402</v>
      </c>
      <c r="EA238" s="190"/>
      <c r="EB238" s="195"/>
      <c r="EC238" s="195"/>
      <c r="ED238" s="195"/>
      <c r="EE238" s="198"/>
    </row>
    <row r="239" spans="1:135" s="199" customFormat="1" x14ac:dyDescent="0.2">
      <c r="A239" s="189"/>
      <c r="B239" s="189"/>
      <c r="C239" s="189"/>
      <c r="D239" s="186">
        <f>'Run Parameters'!$B$1 + ROW()-1</f>
        <v>3753</v>
      </c>
      <c r="E239" s="187" t="s">
        <v>47</v>
      </c>
      <c r="F239" s="188" t="s">
        <v>766</v>
      </c>
      <c r="G239" s="186" t="str">
        <f t="shared" si="307"/>
        <v>Access Dtls-3753</v>
      </c>
      <c r="H239" s="187" t="s">
        <v>275</v>
      </c>
      <c r="I239" s="186" t="str">
        <f>("MR. Test_"&amp; AV239 &amp;"_EXCH3")</f>
        <v>MR. Test_3753_EXCH3</v>
      </c>
      <c r="J239" s="188"/>
      <c r="K239" s="189" t="s">
        <v>425</v>
      </c>
      <c r="L239" s="186" t="str">
        <f t="shared" si="308"/>
        <v>Cust. Ref-3753</v>
      </c>
      <c r="M239" s="187" t="s">
        <v>48</v>
      </c>
      <c r="N239" s="187" t="s">
        <v>425</v>
      </c>
      <c r="O239" s="186"/>
      <c r="P239" s="186" t="str">
        <f t="shared" si="309"/>
        <v>SN-3753</v>
      </c>
      <c r="Q239" s="186" t="str">
        <f t="shared" si="310"/>
        <v>SI-3753</v>
      </c>
      <c r="R239" s="186" t="str">
        <f t="shared" si="311"/>
        <v>SE-3753</v>
      </c>
      <c r="S239" s="190" t="str">
        <f t="shared" si="312"/>
        <v>Prev_RA-3753</v>
      </c>
      <c r="T239" s="190" t="str">
        <f t="shared" si="313"/>
        <v>Prev_Comms-3753</v>
      </c>
      <c r="U239" s="187" t="s">
        <v>75</v>
      </c>
      <c r="V239" s="187" t="s">
        <v>401</v>
      </c>
      <c r="W239" s="187" t="s">
        <v>75</v>
      </c>
      <c r="X239" s="187" t="s">
        <v>396</v>
      </c>
      <c r="Y239" s="186" t="str">
        <f t="shared" si="314"/>
        <v>Forward Add-3753</v>
      </c>
      <c r="Z239" s="187" t="s">
        <v>401</v>
      </c>
      <c r="AA239" s="191" t="str">
        <f>'Run Parameters'!$B$2</f>
        <v>2019-04-26 08:00</v>
      </c>
      <c r="AB239" s="191" t="str">
        <f>'Run Parameters'!B$3</f>
        <v>2019-04-26 18:00</v>
      </c>
      <c r="AC239" s="192">
        <f>('Run Parameters'!$B$2) - 7</f>
        <v>43574.333333333336</v>
      </c>
      <c r="AD239" s="187" t="s">
        <v>75</v>
      </c>
      <c r="AE239" s="188" t="str">
        <f t="shared" si="315"/>
        <v>LAST_METER-3753</v>
      </c>
      <c r="AF239" s="191" t="str">
        <f>'Run Parameters'!$B$2</f>
        <v>2019-04-26 08:00</v>
      </c>
      <c r="AG239" s="186" t="str">
        <f>'Run Parameters'!B$4</f>
        <v>AUTOTEST2</v>
      </c>
      <c r="AH239" s="190" t="str">
        <f t="shared" si="316"/>
        <v>Site_Contact_3753</v>
      </c>
      <c r="AI239" s="191" t="str">
        <f>'Run Parameters'!B$2</f>
        <v>2019-04-26 08:00</v>
      </c>
      <c r="AJ239" s="214" t="str">
        <f>'Run Parameters'!B$3</f>
        <v>2019-04-26 18:00</v>
      </c>
      <c r="AK239" s="186" t="s">
        <v>396</v>
      </c>
      <c r="AL239" s="190" t="str">
        <f t="shared" si="317"/>
        <v>011593753</v>
      </c>
      <c r="AM239" s="186" t="str">
        <f t="shared" si="318"/>
        <v>01153753</v>
      </c>
      <c r="AN239" s="187"/>
      <c r="AO239" s="193"/>
      <c r="AP239" s="186">
        <v>1</v>
      </c>
      <c r="AQ239" s="194" t="s">
        <v>49</v>
      </c>
      <c r="AR239" s="187"/>
      <c r="AS239" s="186"/>
      <c r="AT239" s="195" t="s">
        <v>400</v>
      </c>
      <c r="AU239" s="195"/>
      <c r="AV239" s="186">
        <f t="shared" si="319"/>
        <v>3753</v>
      </c>
      <c r="AW239" s="186" t="s">
        <v>767</v>
      </c>
      <c r="AX239" s="186" t="s">
        <v>420</v>
      </c>
      <c r="AY239" s="186" t="s">
        <v>421</v>
      </c>
      <c r="AZ239" s="187" t="s">
        <v>334</v>
      </c>
      <c r="BA239" s="195" t="s">
        <v>154</v>
      </c>
      <c r="BB239" s="186">
        <v>1</v>
      </c>
      <c r="BC239" s="188">
        <f t="shared" si="320"/>
        <v>3753</v>
      </c>
      <c r="BD239" s="195" t="s">
        <v>768</v>
      </c>
      <c r="BE239" s="195" t="s">
        <v>391</v>
      </c>
      <c r="BF239" s="195" t="s">
        <v>391</v>
      </c>
      <c r="BG239" s="188" t="s">
        <v>766</v>
      </c>
      <c r="BH239" s="188" t="str">
        <f t="shared" si="321"/>
        <v>3753_1</v>
      </c>
      <c r="BI239" s="186"/>
      <c r="BJ239" s="186" t="str">
        <f t="shared" si="322"/>
        <v>100000003753</v>
      </c>
      <c r="BK239" s="195" t="s">
        <v>51</v>
      </c>
      <c r="BL239" s="195" t="s">
        <v>54</v>
      </c>
      <c r="BM239" s="188" t="s">
        <v>769</v>
      </c>
      <c r="BN239" s="195" t="s">
        <v>51</v>
      </c>
      <c r="BO239" s="188" t="str">
        <f t="shared" si="323"/>
        <v>S05S3753</v>
      </c>
      <c r="BP239" s="195" t="s">
        <v>770</v>
      </c>
      <c r="BQ239" s="195" t="s">
        <v>770</v>
      </c>
      <c r="BR239" s="188" t="s">
        <v>161</v>
      </c>
      <c r="BS239" s="195" t="s">
        <v>50</v>
      </c>
      <c r="BT239" s="195" t="s">
        <v>47</v>
      </c>
      <c r="BU239" s="195" t="s">
        <v>393</v>
      </c>
      <c r="BV239" s="195" t="s">
        <v>51</v>
      </c>
      <c r="BW239" s="195" t="s">
        <v>154</v>
      </c>
      <c r="BX239" s="195"/>
      <c r="BY239" s="195"/>
      <c r="BZ239" s="195" t="s">
        <v>157</v>
      </c>
      <c r="CA239" s="195" t="s">
        <v>269</v>
      </c>
      <c r="CB239" s="195" t="s">
        <v>412</v>
      </c>
      <c r="CC239" s="195" t="s">
        <v>771</v>
      </c>
      <c r="CD239" s="195" t="s">
        <v>392</v>
      </c>
      <c r="CE239" s="195" t="s">
        <v>396</v>
      </c>
      <c r="CF239" s="195" t="s">
        <v>398</v>
      </c>
      <c r="CG239" s="195" t="s">
        <v>267</v>
      </c>
      <c r="CH239" s="195" t="s">
        <v>159</v>
      </c>
      <c r="CI239" s="188">
        <v>1</v>
      </c>
      <c r="CJ239" s="188" t="str">
        <f>("GAS_ENQ_NO-" &amp; D239)</f>
        <v>GAS_ENQ_NO-3753</v>
      </c>
      <c r="CK239" s="195" t="s">
        <v>165</v>
      </c>
      <c r="CL239" s="195" t="s">
        <v>391</v>
      </c>
      <c r="CM239" s="195" t="s">
        <v>391</v>
      </c>
      <c r="CN239" s="188" t="s">
        <v>278</v>
      </c>
      <c r="CO239" s="188" t="str">
        <f>("GAS_JOB_ID-" &amp; D239)</f>
        <v>GAS_JOB_ID-3753</v>
      </c>
      <c r="CP239" s="195"/>
      <c r="CQ239" s="188" t="str">
        <f>"10000" &amp; D239</f>
        <v>100003753</v>
      </c>
      <c r="CR239" s="188" t="s">
        <v>154</v>
      </c>
      <c r="CS239" s="195" t="s">
        <v>51</v>
      </c>
      <c r="CT239" s="196" t="str">
        <f>"GMETER" &amp; D239</f>
        <v>GMETER3753</v>
      </c>
      <c r="CU239" s="188" t="s">
        <v>161</v>
      </c>
      <c r="CV239" s="195" t="s">
        <v>165</v>
      </c>
      <c r="CW239" s="195" t="s">
        <v>772</v>
      </c>
      <c r="CX239" s="195"/>
      <c r="CY239" s="195"/>
      <c r="CZ239" s="195" t="s">
        <v>394</v>
      </c>
      <c r="DA239" s="195" t="s">
        <v>395</v>
      </c>
      <c r="DB239" s="188" t="str">
        <f>("GAS_INST_ID-" &amp; $D239)</f>
        <v>GAS_INST_ID-3753</v>
      </c>
      <c r="DC239" s="195" t="s">
        <v>161</v>
      </c>
      <c r="DD239" s="195"/>
      <c r="DE239" s="195" t="s">
        <v>51</v>
      </c>
      <c r="DF239" s="195" t="s">
        <v>264</v>
      </c>
      <c r="DG239" s="195"/>
      <c r="DH239" s="195" t="s">
        <v>397</v>
      </c>
      <c r="DI239" s="195" t="s">
        <v>399</v>
      </c>
      <c r="DJ239" s="197" t="s">
        <v>267</v>
      </c>
      <c r="DK239" s="195" t="s">
        <v>140</v>
      </c>
      <c r="DL239" s="187"/>
      <c r="DM239" s="187"/>
      <c r="DN239" s="188" t="str">
        <f>("DS_Pass-" &amp; $D239)</f>
        <v>DS_Pass-3753</v>
      </c>
      <c r="DO239" s="187"/>
      <c r="DP239" s="187"/>
      <c r="DQ239" s="187"/>
      <c r="DR239" s="186"/>
      <c r="DS239" s="186"/>
      <c r="DT239" s="187"/>
      <c r="DU239" s="187"/>
      <c r="DV239" s="187"/>
      <c r="DW239" s="186"/>
      <c r="DX239" s="187"/>
      <c r="DY239" s="187"/>
      <c r="DZ239" s="195" t="s">
        <v>770</v>
      </c>
      <c r="EA239" s="190"/>
      <c r="EB239" s="195"/>
      <c r="EC239" s="195"/>
      <c r="ED239" s="195"/>
      <c r="EE239" s="198"/>
    </row>
    <row r="240" spans="1:135" s="199" customFormat="1" x14ac:dyDescent="0.2">
      <c r="A240" s="189"/>
      <c r="B240" s="189"/>
      <c r="C240" s="189"/>
      <c r="D240" s="186">
        <f>'Run Parameters'!$B$1 + ROW()-1</f>
        <v>3754</v>
      </c>
      <c r="E240" s="187" t="s">
        <v>47</v>
      </c>
      <c r="F240" s="188" t="s">
        <v>831</v>
      </c>
      <c r="G240" s="186" t="str">
        <f t="shared" si="307"/>
        <v>Access Dtls-3754</v>
      </c>
      <c r="H240" s="187" t="s">
        <v>332</v>
      </c>
      <c r="I240" s="186" t="str">
        <f>("MR. Test_"&amp; AV240 &amp;"_EXCH1")</f>
        <v>MR. Test_3754_EXCH1</v>
      </c>
      <c r="J240" s="186"/>
      <c r="K240" s="189" t="s">
        <v>425</v>
      </c>
      <c r="L240" s="186" t="str">
        <f t="shared" si="308"/>
        <v>Cust. Ref-3754</v>
      </c>
      <c r="M240" s="187" t="s">
        <v>48</v>
      </c>
      <c r="N240" s="187" t="s">
        <v>425</v>
      </c>
      <c r="O240" s="186"/>
      <c r="P240" s="186" t="str">
        <f t="shared" si="309"/>
        <v>SN-3754</v>
      </c>
      <c r="Q240" s="186" t="str">
        <f t="shared" si="310"/>
        <v>SI-3754</v>
      </c>
      <c r="R240" s="186" t="str">
        <f t="shared" si="311"/>
        <v>SE-3754</v>
      </c>
      <c r="S240" s="190" t="str">
        <f t="shared" si="312"/>
        <v>Prev_RA-3754</v>
      </c>
      <c r="T240" s="190" t="str">
        <f t="shared" si="313"/>
        <v>Prev_Comms-3754</v>
      </c>
      <c r="U240" s="187" t="s">
        <v>75</v>
      </c>
      <c r="V240" s="187" t="s">
        <v>401</v>
      </c>
      <c r="W240" s="187" t="s">
        <v>75</v>
      </c>
      <c r="X240" s="187" t="s">
        <v>396</v>
      </c>
      <c r="Y240" s="186" t="str">
        <f t="shared" si="314"/>
        <v>Forward Add-3754</v>
      </c>
      <c r="Z240" s="187" t="s">
        <v>401</v>
      </c>
      <c r="AA240" s="191" t="str">
        <f>'Run Parameters'!$B$2</f>
        <v>2019-04-26 08:00</v>
      </c>
      <c r="AB240" s="191" t="str">
        <f>'Run Parameters'!B$3</f>
        <v>2019-04-26 18:00</v>
      </c>
      <c r="AC240" s="192">
        <f>('Run Parameters'!$B$2) - 7</f>
        <v>43574.333333333336</v>
      </c>
      <c r="AD240" s="187" t="s">
        <v>75</v>
      </c>
      <c r="AE240" s="188" t="str">
        <f t="shared" si="315"/>
        <v>LAST_METER-3754</v>
      </c>
      <c r="AF240" s="191" t="str">
        <f>'Run Parameters'!$B$2</f>
        <v>2019-04-26 08:00</v>
      </c>
      <c r="AG240" s="186" t="str">
        <f>'Run Parameters'!B$4</f>
        <v>AUTOTEST2</v>
      </c>
      <c r="AH240" s="190" t="str">
        <f t="shared" si="316"/>
        <v>Site_Contact_3754</v>
      </c>
      <c r="AI240" s="191" t="str">
        <f>'Run Parameters'!B$2</f>
        <v>2019-04-26 08:00</v>
      </c>
      <c r="AJ240" s="214" t="str">
        <f>'Run Parameters'!B$3</f>
        <v>2019-04-26 18:00</v>
      </c>
      <c r="AK240" s="186" t="s">
        <v>396</v>
      </c>
      <c r="AL240" s="190" t="str">
        <f t="shared" si="317"/>
        <v>011593754</v>
      </c>
      <c r="AM240" s="186" t="str">
        <f t="shared" si="318"/>
        <v>01153754</v>
      </c>
      <c r="AN240" s="187"/>
      <c r="AO240" s="187"/>
      <c r="AP240" s="186">
        <v>1</v>
      </c>
      <c r="AQ240" s="194" t="s">
        <v>49</v>
      </c>
      <c r="AR240" s="187"/>
      <c r="AS240" s="186"/>
      <c r="AT240" s="195" t="s">
        <v>832</v>
      </c>
      <c r="AU240" s="195"/>
      <c r="AV240" s="186">
        <f t="shared" si="319"/>
        <v>3754</v>
      </c>
      <c r="AW240" s="186" t="s">
        <v>833</v>
      </c>
      <c r="AX240" s="186" t="s">
        <v>420</v>
      </c>
      <c r="AY240" s="186" t="s">
        <v>421</v>
      </c>
      <c r="AZ240" s="187" t="s">
        <v>333</v>
      </c>
      <c r="BA240" s="187" t="s">
        <v>154</v>
      </c>
      <c r="BB240" s="186">
        <v>1</v>
      </c>
      <c r="BC240" s="188">
        <f t="shared" si="320"/>
        <v>3754</v>
      </c>
      <c r="BD240" s="200" t="s">
        <v>834</v>
      </c>
      <c r="BE240" s="187" t="s">
        <v>391</v>
      </c>
      <c r="BF240" s="187" t="s">
        <v>391</v>
      </c>
      <c r="BG240" s="186" t="s">
        <v>831</v>
      </c>
      <c r="BH240" s="188" t="str">
        <f t="shared" si="321"/>
        <v>3754_1</v>
      </c>
      <c r="BI240" s="186"/>
      <c r="BJ240" s="186" t="str">
        <f t="shared" si="322"/>
        <v>100000003754</v>
      </c>
      <c r="BK240" s="187" t="s">
        <v>51</v>
      </c>
      <c r="BL240" s="187" t="s">
        <v>405</v>
      </c>
      <c r="BM240" s="186" t="s">
        <v>411</v>
      </c>
      <c r="BN240" s="187"/>
      <c r="BO240" s="188" t="str">
        <f t="shared" si="323"/>
        <v>S05S3754</v>
      </c>
      <c r="BP240" s="187" t="s">
        <v>409</v>
      </c>
      <c r="BQ240" s="187" t="s">
        <v>409</v>
      </c>
      <c r="BR240" s="186" t="s">
        <v>159</v>
      </c>
      <c r="BS240" s="187" t="s">
        <v>50</v>
      </c>
      <c r="BT240" s="195" t="s">
        <v>157</v>
      </c>
      <c r="BU240" s="187" t="s">
        <v>835</v>
      </c>
      <c r="BV240" s="187" t="s">
        <v>51</v>
      </c>
      <c r="BW240" s="187" t="s">
        <v>154</v>
      </c>
      <c r="BX240" s="187"/>
      <c r="BY240" s="187"/>
      <c r="BZ240" s="187" t="s">
        <v>157</v>
      </c>
      <c r="CA240" s="187" t="s">
        <v>269</v>
      </c>
      <c r="CB240" s="195" t="s">
        <v>412</v>
      </c>
      <c r="CC240" s="195" t="s">
        <v>771</v>
      </c>
      <c r="CD240" s="195" t="s">
        <v>392</v>
      </c>
      <c r="CE240" s="195" t="s">
        <v>396</v>
      </c>
      <c r="CF240" s="195" t="s">
        <v>398</v>
      </c>
      <c r="CG240" s="200" t="s">
        <v>836</v>
      </c>
      <c r="CH240" s="195" t="s">
        <v>159</v>
      </c>
      <c r="CI240" s="188">
        <v>1</v>
      </c>
      <c r="CJ240" s="188" t="str">
        <f>("GAS_ENQ_NO-" &amp; D240)</f>
        <v>GAS_ENQ_NO-3754</v>
      </c>
      <c r="CK240" s="195" t="s">
        <v>165</v>
      </c>
      <c r="CL240" s="195" t="s">
        <v>391</v>
      </c>
      <c r="CM240" s="195" t="s">
        <v>391</v>
      </c>
      <c r="CN240" s="188" t="s">
        <v>837</v>
      </c>
      <c r="CO240" s="188" t="str">
        <f>("GAS_JOB_ID-" &amp; D240)</f>
        <v>GAS_JOB_ID-3754</v>
      </c>
      <c r="CP240" s="195"/>
      <c r="CQ240" s="188" t="str">
        <f>"10000" &amp; D240</f>
        <v>100003754</v>
      </c>
      <c r="CR240" s="188" t="s">
        <v>154</v>
      </c>
      <c r="CS240" s="195" t="s">
        <v>51</v>
      </c>
      <c r="CT240" s="196" t="str">
        <f>"GMETER" &amp; D240</f>
        <v>GMETER3754</v>
      </c>
      <c r="CU240" s="188" t="s">
        <v>161</v>
      </c>
      <c r="CV240" s="195" t="s">
        <v>165</v>
      </c>
      <c r="CW240" s="195" t="s">
        <v>772</v>
      </c>
      <c r="CX240" s="195"/>
      <c r="CY240" s="195"/>
      <c r="CZ240" s="195" t="s">
        <v>394</v>
      </c>
      <c r="DA240" s="195" t="s">
        <v>395</v>
      </c>
      <c r="DB240" s="188" t="str">
        <f>("GAS_INST_ID-" &amp; $D240)</f>
        <v>GAS_INST_ID-3754</v>
      </c>
      <c r="DC240" s="195" t="s">
        <v>161</v>
      </c>
      <c r="DD240" s="195"/>
      <c r="DE240" s="195" t="s">
        <v>51</v>
      </c>
      <c r="DF240" s="195" t="s">
        <v>264</v>
      </c>
      <c r="DG240" s="195"/>
      <c r="DH240" s="195" t="s">
        <v>397</v>
      </c>
      <c r="DI240" s="195" t="s">
        <v>399</v>
      </c>
      <c r="DJ240" s="197" t="s">
        <v>836</v>
      </c>
      <c r="DK240" s="195" t="s">
        <v>140</v>
      </c>
      <c r="DL240" s="187"/>
      <c r="DM240" s="187"/>
      <c r="DN240" s="188" t="str">
        <f t="shared" si="324"/>
        <v>DS_Pass-3754</v>
      </c>
      <c r="DO240" s="187"/>
      <c r="DP240" s="187"/>
      <c r="DQ240" s="187"/>
      <c r="DR240" s="186"/>
      <c r="DS240" s="186"/>
      <c r="DT240" s="187"/>
      <c r="DU240" s="187"/>
      <c r="DV240" s="187"/>
      <c r="DW240" s="186"/>
      <c r="DX240" s="187"/>
      <c r="DY240" s="187"/>
      <c r="DZ240" s="187" t="s">
        <v>409</v>
      </c>
      <c r="EA240" s="190"/>
      <c r="EB240" s="187"/>
      <c r="EC240" s="187"/>
      <c r="ED240" s="200"/>
      <c r="EE240" s="198"/>
    </row>
    <row r="241" spans="1:136" x14ac:dyDescent="0.2">
      <c r="A241" s="209"/>
      <c r="B241" s="209"/>
      <c r="C241" s="209"/>
      <c r="D241" s="13"/>
      <c r="E241" s="15"/>
      <c r="F241" s="18"/>
      <c r="G241" s="13"/>
      <c r="H241" s="15"/>
      <c r="I241" s="13"/>
      <c r="J241" s="13"/>
      <c r="K241" s="19"/>
      <c r="L241" s="13"/>
      <c r="M241" s="15"/>
      <c r="N241" s="15"/>
      <c r="O241" s="13"/>
      <c r="P241" s="13"/>
      <c r="Q241" s="13"/>
      <c r="R241" s="13"/>
      <c r="S241" s="53"/>
      <c r="T241" s="53"/>
      <c r="U241" s="17"/>
      <c r="V241" s="15"/>
      <c r="W241" s="17"/>
      <c r="X241" s="15"/>
      <c r="Y241" s="13"/>
      <c r="Z241" s="15"/>
      <c r="AA241" s="133"/>
      <c r="AB241" s="134"/>
      <c r="AC241" s="26"/>
      <c r="AD241" s="17"/>
      <c r="AE241" s="18"/>
      <c r="AF241" s="134"/>
      <c r="AG241" s="13"/>
      <c r="AH241" s="53"/>
      <c r="AI241" s="134"/>
      <c r="AJ241" s="213"/>
      <c r="AK241" s="13"/>
      <c r="AL241" s="53"/>
      <c r="AM241" s="13"/>
      <c r="AN241" s="15"/>
      <c r="AO241" s="15"/>
      <c r="AP241" s="13"/>
      <c r="AQ241" s="52"/>
      <c r="AR241" s="15"/>
      <c r="AS241" s="13"/>
      <c r="AT241" s="7"/>
      <c r="AU241" s="7"/>
      <c r="AV241" s="13"/>
      <c r="AW241" s="13"/>
      <c r="AX241" s="13"/>
      <c r="AY241" s="13"/>
      <c r="AZ241" s="15"/>
      <c r="BA241" s="15"/>
      <c r="BB241" s="21"/>
      <c r="BC241" s="20"/>
      <c r="BD241" s="183"/>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83"/>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84"/>
      <c r="DK241" s="7"/>
      <c r="DL241" s="40"/>
      <c r="DM241" s="40"/>
      <c r="DN241" s="18"/>
      <c r="DO241" s="40"/>
      <c r="DP241" s="40"/>
      <c r="DQ241" s="40"/>
      <c r="DR241" s="41"/>
      <c r="DS241" s="41"/>
      <c r="DT241" s="40"/>
      <c r="DU241" s="40"/>
      <c r="DV241" s="40"/>
      <c r="DW241" s="41"/>
      <c r="DX241" s="40"/>
      <c r="DY241" s="40"/>
      <c r="DZ241" s="40"/>
      <c r="EA241" s="39"/>
      <c r="EB241" s="40"/>
      <c r="EC241" s="40"/>
      <c r="ED241" s="183"/>
      <c r="EE241" s="1"/>
      <c r="EF241" s="54"/>
    </row>
    <row r="242" spans="1:136" x14ac:dyDescent="0.2">
      <c r="A242" s="209"/>
      <c r="B242" s="209"/>
      <c r="C242" s="209"/>
      <c r="D242" s="13"/>
      <c r="E242" s="15"/>
      <c r="F242" s="18"/>
      <c r="G242" s="13"/>
      <c r="H242" s="15"/>
      <c r="I242" s="13"/>
      <c r="J242" s="13"/>
      <c r="K242" s="19"/>
      <c r="L242" s="13"/>
      <c r="M242" s="15"/>
      <c r="N242" s="15"/>
      <c r="O242" s="13"/>
      <c r="P242" s="13"/>
      <c r="Q242" s="13"/>
      <c r="R242" s="13"/>
      <c r="S242" s="53"/>
      <c r="T242" s="53"/>
      <c r="U242" s="17"/>
      <c r="V242" s="15"/>
      <c r="W242" s="17"/>
      <c r="X242" s="15"/>
      <c r="Y242" s="13"/>
      <c r="Z242" s="15"/>
      <c r="AA242" s="133"/>
      <c r="AB242" s="134"/>
      <c r="AC242" s="26"/>
      <c r="AD242" s="17"/>
      <c r="AE242" s="18"/>
      <c r="AF242" s="134"/>
      <c r="AG242" s="13"/>
      <c r="AH242" s="53"/>
      <c r="AI242" s="134"/>
      <c r="AJ242" s="213"/>
      <c r="AK242" s="13"/>
      <c r="AL242" s="53"/>
      <c r="AM242" s="13"/>
      <c r="AN242" s="15"/>
      <c r="AO242" s="15"/>
      <c r="AP242" s="13"/>
      <c r="AQ242" s="52"/>
      <c r="AR242" s="15"/>
      <c r="AS242" s="13"/>
      <c r="AT242" s="7"/>
      <c r="AU242" s="7"/>
      <c r="AV242" s="13"/>
      <c r="AW242" s="13"/>
      <c r="AX242" s="13"/>
      <c r="AY242" s="13"/>
      <c r="AZ242" s="15"/>
      <c r="BA242" s="15"/>
      <c r="BB242" s="21"/>
      <c r="BC242" s="20"/>
      <c r="BD242" s="183"/>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83"/>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84"/>
      <c r="DK242" s="7"/>
      <c r="DL242" s="40"/>
      <c r="DM242" s="40"/>
      <c r="DN242" s="18"/>
      <c r="DO242" s="40"/>
      <c r="DP242" s="40"/>
      <c r="DQ242" s="40"/>
      <c r="DR242" s="41"/>
      <c r="DS242" s="41"/>
      <c r="DT242" s="40"/>
      <c r="DU242" s="40"/>
      <c r="DV242" s="40"/>
      <c r="DW242" s="41"/>
      <c r="DX242" s="40"/>
      <c r="DY242" s="40"/>
      <c r="DZ242" s="40"/>
      <c r="EA242" s="39"/>
      <c r="EB242" s="40"/>
      <c r="EC242" s="40"/>
      <c r="ED242" s="183"/>
      <c r="EE242" s="1"/>
      <c r="EF242" s="54"/>
    </row>
    <row r="243" spans="1:136" x14ac:dyDescent="0.2">
      <c r="A243" s="209"/>
      <c r="B243" s="209"/>
      <c r="C243" s="209"/>
      <c r="D243" s="13"/>
      <c r="E243" s="15"/>
      <c r="F243" s="18"/>
      <c r="G243" s="13"/>
      <c r="H243" s="15"/>
      <c r="I243" s="13"/>
      <c r="J243" s="13"/>
      <c r="K243" s="19"/>
      <c r="L243" s="13"/>
      <c r="M243" s="15"/>
      <c r="N243" s="15"/>
      <c r="O243" s="13"/>
      <c r="P243" s="13"/>
      <c r="Q243" s="13"/>
      <c r="R243" s="13"/>
      <c r="S243" s="53"/>
      <c r="T243" s="53"/>
      <c r="U243" s="17"/>
      <c r="V243" s="15"/>
      <c r="W243" s="17"/>
      <c r="X243" s="15"/>
      <c r="Y243" s="13"/>
      <c r="Z243" s="15"/>
      <c r="AA243" s="133"/>
      <c r="AB243" s="134"/>
      <c r="AC243" s="26"/>
      <c r="AD243" s="17"/>
      <c r="AE243" s="18"/>
      <c r="AF243" s="134"/>
      <c r="AG243" s="13"/>
      <c r="AH243" s="53"/>
      <c r="AI243" s="134"/>
      <c r="AJ243" s="213"/>
      <c r="AK243" s="13"/>
      <c r="AL243" s="53"/>
      <c r="AM243" s="13"/>
      <c r="AN243" s="15"/>
      <c r="AO243" s="15"/>
      <c r="AP243" s="13"/>
      <c r="AQ243" s="52"/>
      <c r="AR243" s="15"/>
      <c r="AS243" s="13"/>
      <c r="AT243" s="7"/>
      <c r="AU243" s="7"/>
      <c r="AV243" s="13"/>
      <c r="AW243" s="13"/>
      <c r="AX243" s="13"/>
      <c r="AY243" s="13"/>
      <c r="AZ243" s="15"/>
      <c r="BA243" s="15"/>
      <c r="BB243" s="21"/>
      <c r="BC243" s="20"/>
      <c r="BD243" s="183"/>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83"/>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84"/>
      <c r="DK243" s="7"/>
      <c r="DL243" s="40"/>
      <c r="DM243" s="40"/>
      <c r="DN243" s="18"/>
      <c r="DO243" s="40"/>
      <c r="DP243" s="40"/>
      <c r="DQ243" s="40"/>
      <c r="DR243" s="41"/>
      <c r="DS243" s="41"/>
      <c r="DT243" s="40"/>
      <c r="DU243" s="40"/>
      <c r="DV243" s="40"/>
      <c r="DW243" s="41"/>
      <c r="DX243" s="40"/>
      <c r="DY243" s="40"/>
      <c r="DZ243" s="40"/>
      <c r="EA243" s="39"/>
      <c r="EB243" s="40"/>
      <c r="EC243" s="40"/>
      <c r="ED243" s="183"/>
      <c r="EE243" s="1"/>
      <c r="EF243" s="54"/>
    </row>
    <row r="244" spans="1:136" x14ac:dyDescent="0.2">
      <c r="A244" s="209"/>
      <c r="B244" s="209"/>
      <c r="C244" s="209"/>
      <c r="D244" s="13"/>
      <c r="E244" s="15"/>
      <c r="F244" s="18"/>
      <c r="G244" s="13"/>
      <c r="H244" s="15"/>
      <c r="I244" s="13"/>
      <c r="J244" s="13"/>
      <c r="K244" s="19"/>
      <c r="L244" s="13"/>
      <c r="M244" s="15"/>
      <c r="N244" s="15"/>
      <c r="O244" s="13"/>
      <c r="P244" s="13"/>
      <c r="Q244" s="13"/>
      <c r="R244" s="13"/>
      <c r="S244" s="53"/>
      <c r="T244" s="53"/>
      <c r="U244" s="17"/>
      <c r="V244" s="15"/>
      <c r="W244" s="17"/>
      <c r="X244" s="15"/>
      <c r="Y244" s="13"/>
      <c r="Z244" s="15"/>
      <c r="AA244" s="133"/>
      <c r="AB244" s="134"/>
      <c r="AC244" s="26"/>
      <c r="AD244" s="17"/>
      <c r="AE244" s="18"/>
      <c r="AF244" s="134"/>
      <c r="AG244" s="13"/>
      <c r="AH244" s="53"/>
      <c r="AI244" s="134"/>
      <c r="AJ244" s="213"/>
      <c r="AK244" s="13"/>
      <c r="AL244" s="53"/>
      <c r="AM244" s="13"/>
      <c r="AN244" s="15"/>
      <c r="AO244" s="15"/>
      <c r="AP244" s="13"/>
      <c r="AQ244" s="52"/>
      <c r="AR244" s="15"/>
      <c r="AS244" s="13"/>
      <c r="AT244" s="7"/>
      <c r="AU244" s="7"/>
      <c r="AV244" s="13"/>
      <c r="AW244" s="13"/>
      <c r="AX244" s="13"/>
      <c r="AY244" s="13"/>
      <c r="AZ244" s="15"/>
      <c r="BA244" s="15"/>
      <c r="BB244" s="21"/>
      <c r="BC244" s="20"/>
      <c r="BD244" s="183"/>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83"/>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84"/>
      <c r="DK244" s="7"/>
      <c r="DL244" s="40"/>
      <c r="DM244" s="40"/>
      <c r="DN244" s="18"/>
      <c r="DO244" s="40"/>
      <c r="DP244" s="40"/>
      <c r="DQ244" s="40"/>
      <c r="DR244" s="41"/>
      <c r="DS244" s="41"/>
      <c r="DT244" s="40"/>
      <c r="DU244" s="40"/>
      <c r="DV244" s="40"/>
      <c r="DW244" s="41"/>
      <c r="DX244" s="40"/>
      <c r="DY244" s="40"/>
      <c r="DZ244" s="40"/>
      <c r="EA244" s="39"/>
      <c r="EB244" s="40"/>
      <c r="EC244" s="40"/>
      <c r="ED244" s="183"/>
      <c r="EE244" s="1"/>
      <c r="EF244" s="54"/>
    </row>
    <row r="245" spans="1:136" x14ac:dyDescent="0.2">
      <c r="A245" s="209"/>
      <c r="B245" s="209"/>
      <c r="C245" s="209"/>
      <c r="D245" s="13"/>
      <c r="E245" s="15"/>
      <c r="F245" s="18"/>
      <c r="G245" s="13"/>
      <c r="H245" s="15"/>
      <c r="I245" s="13"/>
      <c r="J245" s="13"/>
      <c r="K245" s="19"/>
      <c r="L245" s="13"/>
      <c r="M245" s="15"/>
      <c r="N245" s="15"/>
      <c r="O245" s="13"/>
      <c r="P245" s="13"/>
      <c r="Q245" s="13"/>
      <c r="R245" s="13"/>
      <c r="S245" s="53"/>
      <c r="T245" s="53"/>
      <c r="U245" s="17"/>
      <c r="V245" s="15"/>
      <c r="W245" s="17"/>
      <c r="X245" s="15"/>
      <c r="Y245" s="13"/>
      <c r="Z245" s="15"/>
      <c r="AA245" s="133"/>
      <c r="AB245" s="134"/>
      <c r="AC245" s="26"/>
      <c r="AD245" s="17"/>
      <c r="AE245" s="18"/>
      <c r="AF245" s="134"/>
      <c r="AG245" s="13"/>
      <c r="AH245" s="53"/>
      <c r="AI245" s="134"/>
      <c r="AJ245" s="213"/>
      <c r="AK245" s="13"/>
      <c r="AL245" s="53"/>
      <c r="AM245" s="13"/>
      <c r="AN245" s="15"/>
      <c r="AO245" s="15"/>
      <c r="AP245" s="13"/>
      <c r="AQ245" s="52"/>
      <c r="AR245" s="15"/>
      <c r="AS245" s="13"/>
      <c r="AT245" s="7"/>
      <c r="AU245" s="7"/>
      <c r="AV245" s="13"/>
      <c r="AW245" s="13"/>
      <c r="AX245" s="13"/>
      <c r="AY245" s="13"/>
      <c r="AZ245" s="15"/>
      <c r="BA245" s="15"/>
      <c r="BB245" s="21"/>
      <c r="BC245" s="20"/>
      <c r="BD245" s="183"/>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83"/>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84"/>
      <c r="DK245" s="7"/>
      <c r="DL245" s="40"/>
      <c r="DM245" s="40"/>
      <c r="DN245" s="18"/>
      <c r="DO245" s="40"/>
      <c r="DP245" s="40"/>
      <c r="DQ245" s="40"/>
      <c r="DR245" s="41"/>
      <c r="DS245" s="41"/>
      <c r="DT245" s="40"/>
      <c r="DU245" s="40"/>
      <c r="DV245" s="40"/>
      <c r="DW245" s="41"/>
      <c r="DX245" s="40"/>
      <c r="DY245" s="40"/>
      <c r="DZ245" s="40"/>
      <c r="EA245" s="39"/>
      <c r="EB245" s="40"/>
      <c r="EC245" s="40"/>
      <c r="ED245" s="183"/>
      <c r="EE245" s="1"/>
      <c r="EF245" s="54"/>
    </row>
    <row r="246" spans="1:136" s="182" customFormat="1" x14ac:dyDescent="0.2">
      <c r="A246" s="171"/>
      <c r="B246" s="171"/>
      <c r="C246" s="171"/>
      <c r="D246" s="168">
        <f>'Run Parameters'!$B$1 + ROW()-1</f>
        <v>3760</v>
      </c>
      <c r="E246" s="169" t="s">
        <v>47</v>
      </c>
      <c r="F246" s="170" t="s">
        <v>831</v>
      </c>
      <c r="G246" s="168" t="str">
        <f>("Access Dtls-" &amp; D246)</f>
        <v>Access Dtls-3760</v>
      </c>
      <c r="H246" s="169" t="s">
        <v>332</v>
      </c>
      <c r="I246" s="168" t="str">
        <f>("MR. Test_"&amp; AV246 &amp;"_EXCH1")</f>
        <v>MR. Test_3760_EXCH1</v>
      </c>
      <c r="J246" s="168"/>
      <c r="K246" s="171" t="s">
        <v>425</v>
      </c>
      <c r="L246" s="168" t="str">
        <f>("Cust. Ref-" &amp; D246)</f>
        <v>Cust. Ref-3760</v>
      </c>
      <c r="M246" s="169" t="s">
        <v>48</v>
      </c>
      <c r="N246" s="169" t="s">
        <v>425</v>
      </c>
      <c r="O246" s="168"/>
      <c r="P246" s="168" t="str">
        <f>("SN-" &amp; D246)</f>
        <v>SN-3760</v>
      </c>
      <c r="Q246" s="168" t="str">
        <f>("SI-" &amp; D246)</f>
        <v>SI-3760</v>
      </c>
      <c r="R246" s="168" t="str">
        <f>("SE-" &amp; D246)</f>
        <v>SE-3760</v>
      </c>
      <c r="S246" s="172" t="str">
        <f>("Prev_RA-" &amp; D246)</f>
        <v>Prev_RA-3760</v>
      </c>
      <c r="T246" s="172" t="str">
        <f>("Prev_Comms-" &amp; D246)</f>
        <v>Prev_Comms-3760</v>
      </c>
      <c r="U246" s="169" t="s">
        <v>75</v>
      </c>
      <c r="V246" s="169" t="s">
        <v>401</v>
      </c>
      <c r="W246" s="169" t="s">
        <v>75</v>
      </c>
      <c r="X246" s="169" t="s">
        <v>396</v>
      </c>
      <c r="Y246" s="168" t="str">
        <f>("Forward Add-" &amp; D246)</f>
        <v>Forward Add-3760</v>
      </c>
      <c r="Z246" s="169" t="s">
        <v>401</v>
      </c>
      <c r="AA246" s="173" t="str">
        <f>'Run Parameters'!$B$2</f>
        <v>2019-04-26 08:00</v>
      </c>
      <c r="AB246" s="173" t="str">
        <f>'Run Parameters'!B$3</f>
        <v>2019-04-26 18:00</v>
      </c>
      <c r="AC246" s="175">
        <f>('Run Parameters'!$B$2) - 7</f>
        <v>43574.333333333336</v>
      </c>
      <c r="AD246" s="169" t="s">
        <v>75</v>
      </c>
      <c r="AE246" s="170" t="str">
        <f>("LAST_METER-" &amp; D246)</f>
        <v>LAST_METER-3760</v>
      </c>
      <c r="AF246" s="173" t="str">
        <f>'Run Parameters'!$B$2</f>
        <v>2019-04-26 08:00</v>
      </c>
      <c r="AG246" s="168" t="str">
        <f>'Run Parameters'!B$4</f>
        <v>AUTOTEST2</v>
      </c>
      <c r="AH246" s="172" t="str">
        <f>("Site_Contact_" &amp; D246)</f>
        <v>Site_Contact_3760</v>
      </c>
      <c r="AI246" s="173" t="str">
        <f>'Run Parameters'!B$2</f>
        <v>2019-04-26 08:00</v>
      </c>
      <c r="AJ246" s="213" t="str">
        <f>'Run Parameters'!B$3</f>
        <v>2019-04-26 18:00</v>
      </c>
      <c r="AK246" s="168" t="s">
        <v>396</v>
      </c>
      <c r="AL246" s="172" t="str">
        <f>"01159" &amp; D246</f>
        <v>011593760</v>
      </c>
      <c r="AM246" s="168" t="str">
        <f>("0115" &amp; D246)</f>
        <v>01153760</v>
      </c>
      <c r="AN246" s="169"/>
      <c r="AO246" s="169"/>
      <c r="AP246" s="168">
        <v>1</v>
      </c>
      <c r="AQ246" s="176" t="s">
        <v>49</v>
      </c>
      <c r="AR246" s="169"/>
      <c r="AS246" s="168"/>
      <c r="AT246" s="177" t="s">
        <v>832</v>
      </c>
      <c r="AU246" s="177"/>
      <c r="AV246" s="168">
        <f>D246</f>
        <v>3760</v>
      </c>
      <c r="AW246" s="168" t="s">
        <v>833</v>
      </c>
      <c r="AX246" s="168" t="s">
        <v>420</v>
      </c>
      <c r="AY246" s="168" t="s">
        <v>421</v>
      </c>
      <c r="AZ246" s="169" t="s">
        <v>333</v>
      </c>
      <c r="BA246" s="169" t="s">
        <v>154</v>
      </c>
      <c r="BB246" s="168">
        <v>1</v>
      </c>
      <c r="BC246" s="170">
        <f>D246</f>
        <v>3760</v>
      </c>
      <c r="BD246" s="178" t="s">
        <v>834</v>
      </c>
      <c r="BE246" s="169" t="s">
        <v>391</v>
      </c>
      <c r="BF246" s="169" t="s">
        <v>391</v>
      </c>
      <c r="BG246" s="168" t="s">
        <v>831</v>
      </c>
      <c r="BH246" s="170" t="str">
        <f>BC246&amp;"_"&amp;BB246</f>
        <v>3760_1</v>
      </c>
      <c r="BI246" s="168"/>
      <c r="BJ246" s="168" t="str">
        <f>"10000000" &amp; D246</f>
        <v>100000003760</v>
      </c>
      <c r="BK246" s="169" t="s">
        <v>51</v>
      </c>
      <c r="BL246" s="169" t="s">
        <v>405</v>
      </c>
      <c r="BM246" s="168" t="s">
        <v>411</v>
      </c>
      <c r="BN246" s="169"/>
      <c r="BO246" s="170" t="str">
        <f>"S05S" &amp; D246</f>
        <v>S05S3760</v>
      </c>
      <c r="BP246" s="169" t="s">
        <v>409</v>
      </c>
      <c r="BQ246" s="169" t="s">
        <v>409</v>
      </c>
      <c r="BR246" s="168" t="s">
        <v>159</v>
      </c>
      <c r="BS246" s="169" t="s">
        <v>50</v>
      </c>
      <c r="BT246" s="177" t="s">
        <v>157</v>
      </c>
      <c r="BU246" s="169" t="s">
        <v>835</v>
      </c>
      <c r="BV246" s="169" t="s">
        <v>51</v>
      </c>
      <c r="BW246" s="169" t="s">
        <v>154</v>
      </c>
      <c r="BX246" s="169"/>
      <c r="BY246" s="169"/>
      <c r="BZ246" s="169" t="s">
        <v>157</v>
      </c>
      <c r="CA246" s="169" t="s">
        <v>269</v>
      </c>
      <c r="CB246" s="177" t="s">
        <v>412</v>
      </c>
      <c r="CC246" s="177" t="s">
        <v>771</v>
      </c>
      <c r="CD246" s="177" t="s">
        <v>392</v>
      </c>
      <c r="CE246" s="177" t="s">
        <v>396</v>
      </c>
      <c r="CF246" s="177" t="s">
        <v>398</v>
      </c>
      <c r="CG246" s="178" t="s">
        <v>836</v>
      </c>
      <c r="CH246" s="177" t="s">
        <v>159</v>
      </c>
      <c r="CI246" s="170">
        <v>1</v>
      </c>
      <c r="CJ246" s="170" t="str">
        <f>("GAS_ENQ_NO-" &amp; D246)</f>
        <v>GAS_ENQ_NO-3760</v>
      </c>
      <c r="CK246" s="177" t="s">
        <v>165</v>
      </c>
      <c r="CL246" s="177" t="s">
        <v>391</v>
      </c>
      <c r="CM246" s="177" t="s">
        <v>391</v>
      </c>
      <c r="CN246" s="170" t="s">
        <v>837</v>
      </c>
      <c r="CO246" s="170" t="str">
        <f>("GAS_JOB_ID-" &amp; D246)</f>
        <v>GAS_JOB_ID-3760</v>
      </c>
      <c r="CP246" s="177"/>
      <c r="CQ246" s="170" t="str">
        <f>"10000" &amp; D246</f>
        <v>100003760</v>
      </c>
      <c r="CR246" s="170" t="s">
        <v>154</v>
      </c>
      <c r="CS246" s="177" t="s">
        <v>51</v>
      </c>
      <c r="CT246" s="179" t="str">
        <f>"GMETER" &amp; D246</f>
        <v>GMETER3760</v>
      </c>
      <c r="CU246" s="170" t="s">
        <v>161</v>
      </c>
      <c r="CV246" s="177" t="s">
        <v>165</v>
      </c>
      <c r="CW246" s="177" t="s">
        <v>772</v>
      </c>
      <c r="CX246" s="177"/>
      <c r="CY246" s="177"/>
      <c r="CZ246" s="177" t="s">
        <v>394</v>
      </c>
      <c r="DA246" s="177" t="s">
        <v>395</v>
      </c>
      <c r="DB246" s="170" t="str">
        <f>("GAS_INST_ID-" &amp; $D246)</f>
        <v>GAS_INST_ID-3760</v>
      </c>
      <c r="DC246" s="177" t="s">
        <v>161</v>
      </c>
      <c r="DD246" s="177"/>
      <c r="DE246" s="177" t="s">
        <v>51</v>
      </c>
      <c r="DF246" s="177" t="s">
        <v>264</v>
      </c>
      <c r="DG246" s="177"/>
      <c r="DH246" s="177" t="s">
        <v>397</v>
      </c>
      <c r="DI246" s="177" t="s">
        <v>399</v>
      </c>
      <c r="DJ246" s="180" t="s">
        <v>836</v>
      </c>
      <c r="DK246" s="177" t="s">
        <v>140</v>
      </c>
      <c r="DL246" s="169"/>
      <c r="DM246" s="169"/>
      <c r="DN246" s="170" t="str">
        <f>("DS_Pass-" &amp; $D246)</f>
        <v>DS_Pass-3760</v>
      </c>
      <c r="DO246" s="169"/>
      <c r="DP246" s="169"/>
      <c r="DQ246" s="169"/>
      <c r="DR246" s="168"/>
      <c r="DS246" s="168"/>
      <c r="DT246" s="169"/>
      <c r="DU246" s="169"/>
      <c r="DV246" s="169"/>
      <c r="DW246" s="168"/>
      <c r="DX246" s="169"/>
      <c r="DY246" s="169"/>
      <c r="DZ246" s="169" t="s">
        <v>409</v>
      </c>
      <c r="EA246" s="172"/>
      <c r="EB246" s="169"/>
      <c r="EC246" s="169"/>
      <c r="ED246" s="178"/>
      <c r="EE246" s="181"/>
    </row>
    <row r="247" spans="1:136" s="128" customFormat="1" ht="13.5" thickBot="1" x14ac:dyDescent="0.25">
      <c r="A247" s="120"/>
      <c r="B247" s="120"/>
      <c r="C247" s="120"/>
      <c r="D247" s="210">
        <f>'Run Parameters'!$B$1 + ROW()-1</f>
        <v>3761</v>
      </c>
      <c r="E247" s="40" t="s">
        <v>47</v>
      </c>
      <c r="F247" s="38" t="s">
        <v>331</v>
      </c>
      <c r="G247" s="41" t="str">
        <f>("Access Dtls-" &amp; D247)</f>
        <v>Access Dtls-3761</v>
      </c>
      <c r="H247" s="40" t="s">
        <v>332</v>
      </c>
      <c r="I247" s="41" t="str">
        <f>("MR. Test_"&amp; AV247 &amp;"_EXCH5")</f>
        <v>MR. Test_3761_EXCH5</v>
      </c>
      <c r="J247" s="41"/>
      <c r="K247" s="120" t="s">
        <v>425</v>
      </c>
      <c r="L247" s="41" t="str">
        <f>("Cust. Ref-" &amp; D247)</f>
        <v>Cust. Ref-3761</v>
      </c>
      <c r="M247" s="40" t="s">
        <v>48</v>
      </c>
      <c r="N247" s="40" t="s">
        <v>425</v>
      </c>
      <c r="O247" s="41"/>
      <c r="P247" s="41" t="str">
        <f>("SN-" &amp; D247)</f>
        <v>SN-3761</v>
      </c>
      <c r="Q247" s="41" t="str">
        <f>("SI-" &amp; D247)</f>
        <v>SI-3761</v>
      </c>
      <c r="R247" s="41" t="str">
        <f>("SE-" &amp; D247)</f>
        <v>SE-3761</v>
      </c>
      <c r="S247" s="39" t="str">
        <f>("Prev_RA-" &amp; D247)</f>
        <v>Prev_RA-3761</v>
      </c>
      <c r="T247" s="39" t="str">
        <f>("Prev_Comms-" &amp; D247)</f>
        <v>Prev_Comms-3761</v>
      </c>
      <c r="U247" s="40" t="s">
        <v>75</v>
      </c>
      <c r="V247" s="40" t="s">
        <v>401</v>
      </c>
      <c r="W247" s="40" t="s">
        <v>75</v>
      </c>
      <c r="X247" s="40" t="s">
        <v>396</v>
      </c>
      <c r="Y247" s="41" t="str">
        <f>("Forward Add-" &amp; D247)</f>
        <v>Forward Add-3761</v>
      </c>
      <c r="Z247" s="40" t="s">
        <v>401</v>
      </c>
      <c r="AA247" s="121" t="str">
        <f>'Run Parameters'!$B$2</f>
        <v>2019-04-26 08:00</v>
      </c>
      <c r="AB247" s="121" t="str">
        <f>'Run Parameters'!B$3</f>
        <v>2019-04-26 18:00</v>
      </c>
      <c r="AC247" s="122">
        <f>('Run Parameters'!$B$2) - 7</f>
        <v>43574.333333333336</v>
      </c>
      <c r="AD247" s="40" t="s">
        <v>75</v>
      </c>
      <c r="AE247" s="38" t="str">
        <f>("LAST_METER-" &amp; D247)</f>
        <v>LAST_METER-3761</v>
      </c>
      <c r="AF247" s="121" t="str">
        <f>'Run Parameters'!$B$2</f>
        <v>2019-04-26 08:00</v>
      </c>
      <c r="AG247" s="13" t="str">
        <f>'Run Parameters'!B$4</f>
        <v>AUTOTEST2</v>
      </c>
      <c r="AH247" s="39" t="str">
        <f>("Site_Contact_" &amp; D247)</f>
        <v>Site_Contact_3761</v>
      </c>
      <c r="AI247" s="121" t="str">
        <f>'Run Parameters'!B$2</f>
        <v>2019-04-26 08:00</v>
      </c>
      <c r="AJ247" s="213" t="str">
        <f>'Run Parameters'!B$3</f>
        <v>2019-04-26 18:00</v>
      </c>
      <c r="AK247" s="41" t="s">
        <v>396</v>
      </c>
      <c r="AL247" s="39" t="str">
        <f>"01159" &amp; D247</f>
        <v>011593761</v>
      </c>
      <c r="AM247" s="41" t="str">
        <f>("0115" &amp; D247)</f>
        <v>01153761</v>
      </c>
      <c r="AN247" s="40"/>
      <c r="AO247" s="40"/>
      <c r="AP247" s="41">
        <v>1</v>
      </c>
      <c r="AQ247" s="123" t="s">
        <v>49</v>
      </c>
      <c r="AR247" s="40"/>
      <c r="AS247" s="41"/>
      <c r="AT247" s="40"/>
      <c r="AU247" s="40"/>
      <c r="AV247" s="41">
        <f>D247</f>
        <v>3761</v>
      </c>
      <c r="AW247" s="41" t="s">
        <v>422</v>
      </c>
      <c r="AX247" s="41" t="s">
        <v>420</v>
      </c>
      <c r="AY247" s="41" t="s">
        <v>421</v>
      </c>
      <c r="AZ247" s="40" t="s">
        <v>333</v>
      </c>
      <c r="BA247" s="40" t="s">
        <v>154</v>
      </c>
      <c r="BB247" s="41">
        <v>1</v>
      </c>
      <c r="BC247" s="38" t="str">
        <f>("E_ENQ_NO-" &amp; D247)</f>
        <v>E_ENQ_NO-3761</v>
      </c>
      <c r="BD247" s="37" t="s">
        <v>719</v>
      </c>
      <c r="BE247" s="40" t="s">
        <v>391</v>
      </c>
      <c r="BF247" s="40" t="s">
        <v>391</v>
      </c>
      <c r="BG247" s="41" t="s">
        <v>331</v>
      </c>
      <c r="BH247" s="38" t="str">
        <f>("ELEC_JOB_ID-" &amp; D247)</f>
        <v>ELEC_JOB_ID-3761</v>
      </c>
      <c r="BI247" s="41"/>
      <c r="BJ247" s="41" t="str">
        <f>"10000000" &amp; D247</f>
        <v>100000003761</v>
      </c>
      <c r="BK247" s="40" t="s">
        <v>51</v>
      </c>
      <c r="BL247" s="40" t="s">
        <v>405</v>
      </c>
      <c r="BM247" s="41" t="s">
        <v>406</v>
      </c>
      <c r="BN247" s="40" t="s">
        <v>51</v>
      </c>
      <c r="BO247" s="38" t="str">
        <f>"S05S" &amp; D247</f>
        <v>S05S3761</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4"/>
      <c r="CO247" s="42"/>
      <c r="CP247" s="42"/>
      <c r="CQ247" s="124" t="s">
        <v>77</v>
      </c>
      <c r="CR247" s="42"/>
      <c r="CS247" s="42"/>
      <c r="CT247" s="42"/>
      <c r="CU247" s="42"/>
      <c r="CV247" s="42"/>
      <c r="CW247" s="42"/>
      <c r="CX247" s="42"/>
      <c r="CY247" s="42"/>
      <c r="CZ247" s="42"/>
      <c r="DA247" s="42"/>
      <c r="DB247" s="42"/>
      <c r="DC247" s="42"/>
      <c r="DD247" s="125"/>
      <c r="DE247" s="42"/>
      <c r="DF247" s="42"/>
      <c r="DG247" s="42"/>
      <c r="DH247" s="42"/>
      <c r="DI247" s="42"/>
      <c r="DJ247" s="126"/>
      <c r="DK247" s="42"/>
      <c r="DL247" s="42"/>
      <c r="DM247" s="42"/>
      <c r="DN247" s="42"/>
      <c r="DO247" s="42"/>
      <c r="DP247" s="42"/>
      <c r="DQ247" s="42"/>
      <c r="DR247" s="42"/>
      <c r="DS247" s="42"/>
      <c r="DT247" s="42"/>
      <c r="DU247" s="42"/>
      <c r="DV247" s="42"/>
      <c r="DW247" s="42"/>
      <c r="DX247" s="42"/>
      <c r="DY247" s="42"/>
      <c r="DZ247" s="42"/>
      <c r="EA247" s="42"/>
      <c r="EB247" s="42"/>
      <c r="EC247" s="42"/>
      <c r="ED247" s="127"/>
      <c r="EE247" s="127"/>
    </row>
    <row r="248" spans="1:136" ht="13.5" thickBot="1" x14ac:dyDescent="0.25">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4"/>
    </row>
    <row r="249" spans="1:136" x14ac:dyDescent="0.2">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4"/>
    </row>
    <row r="250" spans="1:136" x14ac:dyDescent="0.2">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4"/>
    </row>
    <row r="251" spans="1:136" x14ac:dyDescent="0.2">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4"/>
    </row>
    <row r="252" spans="1:136" x14ac:dyDescent="0.2">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4"/>
    </row>
    <row r="253" spans="1:136" ht="13.5" thickBot="1" x14ac:dyDescent="0.25">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4"/>
    </row>
    <row r="254" spans="1:136" x14ac:dyDescent="0.2">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4"/>
    </row>
    <row r="255" spans="1:136" x14ac:dyDescent="0.2">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4"/>
    </row>
    <row r="256" spans="1:136" x14ac:dyDescent="0.2">
      <c r="D256" s="54"/>
      <c r="E256" s="54"/>
      <c r="F256" s="54"/>
      <c r="G256" s="54"/>
      <c r="H256" s="54"/>
      <c r="I256" s="54"/>
      <c r="J256" s="54"/>
      <c r="K256" s="54"/>
      <c r="L256" s="54"/>
      <c r="M256" s="54"/>
      <c r="N256" s="54"/>
      <c r="O256" s="54"/>
      <c r="P256" s="54"/>
      <c r="Q256" s="54"/>
      <c r="R256" s="54"/>
      <c r="S256" s="54"/>
      <c r="T256" s="54"/>
      <c r="U256" s="54"/>
      <c r="V256" s="54"/>
      <c r="W256" s="54"/>
      <c r="X256" s="54"/>
      <c r="Y256" s="54"/>
      <c r="Z256" s="54"/>
      <c r="AA256" s="54"/>
      <c r="AB256" s="54"/>
      <c r="AC256" s="54"/>
      <c r="AD256" s="54"/>
      <c r="AE256" s="54"/>
      <c r="AF256" s="54"/>
      <c r="AG256" s="54"/>
      <c r="AH256" s="54"/>
      <c r="AI256" s="54"/>
      <c r="AJ256" s="54"/>
      <c r="AK256" s="54"/>
      <c r="AL256" s="54"/>
      <c r="AM256" s="54"/>
      <c r="AN256" s="54"/>
      <c r="AO256" s="54"/>
      <c r="AP256" s="54"/>
      <c r="AQ256" s="54"/>
      <c r="AR256" s="54"/>
      <c r="AS256" s="54"/>
      <c r="AT256" s="54"/>
      <c r="AU256" s="54"/>
      <c r="AV256" s="54"/>
      <c r="AW256" s="54"/>
      <c r="AX256" s="54"/>
      <c r="AY256" s="54"/>
      <c r="AZ256" s="54"/>
      <c r="BA256" s="54"/>
      <c r="BB256" s="54"/>
      <c r="BC256" s="54"/>
      <c r="BD256" s="54"/>
      <c r="BE256" s="54"/>
      <c r="BF256" s="54"/>
      <c r="BG256" s="54"/>
      <c r="BH256" s="54"/>
      <c r="BI256" s="54"/>
      <c r="BJ256" s="54"/>
      <c r="BK256" s="54"/>
      <c r="BL256" s="54"/>
      <c r="BM256" s="54"/>
      <c r="BN256" s="54"/>
      <c r="BO256" s="54"/>
      <c r="BP256" s="54"/>
      <c r="BQ256" s="54"/>
      <c r="BR256" s="54"/>
      <c r="BS256" s="54"/>
      <c r="BT256" s="54"/>
      <c r="BU256" s="54"/>
      <c r="BV256" s="54"/>
      <c r="BW256" s="54"/>
      <c r="BX256" s="54"/>
      <c r="BY256" s="54"/>
      <c r="BZ256" s="54"/>
      <c r="CA256" s="54"/>
      <c r="CB256" s="54"/>
      <c r="CC256" s="54"/>
      <c r="CD256" s="54"/>
      <c r="CE256" s="54"/>
      <c r="CF256" s="54"/>
      <c r="CG256" s="54"/>
      <c r="CH256" s="54"/>
      <c r="CI256" s="54"/>
      <c r="CJ256" s="54"/>
      <c r="CK256" s="54"/>
      <c r="CL256" s="54"/>
      <c r="CM256" s="54"/>
      <c r="CN256" s="54"/>
      <c r="CO256" s="54"/>
      <c r="CP256" s="54"/>
      <c r="CQ256" s="54"/>
      <c r="CR256" s="54"/>
      <c r="CS256" s="54"/>
      <c r="CT256" s="54"/>
      <c r="CU256" s="54"/>
      <c r="CV256" s="54"/>
      <c r="CW256" s="54"/>
      <c r="CX256" s="54"/>
      <c r="CY256" s="54"/>
      <c r="CZ256" s="54"/>
      <c r="DA256" s="54"/>
      <c r="DB256" s="54"/>
      <c r="DC256" s="54"/>
      <c r="DD256" s="54"/>
      <c r="DE256" s="54"/>
      <c r="DF256" s="54"/>
      <c r="DG256" s="54"/>
      <c r="DH256" s="54"/>
      <c r="DI256" s="54"/>
      <c r="DJ256" s="54"/>
      <c r="DK256" s="54"/>
      <c r="DL256" s="54"/>
      <c r="DM256" s="54"/>
      <c r="DN256" s="54"/>
      <c r="DO256" s="54"/>
      <c r="DP256" s="54"/>
      <c r="DQ256" s="54"/>
      <c r="DR256" s="54"/>
      <c r="DS256" s="54"/>
      <c r="DT256" s="54"/>
      <c r="DU256" s="54"/>
      <c r="DV256" s="54"/>
      <c r="DW256" s="54"/>
      <c r="DX256" s="54"/>
      <c r="DY256" s="54"/>
      <c r="DZ256" s="54"/>
      <c r="EA256" s="54"/>
      <c r="EB256" s="54"/>
      <c r="EC256" s="54"/>
      <c r="ED256" s="54"/>
      <c r="EE256" s="54"/>
      <c r="EF256" s="54"/>
    </row>
    <row r="257" spans="4:136" x14ac:dyDescent="0.2">
      <c r="D257" s="54"/>
      <c r="E257" s="54"/>
      <c r="F257" s="54"/>
      <c r="G257" s="54"/>
      <c r="H257" s="54"/>
      <c r="I257" s="54"/>
      <c r="J257" s="54"/>
      <c r="K257" s="54"/>
      <c r="L257" s="54"/>
      <c r="M257" s="54"/>
      <c r="N257" s="54"/>
      <c r="O257" s="54"/>
      <c r="P257" s="54"/>
      <c r="Q257" s="54"/>
      <c r="R257" s="54"/>
      <c r="S257" s="54"/>
      <c r="T257" s="54"/>
      <c r="U257" s="54"/>
      <c r="V257" s="54"/>
      <c r="W257" s="54"/>
      <c r="X257" s="54"/>
      <c r="Y257" s="54"/>
      <c r="Z257" s="54"/>
      <c r="AA257" s="54"/>
      <c r="AB257" s="54"/>
      <c r="AC257" s="54"/>
      <c r="AD257" s="54"/>
      <c r="AE257" s="54"/>
      <c r="AF257" s="54"/>
      <c r="AG257" s="54"/>
      <c r="AH257" s="54"/>
      <c r="AI257" s="54"/>
      <c r="AJ257" s="54"/>
      <c r="AK257" s="54"/>
      <c r="AL257" s="54"/>
      <c r="AM257" s="54"/>
      <c r="AN257" s="54"/>
      <c r="AO257" s="54"/>
      <c r="AP257" s="54"/>
      <c r="AQ257" s="54"/>
      <c r="AR257" s="54"/>
      <c r="AS257" s="54"/>
      <c r="AT257" s="54"/>
      <c r="AU257" s="54"/>
      <c r="AV257" s="54"/>
      <c r="AW257" s="54"/>
      <c r="AX257" s="54"/>
      <c r="AY257" s="54"/>
      <c r="AZ257" s="54"/>
      <c r="BA257" s="54"/>
      <c r="BB257" s="54"/>
      <c r="BC257" s="54"/>
      <c r="BD257" s="54"/>
      <c r="BE257" s="54"/>
      <c r="BF257" s="54"/>
      <c r="BG257" s="54"/>
      <c r="BH257" s="54"/>
      <c r="BI257" s="54"/>
      <c r="BJ257" s="54"/>
      <c r="BK257" s="54"/>
      <c r="BL257" s="54"/>
      <c r="BM257" s="54"/>
      <c r="BN257" s="54"/>
      <c r="BO257" s="54"/>
      <c r="BP257" s="54"/>
      <c r="BQ257" s="54"/>
      <c r="BR257" s="54"/>
      <c r="BS257" s="54"/>
      <c r="BT257" s="54"/>
      <c r="BU257" s="54"/>
      <c r="BV257" s="54"/>
      <c r="BW257" s="54"/>
      <c r="BX257" s="54"/>
      <c r="BY257" s="54"/>
      <c r="BZ257" s="54"/>
      <c r="CA257" s="54"/>
      <c r="CB257" s="54"/>
      <c r="CC257" s="54"/>
      <c r="CD257" s="54"/>
      <c r="CE257" s="54"/>
      <c r="CF257" s="54"/>
      <c r="CG257" s="54"/>
      <c r="CH257" s="54"/>
      <c r="CI257" s="54"/>
      <c r="CJ257" s="54"/>
      <c r="CK257" s="54"/>
      <c r="CL257" s="54"/>
      <c r="CM257" s="54"/>
      <c r="CN257" s="54"/>
      <c r="CO257" s="54"/>
      <c r="CP257" s="54"/>
      <c r="CQ257" s="54"/>
      <c r="CR257" s="54"/>
      <c r="CS257" s="54"/>
      <c r="CT257" s="54"/>
      <c r="CU257" s="54"/>
      <c r="CV257" s="54"/>
      <c r="CW257" s="54"/>
      <c r="CX257" s="54"/>
      <c r="CY257" s="54"/>
      <c r="CZ257" s="54"/>
      <c r="DA257" s="54"/>
      <c r="DB257" s="54"/>
      <c r="DC257" s="54"/>
      <c r="DD257" s="54"/>
      <c r="DE257" s="54"/>
      <c r="DF257" s="54"/>
      <c r="DG257" s="54"/>
      <c r="DH257" s="54"/>
      <c r="DI257" s="54"/>
      <c r="DJ257" s="54"/>
      <c r="DK257" s="54"/>
      <c r="DL257" s="54"/>
      <c r="DM257" s="54"/>
      <c r="DN257" s="54"/>
      <c r="DO257" s="54"/>
      <c r="DP257" s="54"/>
      <c r="DQ257" s="54"/>
      <c r="DR257" s="54"/>
      <c r="DS257" s="54"/>
      <c r="DT257" s="54"/>
      <c r="DU257" s="54"/>
      <c r="DV257" s="54"/>
      <c r="DW257" s="54"/>
      <c r="DX257" s="54"/>
      <c r="DY257" s="54"/>
      <c r="DZ257" s="54"/>
      <c r="EA257" s="54"/>
      <c r="EB257" s="54"/>
      <c r="EC257" s="54"/>
      <c r="ED257" s="54"/>
      <c r="EE257" s="54"/>
      <c r="EF257" s="54"/>
    </row>
    <row r="258" spans="4:136" x14ac:dyDescent="0.2">
      <c r="D258" s="54"/>
      <c r="E258" s="54"/>
      <c r="F258" s="54"/>
      <c r="G258" s="54"/>
      <c r="H258" s="54"/>
      <c r="I258" s="54"/>
      <c r="J258" s="54"/>
      <c r="K258" s="54"/>
      <c r="L258" s="54"/>
      <c r="M258" s="54"/>
      <c r="N258" s="54"/>
      <c r="O258" s="54"/>
      <c r="P258" s="54"/>
      <c r="Q258" s="54"/>
      <c r="R258" s="54"/>
      <c r="S258" s="54"/>
      <c r="T258" s="54"/>
      <c r="U258" s="54"/>
      <c r="V258" s="54"/>
      <c r="W258" s="54"/>
      <c r="X258" s="54"/>
      <c r="Y258" s="54"/>
      <c r="Z258" s="54"/>
      <c r="AA258" s="54"/>
      <c r="AB258" s="54"/>
      <c r="AC258" s="54"/>
      <c r="AD258" s="54"/>
      <c r="AE258" s="54"/>
      <c r="AF258" s="54"/>
      <c r="AG258" s="54"/>
      <c r="AH258" s="54"/>
      <c r="AI258" s="54"/>
      <c r="AJ258" s="54"/>
      <c r="AK258" s="54"/>
      <c r="AL258" s="54"/>
      <c r="AM258" s="54"/>
      <c r="AN258" s="54"/>
      <c r="AO258" s="54"/>
      <c r="AP258" s="54"/>
      <c r="AQ258" s="54"/>
      <c r="AR258" s="54"/>
      <c r="AS258" s="54"/>
      <c r="AT258" s="54"/>
      <c r="AU258" s="54"/>
      <c r="AV258" s="54"/>
      <c r="AW258" s="54"/>
      <c r="AX258" s="54"/>
      <c r="AY258" s="54"/>
      <c r="AZ258" s="54"/>
      <c r="BA258" s="54"/>
      <c r="BB258" s="54"/>
      <c r="BC258" s="54"/>
      <c r="BD258" s="54"/>
      <c r="BE258" s="54"/>
      <c r="BF258" s="54"/>
      <c r="BG258" s="54"/>
      <c r="BH258" s="54"/>
      <c r="BI258" s="54"/>
      <c r="BJ258" s="54"/>
      <c r="BK258" s="54"/>
      <c r="BL258" s="54"/>
      <c r="BM258" s="54"/>
      <c r="BN258" s="54"/>
      <c r="BO258" s="54"/>
      <c r="BP258" s="54"/>
      <c r="BQ258" s="54"/>
      <c r="BR258" s="54"/>
      <c r="BS258" s="54"/>
      <c r="BT258" s="54"/>
      <c r="BU258" s="54"/>
      <c r="BV258" s="54"/>
      <c r="BW258" s="54"/>
      <c r="BX258" s="54"/>
      <c r="BY258" s="54"/>
      <c r="BZ258" s="54"/>
      <c r="CA258" s="54"/>
      <c r="CB258" s="54"/>
      <c r="CC258" s="54"/>
      <c r="CD258" s="54"/>
      <c r="CE258" s="54"/>
      <c r="CF258" s="54"/>
      <c r="CG258" s="54"/>
      <c r="CH258" s="54"/>
      <c r="CI258" s="54"/>
      <c r="CJ258" s="54"/>
      <c r="CK258" s="54"/>
      <c r="CL258" s="54"/>
      <c r="CM258" s="54"/>
      <c r="CN258" s="54"/>
      <c r="CO258" s="54"/>
      <c r="CP258" s="54"/>
      <c r="CQ258" s="54"/>
      <c r="CR258" s="54"/>
      <c r="CS258" s="54"/>
      <c r="CT258" s="54"/>
      <c r="CU258" s="54"/>
      <c r="CV258" s="54"/>
      <c r="CW258" s="54"/>
      <c r="CX258" s="54"/>
      <c r="CY258" s="54"/>
      <c r="CZ258" s="54"/>
      <c r="DA258" s="54"/>
      <c r="DB258" s="54"/>
      <c r="DC258" s="54"/>
      <c r="DD258" s="54"/>
      <c r="DE258" s="54"/>
      <c r="DF258" s="54"/>
      <c r="DG258" s="54"/>
      <c r="DH258" s="54"/>
      <c r="DI258" s="54"/>
      <c r="DJ258" s="54"/>
      <c r="DK258" s="54"/>
      <c r="DL258" s="54"/>
      <c r="DM258" s="54"/>
      <c r="DN258" s="54"/>
      <c r="DO258" s="54"/>
      <c r="DP258" s="54"/>
      <c r="DQ258" s="54"/>
      <c r="DR258" s="54"/>
      <c r="DS258" s="54"/>
      <c r="DT258" s="54"/>
      <c r="DU258" s="54"/>
      <c r="DV258" s="54"/>
      <c r="DW258" s="54"/>
      <c r="DX258" s="54"/>
      <c r="DY258" s="54"/>
      <c r="DZ258" s="54"/>
      <c r="EA258" s="54"/>
      <c r="EB258" s="54"/>
      <c r="EC258" s="54"/>
      <c r="ED258" s="54"/>
      <c r="EE258" s="54"/>
      <c r="EF258" s="54"/>
    </row>
    <row r="259" spans="4:136" x14ac:dyDescent="0.2">
      <c r="D259" s="54"/>
      <c r="E259" s="54"/>
      <c r="F259" s="54"/>
      <c r="G259" s="54"/>
      <c r="H259" s="54"/>
      <c r="I259" s="54"/>
      <c r="J259" s="54"/>
      <c r="K259" s="54"/>
      <c r="L259" s="54"/>
      <c r="M259" s="54"/>
      <c r="N259" s="54"/>
      <c r="O259" s="54"/>
      <c r="P259" s="54"/>
      <c r="Q259" s="54"/>
      <c r="R259" s="54"/>
      <c r="S259" s="54"/>
      <c r="T259" s="54"/>
      <c r="U259" s="54"/>
      <c r="V259" s="54"/>
      <c r="W259" s="54"/>
      <c r="X259" s="54"/>
      <c r="Y259" s="54"/>
      <c r="Z259" s="54"/>
      <c r="AA259" s="54"/>
      <c r="AB259" s="54"/>
      <c r="AC259" s="54"/>
      <c r="AD259" s="54"/>
      <c r="AE259" s="54"/>
      <c r="AF259" s="54"/>
      <c r="AG259" s="54"/>
      <c r="AH259" s="54"/>
      <c r="AI259" s="54"/>
      <c r="AJ259" s="54"/>
      <c r="AK259" s="54"/>
      <c r="AL259" s="54"/>
      <c r="AM259" s="54"/>
      <c r="AN259" s="54"/>
      <c r="AO259" s="54"/>
      <c r="AP259" s="54"/>
      <c r="AQ259" s="54"/>
      <c r="AR259" s="54"/>
      <c r="AS259" s="54"/>
      <c r="AT259" s="54"/>
      <c r="AU259" s="54"/>
      <c r="AV259" s="54"/>
      <c r="AW259" s="54"/>
      <c r="AX259" s="54"/>
      <c r="AY259" s="54"/>
      <c r="AZ259" s="54"/>
      <c r="BA259" s="54"/>
      <c r="BB259" s="54"/>
      <c r="BC259" s="54"/>
      <c r="BD259" s="54"/>
      <c r="BE259" s="54"/>
      <c r="BF259" s="54"/>
      <c r="BG259" s="54"/>
      <c r="BH259" s="54"/>
      <c r="BI259" s="54"/>
      <c r="BJ259" s="54"/>
      <c r="BK259" s="54"/>
      <c r="BL259" s="54"/>
      <c r="BM259" s="54"/>
      <c r="BN259" s="54"/>
      <c r="BO259" s="54"/>
      <c r="BP259" s="54"/>
      <c r="BQ259" s="54"/>
      <c r="BR259" s="54"/>
      <c r="BS259" s="54"/>
      <c r="BT259" s="54"/>
      <c r="BU259" s="54"/>
      <c r="BV259" s="54"/>
      <c r="BW259" s="54"/>
      <c r="BX259" s="54"/>
      <c r="BY259" s="54"/>
      <c r="BZ259" s="54"/>
      <c r="CA259" s="54"/>
      <c r="CB259" s="54"/>
      <c r="CC259" s="54"/>
      <c r="CD259" s="54"/>
      <c r="CE259" s="54"/>
      <c r="CF259" s="54"/>
      <c r="CG259" s="54"/>
      <c r="CH259" s="54"/>
      <c r="CI259" s="54"/>
      <c r="CJ259" s="54"/>
      <c r="CK259" s="54"/>
      <c r="CL259" s="54"/>
      <c r="CM259" s="54"/>
      <c r="CN259" s="54"/>
      <c r="CO259" s="54"/>
      <c r="CP259" s="54"/>
      <c r="CQ259" s="54"/>
      <c r="CR259" s="54"/>
      <c r="CS259" s="54"/>
      <c r="CT259" s="54"/>
      <c r="CU259" s="54"/>
      <c r="CV259" s="54"/>
      <c r="CW259" s="54"/>
      <c r="CX259" s="54"/>
      <c r="CY259" s="54"/>
      <c r="CZ259" s="54"/>
      <c r="DA259" s="54"/>
      <c r="DB259" s="54"/>
      <c r="DC259" s="54"/>
      <c r="DD259" s="54"/>
      <c r="DE259" s="54"/>
      <c r="DF259" s="54"/>
      <c r="DG259" s="54"/>
      <c r="DH259" s="54"/>
      <c r="DI259" s="54"/>
      <c r="DJ259" s="54"/>
      <c r="DK259" s="54"/>
      <c r="DL259" s="54"/>
      <c r="DM259" s="54"/>
      <c r="DN259" s="54"/>
      <c r="DO259" s="54"/>
      <c r="DP259" s="54"/>
      <c r="DQ259" s="54"/>
      <c r="DR259" s="54"/>
      <c r="DS259" s="54"/>
      <c r="DT259" s="54"/>
      <c r="DU259" s="54"/>
      <c r="DV259" s="54"/>
      <c r="DW259" s="54"/>
      <c r="DX259" s="54"/>
      <c r="DY259" s="54"/>
      <c r="DZ259" s="54"/>
      <c r="EA259" s="54"/>
      <c r="EB259" s="54"/>
      <c r="EC259" s="54"/>
      <c r="ED259" s="54"/>
      <c r="EE259" s="54"/>
      <c r="EF259" s="54"/>
    </row>
  </sheetData>
  <autoFilter ref="A1:EC228" xr:uid="{00000000-0009-0000-0000-000001000000}"/>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9" tint="-0.499984740745262"/>
  </sheetPr>
  <dimension ref="A1:AT74"/>
  <sheetViews>
    <sheetView zoomScale="130" zoomScaleNormal="130" workbookViewId="0">
      <selection activeCell="F17" sqref="F17"/>
    </sheetView>
  </sheetViews>
  <sheetFormatPr defaultRowHeight="11.25" customHeight="1" x14ac:dyDescent="0.2"/>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99"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45" customFormat="1" ht="6.75" x14ac:dyDescent="0.15">
      <c r="A1" s="145" t="s">
        <v>494</v>
      </c>
      <c r="B1" s="145" t="s">
        <v>95</v>
      </c>
      <c r="C1" s="145" t="s">
        <v>65</v>
      </c>
      <c r="D1" s="145" t="s">
        <v>49</v>
      </c>
      <c r="G1" s="146"/>
      <c r="I1" s="147"/>
    </row>
    <row r="2" spans="1:28" s="145" customFormat="1" ht="6.75" x14ac:dyDescent="0.15">
      <c r="A2" s="145" t="s">
        <v>68</v>
      </c>
      <c r="B2" s="145" t="s">
        <v>455</v>
      </c>
      <c r="C2" s="145" t="s">
        <v>443</v>
      </c>
      <c r="D2" s="145" t="s">
        <v>444</v>
      </c>
      <c r="E2" s="145" t="s">
        <v>493</v>
      </c>
      <c r="F2" s="145" t="s">
        <v>445</v>
      </c>
      <c r="G2" s="145" t="s">
        <v>115</v>
      </c>
      <c r="H2" s="145" t="s">
        <v>436</v>
      </c>
      <c r="I2" s="145" t="s">
        <v>446</v>
      </c>
    </row>
    <row r="3" spans="1:28" s="44" customFormat="1" x14ac:dyDescent="0.2">
      <c r="A3" s="64" t="s">
        <v>71</v>
      </c>
      <c r="B3" s="64" t="s">
        <v>72</v>
      </c>
      <c r="C3" s="64"/>
      <c r="D3" s="65">
        <v>1</v>
      </c>
      <c r="E3" s="93" t="s">
        <v>73</v>
      </c>
      <c r="F3" s="49" t="str">
        <f>'Run Parameters'!B5</f>
        <v>Automation2</v>
      </c>
      <c r="G3" s="67" t="str">
        <f>'Run Parameters'!B6</f>
        <v>Aut0m4t1on2</v>
      </c>
      <c r="H3" s="56" t="str">
        <f>'Run Parameters'!B7</f>
        <v>https://siemens-og-bykrw4fcu3rstavmq2kialtm-sdg1-dev.mbaas1.sdg.feedhenry.com/#/login</v>
      </c>
      <c r="I3" s="45" t="s">
        <v>73</v>
      </c>
      <c r="J3" s="46"/>
      <c r="K3" s="46"/>
      <c r="L3" s="46"/>
      <c r="M3" s="46"/>
      <c r="N3" s="46"/>
      <c r="O3" s="46"/>
      <c r="P3" s="46"/>
      <c r="Q3" s="46"/>
      <c r="R3" s="47"/>
      <c r="S3" s="46"/>
      <c r="T3" s="46"/>
      <c r="U3" s="46"/>
    </row>
    <row r="4" spans="1:28" s="145" customFormat="1" ht="6.75" x14ac:dyDescent="0.15">
      <c r="A4" s="145" t="s">
        <v>68</v>
      </c>
      <c r="B4" s="145" t="s">
        <v>455</v>
      </c>
      <c r="C4" s="145" t="s">
        <v>443</v>
      </c>
      <c r="D4" s="145" t="s">
        <v>444</v>
      </c>
      <c r="E4" s="145" t="s">
        <v>493</v>
      </c>
      <c r="F4" s="145" t="s">
        <v>454</v>
      </c>
      <c r="G4" s="145" t="s">
        <v>43</v>
      </c>
      <c r="H4" s="145" t="s">
        <v>453</v>
      </c>
      <c r="I4" s="145" t="s">
        <v>447</v>
      </c>
      <c r="J4" s="145" t="s">
        <v>448</v>
      </c>
      <c r="K4" s="145" t="s">
        <v>450</v>
      </c>
      <c r="L4" s="145" t="s">
        <v>451</v>
      </c>
      <c r="M4" s="145" t="s">
        <v>452</v>
      </c>
      <c r="N4" s="145" t="s">
        <v>442</v>
      </c>
      <c r="O4" s="145" t="s">
        <v>37</v>
      </c>
      <c r="P4" s="145" t="s">
        <v>441</v>
      </c>
      <c r="Q4" s="148" t="s">
        <v>491</v>
      </c>
    </row>
    <row r="5" spans="1:28" s="44" customFormat="1" ht="11.25" customHeight="1" x14ac:dyDescent="0.2">
      <c r="A5" s="64" t="s">
        <v>71</v>
      </c>
      <c r="B5" s="64" t="s">
        <v>495</v>
      </c>
      <c r="C5" s="64"/>
      <c r="D5" s="65">
        <v>1</v>
      </c>
      <c r="E5" s="93" t="s">
        <v>73</v>
      </c>
      <c r="F5" s="49" t="str">
        <f ca="1">(INDIRECT("'Data'!C"&amp;($C$1)))</f>
        <v>Automation</v>
      </c>
      <c r="G5" s="49" t="s">
        <v>396</v>
      </c>
      <c r="H5" s="48"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3516</v>
      </c>
      <c r="O5" s="48" t="str">
        <f ca="1">(INDIRECT("'Data'!AW"&amp;($C$1)))</f>
        <v>EXCH1 ROAD</v>
      </c>
      <c r="P5" s="49" t="str">
        <f ca="1">CONCATENATE(RIGHT((INDIRECT("'Data'!X"&amp;($C$1))),5),"-",RIGHT(R7&amp;(INDIRECT("'Data'!Y"&amp;($C$1))),5))</f>
        <v>FRST--3516</v>
      </c>
      <c r="Q5" s="85"/>
      <c r="R5" s="46"/>
      <c r="S5" s="46"/>
      <c r="T5" s="46"/>
    </row>
    <row r="6" spans="1:28" s="145" customFormat="1" ht="6.75" x14ac:dyDescent="0.15">
      <c r="A6" s="145" t="s">
        <v>68</v>
      </c>
      <c r="B6" s="145" t="s">
        <v>455</v>
      </c>
      <c r="C6" s="145" t="s">
        <v>443</v>
      </c>
      <c r="D6" s="145" t="s">
        <v>444</v>
      </c>
      <c r="E6" s="145" t="s">
        <v>493</v>
      </c>
      <c r="F6" s="145" t="s">
        <v>447</v>
      </c>
      <c r="G6" s="145" t="s">
        <v>450</v>
      </c>
      <c r="H6" s="145" t="s">
        <v>451</v>
      </c>
      <c r="I6" s="145" t="s">
        <v>452</v>
      </c>
      <c r="J6" s="145" t="s">
        <v>442</v>
      </c>
      <c r="K6" s="145" t="s">
        <v>37</v>
      </c>
      <c r="L6" s="145" t="s">
        <v>448</v>
      </c>
      <c r="M6" s="145" t="s">
        <v>449</v>
      </c>
      <c r="N6" s="145" t="s">
        <v>439</v>
      </c>
      <c r="O6" s="145" t="s">
        <v>78</v>
      </c>
      <c r="P6" s="145" t="s">
        <v>79</v>
      </c>
      <c r="Q6" s="145" t="s">
        <v>87</v>
      </c>
      <c r="R6" s="145" t="s">
        <v>80</v>
      </c>
      <c r="S6" s="145" t="s">
        <v>110</v>
      </c>
      <c r="T6" s="145" t="s">
        <v>114</v>
      </c>
      <c r="U6" s="145" t="s">
        <v>90</v>
      </c>
      <c r="V6" s="145" t="s">
        <v>81</v>
      </c>
      <c r="W6" s="145" t="s">
        <v>88</v>
      </c>
      <c r="X6" s="145" t="s">
        <v>276</v>
      </c>
      <c r="Y6" s="145" t="s">
        <v>457</v>
      </c>
      <c r="Z6" s="148" t="s">
        <v>491</v>
      </c>
    </row>
    <row r="7" spans="1:28"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3516</v>
      </c>
      <c r="K7" s="48" t="str">
        <f ca="1">(INDIRECT("'Data'!AW"&amp;($C$1)))</f>
        <v>EXCH1 ROAD</v>
      </c>
      <c r="L7" s="48" t="str">
        <f ca="1">(INDIRECT("'Data'!E"&amp;($C$1)))</f>
        <v>S</v>
      </c>
      <c r="M7" s="48" t="str">
        <f ca="1">(INDIRECT("'Data'!AI"&amp;($C$1)))</f>
        <v>2019-04-26 08:00</v>
      </c>
      <c r="N7" s="49">
        <f ca="1">(INDIRECT("'Data'!BG"&amp;($C$1)))</f>
        <v>0</v>
      </c>
      <c r="O7" s="49" t="str">
        <f ca="1">(INDIRECT("'Data'!AH"&amp;($C$1)))</f>
        <v>Site_Contact_3516</v>
      </c>
      <c r="P7" s="48" t="str">
        <f ca="1">(INDIRECT("'Data'!AE"&amp;($C$1)))</f>
        <v>LAST_METER-3516</v>
      </c>
      <c r="Q7" s="48" t="str">
        <f ca="1">(INDIRECT("'Data'!DK"&amp;($C$1)))</f>
        <v>G</v>
      </c>
      <c r="R7" s="48">
        <f ca="1">(INDIRECT("'Data'!D"&amp;($C$1)))</f>
        <v>3516</v>
      </c>
      <c r="S7" s="48" t="str">
        <f ca="1">INDIRECT("'Data'!M"&amp;($C$1))</f>
        <v>Q</v>
      </c>
      <c r="T7" s="48" t="str">
        <f ca="1">INDIRECT("'Data'!AM"&amp;($C$1))</f>
        <v>01153516</v>
      </c>
      <c r="U7" s="48" t="str">
        <f ca="1">(INDIRECT("'Data'!N"&amp;($C$1)))</f>
        <v>UK_1_F</v>
      </c>
      <c r="V7" s="48">
        <f ca="1">(INDIRECT("'Data'!O"&amp;($C$1)))</f>
        <v>0</v>
      </c>
      <c r="W7" s="48" t="str">
        <f ca="1">(INDIRECT("'Data'!P"&amp;($C$1)))</f>
        <v>SN-3516</v>
      </c>
      <c r="X7" s="48" t="str">
        <f ca="1">(INDIRECT("'Data'!C"&amp;($C$1)))</f>
        <v>Automation</v>
      </c>
      <c r="Y7" s="48" t="str">
        <f ca="1">(INDIRECT("'Data'!Q"&amp;($C$1)))</f>
        <v>SI-3516</v>
      </c>
      <c r="AB7" s="55" t="s">
        <v>492</v>
      </c>
    </row>
    <row r="8" spans="1:28" s="145" customFormat="1" ht="6.75" x14ac:dyDescent="0.15">
      <c r="A8" s="145" t="s">
        <v>68</v>
      </c>
      <c r="B8" s="145" t="s">
        <v>455</v>
      </c>
      <c r="C8" s="145" t="s">
        <v>443</v>
      </c>
      <c r="D8" s="145" t="s">
        <v>444</v>
      </c>
      <c r="E8" s="145" t="s">
        <v>493</v>
      </c>
      <c r="F8" s="145" t="s">
        <v>447</v>
      </c>
      <c r="G8" s="145" t="s">
        <v>37</v>
      </c>
      <c r="H8" s="145" t="s">
        <v>458</v>
      </c>
      <c r="I8" s="145" t="s">
        <v>459</v>
      </c>
      <c r="J8" s="145" t="s">
        <v>261</v>
      </c>
      <c r="K8" s="145" t="s">
        <v>460</v>
      </c>
      <c r="L8" s="148" t="s">
        <v>491</v>
      </c>
    </row>
    <row r="9" spans="1:28"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5"/>
    </row>
    <row r="10" spans="1:28" s="145" customFormat="1" ht="6.75" x14ac:dyDescent="0.15">
      <c r="A10" s="145" t="s">
        <v>68</v>
      </c>
      <c r="B10" s="145" t="s">
        <v>455</v>
      </c>
      <c r="C10" s="145" t="s">
        <v>443</v>
      </c>
      <c r="D10" s="145" t="s">
        <v>444</v>
      </c>
      <c r="E10" s="145" t="s">
        <v>493</v>
      </c>
      <c r="F10" s="145" t="s">
        <v>262</v>
      </c>
      <c r="G10" s="145" t="s">
        <v>447</v>
      </c>
      <c r="H10" s="145" t="s">
        <v>37</v>
      </c>
      <c r="I10" s="145" t="s">
        <v>43</v>
      </c>
      <c r="J10" s="145" t="s">
        <v>462</v>
      </c>
      <c r="K10" s="145" t="s">
        <v>465</v>
      </c>
      <c r="L10" s="145" t="s">
        <v>460</v>
      </c>
      <c r="M10" s="148" t="s">
        <v>491</v>
      </c>
    </row>
    <row r="11" spans="1:28" s="44" customFormat="1" ht="11.25" customHeight="1" x14ac:dyDescent="0.2">
      <c r="A11" s="64" t="s">
        <v>71</v>
      </c>
      <c r="B11" s="64" t="s">
        <v>498</v>
      </c>
      <c r="C11" s="64"/>
      <c r="D11" s="65">
        <v>1</v>
      </c>
      <c r="E11" s="94" t="s">
        <v>73</v>
      </c>
      <c r="F11" s="49">
        <f ca="1">(INDIRECT("'Data'!BG"&amp;($C$1)))</f>
        <v>0</v>
      </c>
      <c r="G11" s="49" t="str">
        <f ca="1">(INDIRECT("'Data'!F"&amp;($C$1)))</f>
        <v>EXCHANGE GAS METER TO SECURE SMART CREDIT</v>
      </c>
      <c r="H11" s="48" t="str">
        <f ca="1">(INDIRECT("'Data'!AW"&amp;($C$1)))</f>
        <v>EXCH1 ROAD</v>
      </c>
      <c r="I11" s="49" t="str">
        <f ca="1">(INDIRECT("'Data'!AH"&amp;($C$1)))</f>
        <v>Site_Contact_3516</v>
      </c>
      <c r="J11" s="49" t="str">
        <f ca="1">(INDIRECT("'Data'!BA"&amp;($C$1)))</f>
        <v>C</v>
      </c>
      <c r="K11" s="49">
        <f ca="1">(INDIRECT("'Data'!BD"&amp;($C$1)))</f>
        <v>0</v>
      </c>
      <c r="L11" s="49">
        <f ca="1">(INDIRECT("'Data'!BO"&amp;($C$1)))</f>
        <v>0</v>
      </c>
      <c r="M11" s="85"/>
    </row>
    <row r="12" spans="1:28" s="145" customFormat="1" ht="6.75" x14ac:dyDescent="0.15">
      <c r="A12" s="145" t="s">
        <v>68</v>
      </c>
      <c r="B12" s="145" t="s">
        <v>455</v>
      </c>
      <c r="C12" s="145" t="s">
        <v>443</v>
      </c>
      <c r="D12" s="145" t="s">
        <v>444</v>
      </c>
      <c r="E12" s="145" t="s">
        <v>493</v>
      </c>
      <c r="F12" s="145" t="s">
        <v>475</v>
      </c>
      <c r="G12" s="145" t="s">
        <v>439</v>
      </c>
      <c r="H12" s="145" t="s">
        <v>43</v>
      </c>
      <c r="I12" s="145" t="s">
        <v>447</v>
      </c>
      <c r="J12" s="145" t="s">
        <v>450</v>
      </c>
      <c r="K12" s="145" t="s">
        <v>451</v>
      </c>
      <c r="L12" s="145" t="s">
        <v>452</v>
      </c>
      <c r="M12" s="145" t="s">
        <v>442</v>
      </c>
      <c r="N12" s="145" t="s">
        <v>37</v>
      </c>
      <c r="O12" s="145" t="s">
        <v>468</v>
      </c>
      <c r="P12" s="149" t="s">
        <v>469</v>
      </c>
      <c r="Q12" s="149" t="s">
        <v>471</v>
      </c>
      <c r="R12" s="145" t="s">
        <v>473</v>
      </c>
      <c r="S12" s="149" t="s">
        <v>470</v>
      </c>
      <c r="T12" s="145" t="s">
        <v>472</v>
      </c>
      <c r="U12" s="148" t="s">
        <v>491</v>
      </c>
    </row>
    <row r="13" spans="1:28" s="57" customFormat="1" ht="11.25" customHeight="1" x14ac:dyDescent="0.2">
      <c r="A13" s="64" t="s">
        <v>71</v>
      </c>
      <c r="B13" s="64" t="s">
        <v>467</v>
      </c>
      <c r="C13" s="64"/>
      <c r="D13" s="66">
        <v>1</v>
      </c>
      <c r="E13" s="94" t="s">
        <v>73</v>
      </c>
      <c r="F13" s="48">
        <f ca="1">(INDIRECT("'Data'!CD"&amp;($C$1)))</f>
        <v>0</v>
      </c>
      <c r="G13" s="49">
        <f ca="1">(INDIRECT("'Data'!BG"&amp;($C$1)))</f>
        <v>0</v>
      </c>
      <c r="H13" s="49" t="str">
        <f ca="1">(INDIRECT("'Data'!AH"&amp;($C$1)))</f>
        <v>Site_Contact_3516</v>
      </c>
      <c r="I13" s="49" t="str">
        <f ca="1">(INDIRECT("'Data'!F"&amp;($C$1)))</f>
        <v>EXCHANGE GAS METER TO SECURE SMART CREDIT</v>
      </c>
      <c r="J13" s="48">
        <f ca="1">(INDIRECT("'Data'!AS"&amp;($C$1)))</f>
        <v>0</v>
      </c>
      <c r="K13" s="48" t="str">
        <f ca="1">(INDIRECT("'Data'!AT"&amp;($C$1)))</f>
        <v>TPJR00530</v>
      </c>
      <c r="L13" s="48">
        <f ca="1">(INDIRECT("'Data'!AU"&amp;($C$1)))</f>
        <v>0</v>
      </c>
      <c r="M13" s="48">
        <f ca="1">(INDIRECT("'Data'!AV"&amp;($C$1)))</f>
        <v>3516</v>
      </c>
      <c r="N13" s="48" t="str">
        <f ca="1">(INDIRECT("'Data'!AW"&amp;($C$1)))</f>
        <v>EXCH1 ROAD</v>
      </c>
      <c r="O13" s="57" t="s">
        <v>73</v>
      </c>
      <c r="P13" s="58" t="s">
        <v>73</v>
      </c>
      <c r="Q13" s="58" t="s">
        <v>265</v>
      </c>
      <c r="R13" s="59" t="s">
        <v>73</v>
      </c>
      <c r="S13" s="58" t="s">
        <v>75</v>
      </c>
      <c r="T13" s="60" t="s">
        <v>100</v>
      </c>
      <c r="U13" s="85"/>
    </row>
    <row r="14" spans="1:28" s="145" customFormat="1" ht="6.75" x14ac:dyDescent="0.15">
      <c r="A14" s="145" t="s">
        <v>68</v>
      </c>
      <c r="B14" s="145" t="s">
        <v>455</v>
      </c>
      <c r="C14" s="145" t="s">
        <v>443</v>
      </c>
      <c r="D14" s="145" t="s">
        <v>444</v>
      </c>
      <c r="E14" s="145" t="s">
        <v>493</v>
      </c>
      <c r="F14" s="145" t="s">
        <v>475</v>
      </c>
      <c r="G14" s="145" t="s">
        <v>439</v>
      </c>
      <c r="H14" s="145" t="s">
        <v>447</v>
      </c>
      <c r="I14" s="145" t="s">
        <v>37</v>
      </c>
      <c r="J14" s="145" t="s">
        <v>94</v>
      </c>
      <c r="K14" s="148" t="s">
        <v>491</v>
      </c>
      <c r="L14" s="149" t="s">
        <v>77</v>
      </c>
      <c r="M14" s="149" t="s">
        <v>77</v>
      </c>
      <c r="N14" s="147" t="s">
        <v>77</v>
      </c>
      <c r="O14" s="149"/>
      <c r="P14" s="149"/>
      <c r="R14" s="149"/>
    </row>
    <row r="15" spans="1:28" s="44" customFormat="1" ht="11.25" customHeight="1" x14ac:dyDescent="0.2">
      <c r="A15" s="64" t="s">
        <v>71</v>
      </c>
      <c r="B15" s="64" t="s">
        <v>474</v>
      </c>
      <c r="C15" s="64"/>
      <c r="D15" s="66">
        <v>1</v>
      </c>
      <c r="E15" s="93" t="s">
        <v>73</v>
      </c>
      <c r="F15" s="48">
        <f ca="1">(INDIRECT("'Data'!CD"&amp;($C$1)))</f>
        <v>0</v>
      </c>
      <c r="G15" s="49">
        <f ca="1">(INDIRECT("'Data'!BG"&amp;($C$1)))</f>
        <v>0</v>
      </c>
      <c r="H15" s="49" t="str">
        <f ca="1">(INDIRECT("'Data'!F"&amp;($C$1)))</f>
        <v>EXCHANGE GAS METER TO SECURE SMART CREDIT</v>
      </c>
      <c r="I15" s="48" t="str">
        <f ca="1">(INDIRECT("'Data'!AW"&amp;($C$1)))</f>
        <v>EXCH1 ROAD</v>
      </c>
      <c r="J15" s="44" t="s">
        <v>73</v>
      </c>
      <c r="K15" s="85"/>
      <c r="L15" s="61"/>
      <c r="M15" s="61"/>
      <c r="N15" s="62"/>
      <c r="O15" s="61"/>
      <c r="P15" s="61"/>
      <c r="Q15" s="47"/>
      <c r="R15" s="61"/>
    </row>
    <row r="16" spans="1:28" s="145" customFormat="1" ht="6.75" x14ac:dyDescent="0.15">
      <c r="A16" s="145" t="s">
        <v>68</v>
      </c>
      <c r="B16" s="145" t="s">
        <v>455</v>
      </c>
      <c r="C16" s="145" t="s">
        <v>443</v>
      </c>
      <c r="D16" s="145" t="s">
        <v>444</v>
      </c>
      <c r="E16" s="145" t="s">
        <v>493</v>
      </c>
      <c r="F16" s="145" t="s">
        <v>477</v>
      </c>
      <c r="G16" s="145" t="s">
        <v>478</v>
      </c>
      <c r="H16" s="149" t="s">
        <v>480</v>
      </c>
      <c r="I16" s="145" t="s">
        <v>96</v>
      </c>
      <c r="J16" s="149" t="s">
        <v>481</v>
      </c>
      <c r="K16" s="149" t="s">
        <v>482</v>
      </c>
      <c r="L16" s="145" t="s">
        <v>475</v>
      </c>
      <c r="M16" s="145" t="s">
        <v>817</v>
      </c>
      <c r="N16" s="145" t="s">
        <v>479</v>
      </c>
      <c r="O16" s="145" t="s">
        <v>483</v>
      </c>
      <c r="P16" s="148" t="s">
        <v>491</v>
      </c>
    </row>
    <row r="17" spans="1:46" s="57" customFormat="1" ht="11.25" customHeight="1" x14ac:dyDescent="0.2">
      <c r="A17" s="64"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6" s="148" customFormat="1" ht="6.75" x14ac:dyDescent="0.15">
      <c r="A18" s="148" t="s">
        <v>68</v>
      </c>
      <c r="B18" s="148" t="s">
        <v>455</v>
      </c>
      <c r="C18" s="145" t="s">
        <v>443</v>
      </c>
      <c r="D18" s="145" t="s">
        <v>444</v>
      </c>
      <c r="E18" s="148" t="s">
        <v>493</v>
      </c>
      <c r="F18" s="148" t="s">
        <v>501</v>
      </c>
      <c r="G18" s="148" t="s">
        <v>507</v>
      </c>
      <c r="H18" s="148" t="s">
        <v>506</v>
      </c>
      <c r="I18" s="148" t="s">
        <v>724</v>
      </c>
      <c r="J18" s="148" t="s">
        <v>508</v>
      </c>
      <c r="K18" s="148" t="s">
        <v>504</v>
      </c>
      <c r="L18" s="148" t="s">
        <v>722</v>
      </c>
      <c r="M18" s="148" t="s">
        <v>491</v>
      </c>
    </row>
    <row r="19" spans="1:46" s="87" customFormat="1" ht="10.5" customHeight="1" x14ac:dyDescent="0.2">
      <c r="A19" s="83" t="s">
        <v>71</v>
      </c>
      <c r="B19" s="83" t="s">
        <v>720</v>
      </c>
      <c r="C19" s="129"/>
      <c r="D19" s="82">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6" s="148" customFormat="1" ht="6.75" x14ac:dyDescent="0.15">
      <c r="A20" s="148" t="s">
        <v>68</v>
      </c>
      <c r="B20" s="148" t="s">
        <v>455</v>
      </c>
      <c r="C20" s="145" t="s">
        <v>443</v>
      </c>
      <c r="D20" s="145" t="s">
        <v>444</v>
      </c>
      <c r="E20" s="148" t="s">
        <v>493</v>
      </c>
      <c r="F20" s="148" t="s">
        <v>725</v>
      </c>
      <c r="G20" s="148" t="s">
        <v>520</v>
      </c>
      <c r="H20" s="148" t="s">
        <v>726</v>
      </c>
      <c r="I20" s="148" t="s">
        <v>728</v>
      </c>
      <c r="J20" s="148" t="s">
        <v>553</v>
      </c>
      <c r="K20" s="148" t="s">
        <v>729</v>
      </c>
      <c r="L20" s="148" t="s">
        <v>516</v>
      </c>
      <c r="M20" s="148" t="s">
        <v>730</v>
      </c>
      <c r="N20" s="148" t="s">
        <v>524</v>
      </c>
      <c r="O20" s="148" t="s">
        <v>491</v>
      </c>
    </row>
    <row r="21" spans="1:46" s="87" customFormat="1" ht="10.5" customHeight="1" x14ac:dyDescent="0.2">
      <c r="A21" s="83" t="s">
        <v>71</v>
      </c>
      <c r="B21" s="83" t="s">
        <v>723</v>
      </c>
      <c r="C21" s="84"/>
      <c r="D21" s="70">
        <v>1</v>
      </c>
      <c r="E21" s="95" t="s">
        <v>73</v>
      </c>
      <c r="F21" s="85"/>
      <c r="G21" s="85" t="s">
        <v>73</v>
      </c>
      <c r="H21" s="85" t="s">
        <v>727</v>
      </c>
      <c r="I21" s="85"/>
      <c r="J21" s="85"/>
      <c r="K21" s="85"/>
      <c r="L21" s="85"/>
      <c r="M21" s="85"/>
      <c r="N21" s="85"/>
    </row>
    <row r="22" spans="1:46" s="148" customFormat="1" ht="6.75" x14ac:dyDescent="0.15">
      <c r="A22" s="148" t="s">
        <v>68</v>
      </c>
      <c r="B22" s="148" t="s">
        <v>455</v>
      </c>
      <c r="C22" s="145" t="s">
        <v>443</v>
      </c>
      <c r="D22" s="145" t="s">
        <v>444</v>
      </c>
      <c r="E22" s="148" t="s">
        <v>493</v>
      </c>
      <c r="F22" s="148" t="s">
        <v>491</v>
      </c>
    </row>
    <row r="23" spans="1:46" s="87" customFormat="1" ht="10.5" customHeight="1" x14ac:dyDescent="0.2">
      <c r="A23" s="83" t="s">
        <v>71</v>
      </c>
      <c r="B23" s="83" t="s">
        <v>721</v>
      </c>
      <c r="C23" s="129"/>
      <c r="D23" s="82">
        <v>1</v>
      </c>
      <c r="E23" s="95" t="s">
        <v>73</v>
      </c>
      <c r="F23" s="85"/>
      <c r="G23" s="85"/>
      <c r="H23" s="85"/>
      <c r="I23" s="85"/>
      <c r="J23" s="85"/>
      <c r="K23" s="85"/>
      <c r="L23" s="85"/>
      <c r="M23" s="85"/>
      <c r="N23" s="85"/>
      <c r="O23" s="85"/>
      <c r="P23" s="85"/>
      <c r="Q23" s="85"/>
      <c r="R23" s="85"/>
      <c r="S23" s="85"/>
      <c r="T23" s="85"/>
      <c r="U23" s="85"/>
      <c r="V23" s="85"/>
      <c r="W23" s="85"/>
      <c r="X23" s="72"/>
      <c r="Y23" s="85"/>
      <c r="Z23" s="85"/>
      <c r="AG23" s="85"/>
      <c r="AI23" s="85"/>
    </row>
    <row r="24" spans="1:46" s="145" customFormat="1" ht="6.75" x14ac:dyDescent="0.15">
      <c r="A24" s="145" t="s">
        <v>68</v>
      </c>
      <c r="B24" s="145" t="s">
        <v>455</v>
      </c>
      <c r="C24" s="145" t="s">
        <v>443</v>
      </c>
      <c r="D24" s="145" t="s">
        <v>444</v>
      </c>
      <c r="E24" s="145" t="s">
        <v>493</v>
      </c>
      <c r="F24" s="145" t="s">
        <v>733</v>
      </c>
      <c r="G24" s="145" t="s">
        <v>566</v>
      </c>
      <c r="H24" s="145" t="s">
        <v>538</v>
      </c>
      <c r="I24" s="145" t="s">
        <v>539</v>
      </c>
      <c r="J24" s="145" t="s">
        <v>540</v>
      </c>
      <c r="K24" s="145" t="s">
        <v>734</v>
      </c>
      <c r="L24" s="145" t="s">
        <v>491</v>
      </c>
    </row>
    <row r="25" spans="1:46" s="57" customFormat="1" x14ac:dyDescent="0.2">
      <c r="A25" s="68" t="s">
        <v>71</v>
      </c>
      <c r="B25" s="68" t="s">
        <v>731</v>
      </c>
      <c r="C25" s="69"/>
      <c r="D25" s="70">
        <v>1</v>
      </c>
      <c r="E25" s="94" t="s">
        <v>73</v>
      </c>
      <c r="F25" s="94" t="s">
        <v>73</v>
      </c>
      <c r="G25" s="94" t="s">
        <v>109</v>
      </c>
      <c r="H25" s="94" t="s">
        <v>108</v>
      </c>
      <c r="I25" s="94" t="s">
        <v>75</v>
      </c>
      <c r="J25" s="94"/>
    </row>
    <row r="26" spans="1:46" s="145" customFormat="1" ht="6.75" x14ac:dyDescent="0.15">
      <c r="A26" s="145" t="s">
        <v>68</v>
      </c>
      <c r="B26" s="145" t="s">
        <v>455</v>
      </c>
      <c r="C26" s="145" t="s">
        <v>443</v>
      </c>
      <c r="D26" s="145" t="s">
        <v>444</v>
      </c>
      <c r="E26" s="145" t="s">
        <v>493</v>
      </c>
      <c r="F26" s="145" t="s">
        <v>547</v>
      </c>
      <c r="G26" s="145" t="s">
        <v>549</v>
      </c>
      <c r="H26" s="145" t="s">
        <v>546</v>
      </c>
      <c r="I26" s="145" t="s">
        <v>735</v>
      </c>
      <c r="J26" s="145" t="s">
        <v>567</v>
      </c>
      <c r="K26" s="145" t="s">
        <v>736</v>
      </c>
      <c r="L26" s="145" t="s">
        <v>737</v>
      </c>
      <c r="M26" s="145" t="s">
        <v>553</v>
      </c>
      <c r="N26" s="145" t="s">
        <v>729</v>
      </c>
      <c r="O26" s="145" t="s">
        <v>516</v>
      </c>
      <c r="P26" s="145" t="s">
        <v>491</v>
      </c>
    </row>
    <row r="27" spans="1:46" s="57" customFormat="1" x14ac:dyDescent="0.2">
      <c r="A27" s="68" t="s">
        <v>71</v>
      </c>
      <c r="B27" s="68" t="s">
        <v>732</v>
      </c>
      <c r="C27" s="69"/>
      <c r="D27" s="70">
        <v>1</v>
      </c>
      <c r="E27" s="94" t="s">
        <v>73</v>
      </c>
      <c r="F27" s="57" t="s">
        <v>73</v>
      </c>
      <c r="H27" s="57" t="s">
        <v>73</v>
      </c>
    </row>
    <row r="28" spans="1:46" s="150" customFormat="1" ht="6.75" x14ac:dyDescent="0.15">
      <c r="A28" s="150" t="s">
        <v>68</v>
      </c>
      <c r="B28" s="145" t="s">
        <v>455</v>
      </c>
      <c r="C28" s="145" t="s">
        <v>443</v>
      </c>
      <c r="D28" s="145" t="s">
        <v>444</v>
      </c>
      <c r="E28" s="150" t="s">
        <v>493</v>
      </c>
      <c r="F28" s="150" t="s">
        <v>750</v>
      </c>
      <c r="G28" s="150" t="s">
        <v>116</v>
      </c>
      <c r="H28" s="150" t="s">
        <v>117</v>
      </c>
      <c r="I28" s="150" t="s">
        <v>118</v>
      </c>
      <c r="J28" s="150" t="s">
        <v>123</v>
      </c>
      <c r="K28" s="150" t="s">
        <v>119</v>
      </c>
      <c r="L28" s="150" t="s">
        <v>221</v>
      </c>
      <c r="M28" s="150" t="s">
        <v>171</v>
      </c>
      <c r="N28" s="150" t="s">
        <v>172</v>
      </c>
      <c r="O28" s="150" t="s">
        <v>177</v>
      </c>
      <c r="P28" s="150" t="s">
        <v>169</v>
      </c>
      <c r="Q28" s="150" t="s">
        <v>170</v>
      </c>
      <c r="R28" s="150" t="s">
        <v>268</v>
      </c>
      <c r="S28" s="150" t="s">
        <v>173</v>
      </c>
      <c r="T28" s="150" t="s">
        <v>174</v>
      </c>
      <c r="U28" s="150" t="s">
        <v>175</v>
      </c>
      <c r="V28" s="150" t="s">
        <v>176</v>
      </c>
      <c r="W28" s="150" t="s">
        <v>178</v>
      </c>
      <c r="X28" s="150" t="s">
        <v>179</v>
      </c>
      <c r="Y28" s="150" t="s">
        <v>180</v>
      </c>
      <c r="Z28" s="150" t="s">
        <v>181</v>
      </c>
      <c r="AA28" s="150" t="s">
        <v>182</v>
      </c>
      <c r="AB28" s="150" t="s">
        <v>282</v>
      </c>
      <c r="AC28" s="150" t="s">
        <v>281</v>
      </c>
      <c r="AD28" s="150" t="s">
        <v>281</v>
      </c>
      <c r="AE28" s="150" t="s">
        <v>186</v>
      </c>
      <c r="AF28" s="150" t="s">
        <v>187</v>
      </c>
      <c r="AG28" s="150" t="s">
        <v>192</v>
      </c>
      <c r="AH28" s="150" t="s">
        <v>188</v>
      </c>
      <c r="AI28" s="150" t="s">
        <v>198</v>
      </c>
      <c r="AJ28" s="150" t="s">
        <v>199</v>
      </c>
      <c r="AK28" s="150" t="s">
        <v>200</v>
      </c>
      <c r="AL28" s="150" t="s">
        <v>189</v>
      </c>
      <c r="AM28" s="150" t="s">
        <v>190</v>
      </c>
      <c r="AN28" s="150" t="s">
        <v>191</v>
      </c>
      <c r="AO28" s="150" t="s">
        <v>193</v>
      </c>
      <c r="AP28" s="150" t="s">
        <v>194</v>
      </c>
      <c r="AQ28" s="150" t="s">
        <v>195</v>
      </c>
      <c r="AR28" s="150" t="s">
        <v>196</v>
      </c>
      <c r="AS28" s="150" t="s">
        <v>197</v>
      </c>
      <c r="AT28" s="148" t="s">
        <v>491</v>
      </c>
    </row>
    <row r="29" spans="1:46" s="57" customFormat="1" x14ac:dyDescent="0.2">
      <c r="A29" s="68" t="s">
        <v>71</v>
      </c>
      <c r="B29" s="68" t="s">
        <v>568</v>
      </c>
      <c r="C29" s="69"/>
      <c r="D29" s="70">
        <v>1</v>
      </c>
      <c r="E29" s="96" t="s">
        <v>73</v>
      </c>
      <c r="F29" s="57" t="s">
        <v>73</v>
      </c>
      <c r="G29" s="60"/>
      <c r="H29" s="60" t="s">
        <v>77</v>
      </c>
      <c r="I29" s="60" t="s">
        <v>77</v>
      </c>
      <c r="J29" s="60"/>
      <c r="K29" s="60"/>
      <c r="L29" s="60"/>
      <c r="M29" s="139">
        <f ca="1">(INDIRECT("'Data'!BL"&amp;($C$1)))</f>
        <v>0</v>
      </c>
      <c r="N29" s="139">
        <f ca="1">(INDIRECT("'Data'!BX"&amp;($C$1)))</f>
        <v>0</v>
      </c>
      <c r="O29" s="139">
        <f ca="1">(INDIRECT("'Data'!BQ"&amp;($C$1)))</f>
        <v>0</v>
      </c>
      <c r="P29" s="139">
        <f ca="1">(INDIRECT("'Data'!BX"&amp;($C$1)))</f>
        <v>0</v>
      </c>
      <c r="Q29" s="139">
        <f ca="1">(INDIRECT("'Data'!BO"&amp;($C$1)))</f>
        <v>0</v>
      </c>
      <c r="R29" s="139">
        <f ca="1">(INDIRECT("'Data'!BY"&amp;($C$1)))</f>
        <v>0</v>
      </c>
      <c r="S29" s="139">
        <f ca="1">(INDIRECT("'Data'!BZ"&amp;($C$1)))</f>
        <v>0</v>
      </c>
      <c r="T29" s="60"/>
      <c r="U29" s="60"/>
      <c r="V29" s="60"/>
      <c r="W29" s="60"/>
      <c r="X29" s="60"/>
      <c r="Y29" s="60"/>
      <c r="Z29" s="59"/>
      <c r="AA29" s="60"/>
      <c r="AB29" s="60"/>
      <c r="AC29" s="60"/>
      <c r="AD29" s="60"/>
      <c r="AT29" s="85"/>
    </row>
    <row r="30" spans="1:46" s="145" customFormat="1" ht="6.75" x14ac:dyDescent="0.15">
      <c r="A30" s="145" t="s">
        <v>68</v>
      </c>
      <c r="B30" s="145" t="s">
        <v>455</v>
      </c>
      <c r="C30" s="145" t="s">
        <v>443</v>
      </c>
      <c r="D30" s="145" t="s">
        <v>444</v>
      </c>
      <c r="E30" s="145" t="s">
        <v>493</v>
      </c>
      <c r="F30" s="145" t="s">
        <v>203</v>
      </c>
      <c r="G30" s="145" t="s">
        <v>204</v>
      </c>
      <c r="H30" s="145" t="s">
        <v>205</v>
      </c>
      <c r="I30" s="145" t="s">
        <v>284</v>
      </c>
      <c r="J30" s="145" t="s">
        <v>206</v>
      </c>
      <c r="K30" s="145" t="s">
        <v>207</v>
      </c>
      <c r="L30" s="145" t="s">
        <v>208</v>
      </c>
      <c r="M30" s="145" t="s">
        <v>209</v>
      </c>
      <c r="N30" s="145" t="s">
        <v>210</v>
      </c>
      <c r="O30" s="145" t="s">
        <v>211</v>
      </c>
      <c r="P30" s="145" t="s">
        <v>212</v>
      </c>
      <c r="Q30" s="145" t="s">
        <v>213</v>
      </c>
      <c r="R30" s="145" t="s">
        <v>214</v>
      </c>
      <c r="S30" s="145" t="s">
        <v>215</v>
      </c>
      <c r="T30" s="145" t="s">
        <v>216</v>
      </c>
      <c r="U30" s="145" t="s">
        <v>217</v>
      </c>
      <c r="V30" s="148" t="s">
        <v>491</v>
      </c>
    </row>
    <row r="31" spans="1:46" s="57" customFormat="1" x14ac:dyDescent="0.2">
      <c r="A31" s="68" t="s">
        <v>71</v>
      </c>
      <c r="B31" s="68" t="s">
        <v>570</v>
      </c>
      <c r="C31" s="69"/>
      <c r="D31" s="70">
        <v>1</v>
      </c>
      <c r="E31" s="94" t="s">
        <v>73</v>
      </c>
      <c r="F31" s="49">
        <f ca="1">(INDIRECT("'Data'!BL"&amp;($C$1)))</f>
        <v>0</v>
      </c>
      <c r="G31" s="49">
        <f ca="1">(INDIRECT("'Data'!BX"&amp;($C$1)))</f>
        <v>0</v>
      </c>
      <c r="H31" s="57" t="s">
        <v>280</v>
      </c>
      <c r="I31" s="60">
        <v>1</v>
      </c>
      <c r="N31" s="57" t="s">
        <v>218</v>
      </c>
      <c r="O31" s="57" t="s">
        <v>285</v>
      </c>
      <c r="P31" s="57" t="s">
        <v>286</v>
      </c>
      <c r="Q31" s="57" t="s">
        <v>287</v>
      </c>
      <c r="R31" s="57" t="s">
        <v>75</v>
      </c>
      <c r="S31" s="57" t="s">
        <v>219</v>
      </c>
      <c r="T31" s="57" t="s">
        <v>120</v>
      </c>
      <c r="U31" s="57" t="s">
        <v>73</v>
      </c>
      <c r="V31" s="85"/>
    </row>
    <row r="32" spans="1:46" s="145" customFormat="1" ht="6.75" x14ac:dyDescent="0.15">
      <c r="A32" s="145" t="s">
        <v>68</v>
      </c>
      <c r="B32" s="145" t="s">
        <v>455</v>
      </c>
      <c r="C32" s="145" t="s">
        <v>443</v>
      </c>
      <c r="D32" s="145" t="s">
        <v>444</v>
      </c>
      <c r="E32" s="145" t="s">
        <v>493</v>
      </c>
      <c r="F32" s="145" t="s">
        <v>574</v>
      </c>
      <c r="G32" s="145" t="s">
        <v>575</v>
      </c>
      <c r="H32" s="148" t="s">
        <v>491</v>
      </c>
    </row>
    <row r="33" spans="1:20" s="57" customFormat="1" x14ac:dyDescent="0.2">
      <c r="A33" s="68" t="s">
        <v>71</v>
      </c>
      <c r="B33" s="68" t="s">
        <v>578</v>
      </c>
      <c r="C33" s="69"/>
      <c r="D33" s="70">
        <v>1</v>
      </c>
      <c r="E33" s="94" t="s">
        <v>73</v>
      </c>
      <c r="F33" s="57" t="s">
        <v>120</v>
      </c>
      <c r="G33" s="59" t="s">
        <v>73</v>
      </c>
      <c r="H33" s="85"/>
    </row>
    <row r="34" spans="1:20" s="145" customFormat="1" ht="6.75" x14ac:dyDescent="0.15">
      <c r="A34" s="145" t="s">
        <v>68</v>
      </c>
      <c r="B34" s="145" t="s">
        <v>455</v>
      </c>
      <c r="C34" s="145" t="s">
        <v>443</v>
      </c>
      <c r="D34" s="145" t="s">
        <v>444</v>
      </c>
      <c r="E34" s="145" t="s">
        <v>493</v>
      </c>
      <c r="F34" s="145" t="s">
        <v>579</v>
      </c>
      <c r="G34" s="145" t="s">
        <v>577</v>
      </c>
      <c r="H34" s="145" t="s">
        <v>83</v>
      </c>
      <c r="I34" s="145" t="s">
        <v>584</v>
      </c>
      <c r="J34" s="145" t="s">
        <v>576</v>
      </c>
      <c r="K34" s="145" t="s">
        <v>220</v>
      </c>
      <c r="L34" s="148" t="s">
        <v>491</v>
      </c>
    </row>
    <row r="35" spans="1:20" s="57" customFormat="1" x14ac:dyDescent="0.2">
      <c r="A35" s="68" t="s">
        <v>71</v>
      </c>
      <c r="B35" s="68" t="s">
        <v>580</v>
      </c>
      <c r="C35" s="69" t="s">
        <v>77</v>
      </c>
      <c r="D35" s="70">
        <v>1</v>
      </c>
      <c r="E35" s="94" t="s">
        <v>73</v>
      </c>
      <c r="F35" s="73" t="s">
        <v>582</v>
      </c>
      <c r="G35" s="73" t="s">
        <v>581</v>
      </c>
      <c r="H35" s="73" t="s">
        <v>583</v>
      </c>
      <c r="I35" s="88" t="s">
        <v>269</v>
      </c>
      <c r="J35" s="73" t="s">
        <v>124</v>
      </c>
      <c r="K35" s="74" t="s">
        <v>585</v>
      </c>
      <c r="L35" s="85"/>
    </row>
    <row r="36" spans="1:20" s="145" customFormat="1" ht="6.75" x14ac:dyDescent="0.15">
      <c r="A36" s="145" t="s">
        <v>68</v>
      </c>
      <c r="B36" s="145" t="s">
        <v>455</v>
      </c>
      <c r="C36" s="145" t="s">
        <v>443</v>
      </c>
      <c r="D36" s="145" t="s">
        <v>444</v>
      </c>
      <c r="E36" s="145" t="s">
        <v>493</v>
      </c>
      <c r="F36" s="145" t="s">
        <v>318</v>
      </c>
      <c r="G36" s="145" t="s">
        <v>587</v>
      </c>
      <c r="H36" s="145" t="s">
        <v>319</v>
      </c>
      <c r="I36" s="145" t="s">
        <v>125</v>
      </c>
      <c r="J36" s="145" t="s">
        <v>588</v>
      </c>
      <c r="K36" s="145" t="s">
        <v>589</v>
      </c>
      <c r="L36" s="145" t="s">
        <v>320</v>
      </c>
      <c r="M36" s="145" t="s">
        <v>321</v>
      </c>
      <c r="N36" s="145" t="s">
        <v>89</v>
      </c>
      <c r="O36" s="145" t="s">
        <v>590</v>
      </c>
      <c r="P36" s="145" t="s">
        <v>419</v>
      </c>
      <c r="Q36" s="148" t="s">
        <v>491</v>
      </c>
    </row>
    <row r="37" spans="1:20" s="77" customFormat="1" ht="11.25" customHeight="1" x14ac:dyDescent="0.2">
      <c r="A37" s="68" t="s">
        <v>71</v>
      </c>
      <c r="B37" s="68" t="s">
        <v>586</v>
      </c>
      <c r="C37" s="68"/>
      <c r="D37" s="70">
        <v>1</v>
      </c>
      <c r="E37" s="94" t="s">
        <v>73</v>
      </c>
      <c r="F37" s="75" t="s">
        <v>73</v>
      </c>
      <c r="G37" s="75" t="s">
        <v>73</v>
      </c>
      <c r="H37" s="75" t="s">
        <v>322</v>
      </c>
      <c r="I37" s="75" t="s">
        <v>323</v>
      </c>
      <c r="J37" s="75" t="s">
        <v>73</v>
      </c>
      <c r="K37" s="75" t="s">
        <v>73</v>
      </c>
      <c r="L37" s="77" t="s">
        <v>73</v>
      </c>
      <c r="M37" s="77" t="s">
        <v>73</v>
      </c>
      <c r="N37" s="75" t="s">
        <v>73</v>
      </c>
      <c r="O37" s="77" t="s">
        <v>73</v>
      </c>
      <c r="P37" s="75" t="s">
        <v>73</v>
      </c>
      <c r="Q37" s="85"/>
    </row>
    <row r="38" spans="1:20" s="145" customFormat="1" ht="6.75" x14ac:dyDescent="0.15">
      <c r="A38" s="145" t="s">
        <v>68</v>
      </c>
      <c r="B38" s="145" t="s">
        <v>455</v>
      </c>
      <c r="C38" s="145" t="s">
        <v>443</v>
      </c>
      <c r="D38" s="145" t="s">
        <v>444</v>
      </c>
      <c r="E38" s="145" t="s">
        <v>493</v>
      </c>
      <c r="F38" s="145" t="s">
        <v>591</v>
      </c>
      <c r="G38" s="145" t="s">
        <v>593</v>
      </c>
      <c r="H38" s="145" t="s">
        <v>592</v>
      </c>
      <c r="I38" s="145" t="s">
        <v>302</v>
      </c>
      <c r="J38" s="145" t="s">
        <v>304</v>
      </c>
      <c r="K38" s="148" t="s">
        <v>491</v>
      </c>
    </row>
    <row r="39" spans="1:20" s="78" customFormat="1" x14ac:dyDescent="0.2">
      <c r="A39" s="68" t="s">
        <v>71</v>
      </c>
      <c r="B39" s="68" t="s">
        <v>642</v>
      </c>
      <c r="C39" s="69" t="s">
        <v>77</v>
      </c>
      <c r="D39" s="70">
        <v>1</v>
      </c>
      <c r="E39" s="94" t="s">
        <v>73</v>
      </c>
      <c r="F39" s="78" t="s">
        <v>218</v>
      </c>
      <c r="I39" s="55"/>
      <c r="J39" s="78" t="s">
        <v>77</v>
      </c>
      <c r="K39" s="87"/>
    </row>
    <row r="40" spans="1:20" s="145" customFormat="1" ht="6.75" x14ac:dyDescent="0.15">
      <c r="A40" s="145" t="s">
        <v>68</v>
      </c>
      <c r="B40" s="145" t="s">
        <v>455</v>
      </c>
      <c r="C40" s="145" t="s">
        <v>443</v>
      </c>
      <c r="D40" s="145" t="s">
        <v>444</v>
      </c>
      <c r="E40" s="145" t="s">
        <v>493</v>
      </c>
      <c r="F40" s="145" t="s">
        <v>475</v>
      </c>
      <c r="G40" s="145" t="s">
        <v>789</v>
      </c>
      <c r="H40" s="145" t="s">
        <v>790</v>
      </c>
      <c r="I40" s="145" t="s">
        <v>791</v>
      </c>
      <c r="J40" s="145" t="s">
        <v>793</v>
      </c>
      <c r="K40" s="145" t="s">
        <v>794</v>
      </c>
      <c r="L40" s="145" t="s">
        <v>795</v>
      </c>
      <c r="M40" s="145" t="s">
        <v>796</v>
      </c>
      <c r="N40" s="145" t="s">
        <v>650</v>
      </c>
      <c r="O40" s="145" t="s">
        <v>651</v>
      </c>
      <c r="P40" s="148" t="s">
        <v>491</v>
      </c>
    </row>
    <row r="41" spans="1:20" s="78" customFormat="1" x14ac:dyDescent="0.2">
      <c r="A41" s="68" t="s">
        <v>71</v>
      </c>
      <c r="B41" s="68" t="s">
        <v>594</v>
      </c>
      <c r="C41" s="69" t="s">
        <v>77</v>
      </c>
      <c r="D41" s="70">
        <v>1</v>
      </c>
      <c r="E41" s="94" t="s">
        <v>73</v>
      </c>
      <c r="F41" s="48">
        <f ca="1">(INDIRECT("'Data'!CD"&amp;($C$1)))</f>
        <v>0</v>
      </c>
      <c r="G41" s="77" t="s">
        <v>73</v>
      </c>
      <c r="H41" s="77" t="s">
        <v>308</v>
      </c>
      <c r="I41" s="77" t="s">
        <v>792</v>
      </c>
      <c r="J41" s="75">
        <v>0</v>
      </c>
      <c r="K41" s="77" t="s">
        <v>231</v>
      </c>
      <c r="L41" s="77" t="s">
        <v>757</v>
      </c>
      <c r="M41" s="77" t="s">
        <v>313</v>
      </c>
      <c r="N41" s="78" t="s">
        <v>315</v>
      </c>
      <c r="O41" s="78" t="s">
        <v>65</v>
      </c>
      <c r="P41" s="85"/>
    </row>
    <row r="42" spans="1:20" s="145" customFormat="1" ht="6.75" x14ac:dyDescent="0.15">
      <c r="A42" s="145" t="s">
        <v>68</v>
      </c>
      <c r="B42" s="145" t="s">
        <v>455</v>
      </c>
      <c r="C42" s="145" t="s">
        <v>443</v>
      </c>
      <c r="D42" s="145" t="s">
        <v>444</v>
      </c>
      <c r="E42" s="145" t="s">
        <v>493</v>
      </c>
      <c r="F42" s="145" t="s">
        <v>235</v>
      </c>
      <c r="G42" s="145" t="s">
        <v>238</v>
      </c>
      <c r="H42" s="145" t="s">
        <v>595</v>
      </c>
      <c r="I42" s="145" t="s">
        <v>596</v>
      </c>
      <c r="J42" s="145" t="s">
        <v>599</v>
      </c>
      <c r="K42" s="145" t="s">
        <v>237</v>
      </c>
      <c r="L42" s="145" t="s">
        <v>597</v>
      </c>
      <c r="M42" s="145" t="s">
        <v>236</v>
      </c>
      <c r="N42" s="148" t="s">
        <v>491</v>
      </c>
    </row>
    <row r="43" spans="1:20" s="78" customFormat="1" x14ac:dyDescent="0.2">
      <c r="A43" s="68" t="s">
        <v>71</v>
      </c>
      <c r="B43" s="68" t="s">
        <v>598</v>
      </c>
      <c r="C43" s="69"/>
      <c r="D43" s="70">
        <v>1</v>
      </c>
      <c r="E43" s="94" t="s">
        <v>73</v>
      </c>
      <c r="F43" s="55" t="s">
        <v>73</v>
      </c>
      <c r="G43" s="55" t="s">
        <v>238</v>
      </c>
      <c r="H43" s="55" t="s">
        <v>109</v>
      </c>
      <c r="I43" s="55" t="s">
        <v>168</v>
      </c>
      <c r="J43" s="55" t="s">
        <v>73</v>
      </c>
      <c r="K43" s="55" t="s">
        <v>237</v>
      </c>
      <c r="L43" s="55" t="s">
        <v>109</v>
      </c>
      <c r="M43" s="55" t="s">
        <v>236</v>
      </c>
      <c r="N43" s="85"/>
    </row>
    <row r="44" spans="1:20" s="145" customFormat="1" ht="6.75" x14ac:dyDescent="0.15">
      <c r="A44" s="145" t="s">
        <v>68</v>
      </c>
      <c r="B44" s="145" t="s">
        <v>455</v>
      </c>
      <c r="C44" s="145" t="s">
        <v>443</v>
      </c>
      <c r="D44" s="145" t="s">
        <v>444</v>
      </c>
      <c r="E44" s="145" t="s">
        <v>493</v>
      </c>
      <c r="F44" s="148" t="s">
        <v>491</v>
      </c>
    </row>
    <row r="45" spans="1:20" s="78" customFormat="1" x14ac:dyDescent="0.2">
      <c r="A45" s="68" t="s">
        <v>71</v>
      </c>
      <c r="B45" s="68" t="s">
        <v>600</v>
      </c>
      <c r="C45" s="69"/>
      <c r="D45" s="70">
        <v>1</v>
      </c>
      <c r="E45" s="94" t="s">
        <v>73</v>
      </c>
      <c r="F45" s="85"/>
    </row>
    <row r="46" spans="1:20" s="145" customFormat="1" ht="6.75" x14ac:dyDescent="0.15">
      <c r="A46" s="145" t="s">
        <v>68</v>
      </c>
      <c r="B46" s="145" t="s">
        <v>455</v>
      </c>
      <c r="C46" s="145" t="s">
        <v>70</v>
      </c>
      <c r="D46" s="145" t="s">
        <v>444</v>
      </c>
      <c r="E46" s="145" t="s">
        <v>493</v>
      </c>
      <c r="F46" s="145" t="s">
        <v>697</v>
      </c>
      <c r="G46" s="145" t="s">
        <v>698</v>
      </c>
      <c r="H46" s="145" t="s">
        <v>699</v>
      </c>
      <c r="I46" s="145" t="s">
        <v>700</v>
      </c>
      <c r="J46" s="145" t="s">
        <v>701</v>
      </c>
      <c r="K46" s="206" t="s">
        <v>838</v>
      </c>
      <c r="L46" s="145" t="s">
        <v>839</v>
      </c>
      <c r="M46" s="145" t="s">
        <v>471</v>
      </c>
      <c r="N46" s="145" t="s">
        <v>475</v>
      </c>
      <c r="O46" s="148" t="s">
        <v>491</v>
      </c>
    </row>
    <row r="47" spans="1:20" s="57" customFormat="1" ht="11.25" customHeight="1" x14ac:dyDescent="0.2">
      <c r="A47" s="118" t="s">
        <v>71</v>
      </c>
      <c r="B47" s="118" t="s">
        <v>144</v>
      </c>
      <c r="C47" s="118"/>
      <c r="D47" s="82">
        <v>1</v>
      </c>
      <c r="E47" s="94" t="s">
        <v>73</v>
      </c>
      <c r="F47" s="60" t="s">
        <v>703</v>
      </c>
      <c r="G47" s="60" t="s">
        <v>165</v>
      </c>
      <c r="H47" s="60" t="s">
        <v>73</v>
      </c>
      <c r="I47" s="60" t="s">
        <v>73</v>
      </c>
      <c r="J47" s="60" t="s">
        <v>73</v>
      </c>
      <c r="K47" s="207"/>
      <c r="L47" s="60" t="s">
        <v>73</v>
      </c>
      <c r="M47" s="60" t="s">
        <v>702</v>
      </c>
      <c r="N47" s="48">
        <f ca="1">(INDIRECT("'Data'!CD"&amp;($C$1)))</f>
        <v>0</v>
      </c>
      <c r="O47" s="85"/>
      <c r="P47" s="60"/>
      <c r="Q47" s="60"/>
      <c r="R47" s="60"/>
      <c r="S47" s="60"/>
      <c r="T47" s="60"/>
    </row>
    <row r="48" spans="1:20" s="145" customFormat="1" ht="6" customHeight="1" x14ac:dyDescent="0.15">
      <c r="A48" s="145" t="s">
        <v>68</v>
      </c>
      <c r="B48" s="145" t="s">
        <v>455</v>
      </c>
      <c r="C48" s="145" t="s">
        <v>70</v>
      </c>
      <c r="D48" s="145" t="s">
        <v>444</v>
      </c>
      <c r="E48" s="145" t="s">
        <v>493</v>
      </c>
      <c r="F48" s="145" t="s">
        <v>475</v>
      </c>
      <c r="G48" s="145" t="s">
        <v>84</v>
      </c>
      <c r="H48" s="145" t="s">
        <v>82</v>
      </c>
      <c r="I48" s="145" t="s">
        <v>145</v>
      </c>
      <c r="J48" s="145" t="s">
        <v>146</v>
      </c>
      <c r="K48" s="145" t="s">
        <v>147</v>
      </c>
      <c r="L48" s="145" t="s">
        <v>148</v>
      </c>
      <c r="M48" s="145" t="s">
        <v>326</v>
      </c>
      <c r="N48" s="145" t="s">
        <v>149</v>
      </c>
      <c r="O48" s="145" t="s">
        <v>840</v>
      </c>
      <c r="P48" s="145" t="s">
        <v>841</v>
      </c>
      <c r="Q48" s="148" t="s">
        <v>491</v>
      </c>
    </row>
    <row r="49" spans="1:29" s="57" customFormat="1" ht="11.25" customHeight="1" x14ac:dyDescent="0.2">
      <c r="A49" s="118" t="s">
        <v>71</v>
      </c>
      <c r="B49" s="118" t="s">
        <v>156</v>
      </c>
      <c r="C49" s="118"/>
      <c r="D49" s="82">
        <v>1</v>
      </c>
      <c r="E49" s="94" t="s">
        <v>73</v>
      </c>
      <c r="F49" s="48">
        <f ca="1">(INDIRECT("'Data'!CD"&amp;($C$1)))</f>
        <v>0</v>
      </c>
      <c r="G49" s="130" t="str">
        <f ca="1">(INDIRECT("'Data'!F"&amp;($C$1)))</f>
        <v>EXCHANGE GAS METER TO SECURE SMART CREDIT</v>
      </c>
      <c r="H49" s="130" t="str">
        <f ca="1">(INDIRECT("'Data'!AW"&amp;($C$1)))</f>
        <v>EXCH1 ROAD</v>
      </c>
      <c r="I49" s="49" t="str">
        <f ca="1">(INDIRECT("'Data'!X"&amp;($C$1)))</f>
        <v>FRST</v>
      </c>
      <c r="J49" s="49">
        <f ca="1">(INDIRECT("'Data'!BG"&amp;($C$1)))</f>
        <v>0</v>
      </c>
      <c r="K49" s="49">
        <f ca="1">(INDIRECT("'Data'!BL"&amp;($C$1)))</f>
        <v>0</v>
      </c>
      <c r="L49" s="59" t="str">
        <f>N31</f>
        <v>12345</v>
      </c>
      <c r="M49" s="58" t="str">
        <f>F35</f>
        <v>Z89K12345</v>
      </c>
      <c r="N49" s="60" t="str">
        <f>M43</f>
        <v>Test Witness name</v>
      </c>
      <c r="O49" s="60" t="s">
        <v>73</v>
      </c>
      <c r="P49" s="59" t="s">
        <v>73</v>
      </c>
      <c r="Q49" s="85"/>
    </row>
    <row r="50" spans="1:29" s="145" customFormat="1" ht="6.75" x14ac:dyDescent="0.15">
      <c r="A50" s="145" t="s">
        <v>68</v>
      </c>
      <c r="B50" s="145" t="s">
        <v>455</v>
      </c>
      <c r="C50" s="145" t="s">
        <v>70</v>
      </c>
      <c r="D50" s="145" t="s">
        <v>444</v>
      </c>
      <c r="E50" s="145" t="s">
        <v>493</v>
      </c>
      <c r="F50" s="145" t="s">
        <v>707</v>
      </c>
      <c r="G50" s="145" t="s">
        <v>708</v>
      </c>
      <c r="H50" s="145" t="s">
        <v>709</v>
      </c>
      <c r="I50" s="145" t="s">
        <v>710</v>
      </c>
      <c r="J50" s="145" t="s">
        <v>711</v>
      </c>
      <c r="K50" s="145" t="s">
        <v>712</v>
      </c>
      <c r="L50" s="148" t="s">
        <v>491</v>
      </c>
    </row>
    <row r="51" spans="1:29" s="57" customFormat="1" ht="11.25" customHeight="1" x14ac:dyDescent="0.2">
      <c r="A51" s="118" t="s">
        <v>71</v>
      </c>
      <c r="B51" s="118" t="s">
        <v>706</v>
      </c>
      <c r="C51" s="118"/>
      <c r="D51" s="117">
        <v>1</v>
      </c>
      <c r="E51" s="94" t="s">
        <v>73</v>
      </c>
      <c r="F51" s="60" t="s">
        <v>73</v>
      </c>
      <c r="G51" s="60" t="s">
        <v>75</v>
      </c>
      <c r="H51" s="60" t="s">
        <v>714</v>
      </c>
      <c r="I51" s="60" t="s">
        <v>155</v>
      </c>
      <c r="J51" s="60" t="s">
        <v>75</v>
      </c>
      <c r="K51" s="60" t="s">
        <v>643</v>
      </c>
      <c r="L51" s="85"/>
      <c r="M51" s="60"/>
      <c r="N51" s="60"/>
      <c r="O51" s="60"/>
      <c r="P51" s="60"/>
      <c r="Q51" s="60"/>
    </row>
    <row r="52" spans="1:29" s="145" customFormat="1" ht="6.75" x14ac:dyDescent="0.15">
      <c r="A52" s="145" t="s">
        <v>68</v>
      </c>
      <c r="B52" s="145" t="s">
        <v>455</v>
      </c>
      <c r="C52" s="145" t="s">
        <v>70</v>
      </c>
      <c r="D52" s="145" t="s">
        <v>444</v>
      </c>
    </row>
    <row r="53" spans="1:29" s="57" customFormat="1" ht="11.25" customHeight="1" x14ac:dyDescent="0.2">
      <c r="A53" s="57" t="s">
        <v>71</v>
      </c>
      <c r="B53" s="57" t="s">
        <v>76</v>
      </c>
      <c r="D53" s="81">
        <v>1</v>
      </c>
      <c r="E53" s="94"/>
      <c r="F53" s="60"/>
      <c r="J53" s="131"/>
    </row>
    <row r="54" spans="1:29" s="78" customFormat="1" ht="11.25" customHeight="1" x14ac:dyDescent="0.2">
      <c r="A54" s="68"/>
      <c r="B54" s="68"/>
      <c r="C54" s="69"/>
      <c r="D54" s="70"/>
      <c r="E54" s="94"/>
      <c r="F54" s="55"/>
      <c r="G54" s="55"/>
      <c r="H54" s="55"/>
      <c r="I54" s="55"/>
      <c r="J54" s="55"/>
      <c r="K54" s="55"/>
      <c r="L54" s="55"/>
      <c r="M54" s="55"/>
    </row>
    <row r="55" spans="1:29" s="78" customFormat="1" ht="11.25" customHeight="1" x14ac:dyDescent="0.2">
      <c r="A55" s="68"/>
      <c r="B55" s="68"/>
      <c r="C55" s="69"/>
      <c r="D55" s="70"/>
      <c r="E55" s="94"/>
      <c r="F55" s="55"/>
      <c r="G55" s="55"/>
      <c r="H55" s="55"/>
      <c r="I55" s="55"/>
      <c r="J55" s="55"/>
      <c r="K55" s="55"/>
      <c r="L55" s="55"/>
      <c r="M55" s="55"/>
    </row>
    <row r="56" spans="1:29" s="78" customFormat="1" x14ac:dyDescent="0.2">
      <c r="A56" s="68"/>
      <c r="B56" s="68"/>
      <c r="C56" s="69"/>
      <c r="D56" s="70"/>
      <c r="E56" s="94"/>
      <c r="F56" s="112" t="s">
        <v>491</v>
      </c>
      <c r="G56" s="55"/>
      <c r="H56" s="55"/>
      <c r="I56" s="55"/>
      <c r="J56" s="55"/>
      <c r="K56" s="55"/>
      <c r="L56" s="55"/>
      <c r="M56" s="55"/>
    </row>
    <row r="57" spans="1:29" s="78" customFormat="1" ht="11.25" customHeight="1" x14ac:dyDescent="0.2">
      <c r="A57" s="68"/>
      <c r="B57" s="68"/>
      <c r="C57" s="69"/>
      <c r="D57" s="70"/>
      <c r="E57" s="94"/>
      <c r="F57" s="55" t="s">
        <v>492</v>
      </c>
      <c r="G57" s="55"/>
      <c r="H57" s="55"/>
      <c r="I57" s="55"/>
      <c r="J57" s="55"/>
      <c r="K57" s="55"/>
      <c r="L57" s="55"/>
      <c r="M57" s="55"/>
    </row>
    <row r="60" spans="1:29" s="31" customFormat="1" ht="11.25" customHeight="1" x14ac:dyDescent="0.2">
      <c r="E60" s="97"/>
      <c r="AC60" s="63"/>
    </row>
    <row r="61" spans="1:29" s="31" customFormat="1" ht="11.25" customHeight="1" x14ac:dyDescent="0.2">
      <c r="E61" s="97"/>
      <c r="AC61" s="63"/>
    </row>
    <row r="62" spans="1:29" s="31" customFormat="1" ht="11.25" customHeight="1" x14ac:dyDescent="0.2">
      <c r="E62" s="97"/>
      <c r="AC62" s="63"/>
    </row>
    <row r="63" spans="1:29" s="63" customFormat="1" ht="11.25" customHeight="1" x14ac:dyDescent="0.2">
      <c r="E63" s="98"/>
      <c r="I63" s="71"/>
    </row>
    <row r="64" spans="1:29" s="63" customFormat="1" ht="11.25" customHeight="1" x14ac:dyDescent="0.2">
      <c r="E64" s="98"/>
      <c r="I64" s="71"/>
    </row>
    <row r="65" spans="8:9" ht="11.25" customHeight="1" x14ac:dyDescent="0.2">
      <c r="H65" s="33"/>
      <c r="I65" s="32"/>
    </row>
    <row r="66" spans="8:9" ht="11.25" customHeight="1" x14ac:dyDescent="0.2">
      <c r="H66" s="33"/>
      <c r="I66" s="32"/>
    </row>
    <row r="67" spans="8:9" ht="11.25" customHeight="1" x14ac:dyDescent="0.2">
      <c r="H67" s="33"/>
      <c r="I67" s="32"/>
    </row>
    <row r="68" spans="8:9" ht="11.25" customHeight="1" x14ac:dyDescent="0.2">
      <c r="H68" s="33"/>
      <c r="I68" s="32"/>
    </row>
    <row r="69" spans="8:9" ht="11.25" customHeight="1" x14ac:dyDescent="0.2">
      <c r="H69" s="33"/>
      <c r="I69" s="32"/>
    </row>
    <row r="70" spans="8:9" ht="11.25" customHeight="1" x14ac:dyDescent="0.2">
      <c r="H70" s="33"/>
      <c r="I70" s="32"/>
    </row>
    <row r="71" spans="8:9" ht="11.25" customHeight="1" x14ac:dyDescent="0.2">
      <c r="H71" s="33"/>
      <c r="I71" s="32"/>
    </row>
    <row r="72" spans="8:9" ht="11.25" customHeight="1" x14ac:dyDescent="0.2">
      <c r="H72" s="33"/>
      <c r="I72" s="32"/>
    </row>
    <row r="73" spans="8:9" ht="11.25" customHeight="1" x14ac:dyDescent="0.2">
      <c r="H73" s="33"/>
      <c r="I73" s="32"/>
    </row>
    <row r="74" spans="8:9" ht="11.25" customHeight="1" x14ac:dyDescent="0.2">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xr:uid="{00000000-0002-0000-0200-000000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200-000001000000}"/>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xr:uid="{00000000-0002-0000-0200-000002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200-000003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200-000004000000}"/>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499984740745262"/>
  </sheetPr>
  <dimension ref="A1:AQ37"/>
  <sheetViews>
    <sheetView zoomScale="130" zoomScaleNormal="130" workbookViewId="0">
      <selection activeCell="F5" sqref="F5"/>
    </sheetView>
  </sheetViews>
  <sheetFormatPr defaultRowHeight="12.75" x14ac:dyDescent="0.2"/>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45" customFormat="1" ht="6.75" x14ac:dyDescent="0.15">
      <c r="A1" s="145" t="s">
        <v>494</v>
      </c>
      <c r="B1" s="145" t="s">
        <v>95</v>
      </c>
      <c r="C1" s="145" t="s">
        <v>53</v>
      </c>
      <c r="D1" s="145" t="s">
        <v>49</v>
      </c>
      <c r="G1" s="146"/>
      <c r="I1" s="147"/>
    </row>
    <row r="2" spans="1:26" s="145" customFormat="1" ht="6.75" x14ac:dyDescent="0.15">
      <c r="A2" s="145" t="s">
        <v>68</v>
      </c>
      <c r="B2" s="145" t="s">
        <v>455</v>
      </c>
      <c r="C2" s="145" t="s">
        <v>443</v>
      </c>
      <c r="D2" s="145" t="s">
        <v>444</v>
      </c>
      <c r="E2" s="145" t="s">
        <v>493</v>
      </c>
      <c r="F2" s="145" t="s">
        <v>445</v>
      </c>
      <c r="G2" s="145" t="s">
        <v>115</v>
      </c>
      <c r="H2" s="145" t="s">
        <v>436</v>
      </c>
      <c r="I2" s="145" t="s">
        <v>446</v>
      </c>
    </row>
    <row r="3" spans="1:26" s="44" customFormat="1" ht="11.25"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46"/>
      <c r="K3" s="46"/>
      <c r="L3" s="46"/>
      <c r="M3" s="46"/>
      <c r="N3" s="46"/>
      <c r="O3" s="46"/>
      <c r="P3" s="46"/>
      <c r="Q3" s="46"/>
      <c r="R3" s="47"/>
      <c r="S3" s="46"/>
      <c r="T3" s="46"/>
      <c r="U3" s="46"/>
    </row>
    <row r="4" spans="1:26" s="145" customFormat="1" ht="6.75" x14ac:dyDescent="0.15">
      <c r="A4" s="145" t="s">
        <v>68</v>
      </c>
      <c r="B4" s="145" t="s">
        <v>455</v>
      </c>
      <c r="C4" s="145" t="s">
        <v>443</v>
      </c>
      <c r="D4" s="145" t="s">
        <v>444</v>
      </c>
      <c r="E4" s="145" t="s">
        <v>493</v>
      </c>
      <c r="F4" s="145" t="s">
        <v>454</v>
      </c>
      <c r="G4" s="145" t="s">
        <v>43</v>
      </c>
      <c r="H4" s="145" t="s">
        <v>453</v>
      </c>
      <c r="I4" s="145" t="s">
        <v>447</v>
      </c>
      <c r="J4" s="145" t="s">
        <v>448</v>
      </c>
      <c r="K4" s="145" t="s">
        <v>450</v>
      </c>
      <c r="L4" s="145" t="s">
        <v>451</v>
      </c>
      <c r="M4" s="145" t="s">
        <v>452</v>
      </c>
      <c r="N4" s="145" t="s">
        <v>442</v>
      </c>
      <c r="O4" s="145" t="s">
        <v>37</v>
      </c>
      <c r="P4" s="145" t="s">
        <v>441</v>
      </c>
      <c r="Q4" s="148" t="s">
        <v>491</v>
      </c>
    </row>
    <row r="5" spans="1:26" s="44" customFormat="1" ht="11.25" customHeight="1" x14ac:dyDescent="0.2">
      <c r="A5" s="64" t="s">
        <v>71</v>
      </c>
      <c r="B5" s="64" t="s">
        <v>495</v>
      </c>
      <c r="C5" s="64"/>
      <c r="D5" s="65">
        <v>1</v>
      </c>
      <c r="E5" s="93" t="s">
        <v>73</v>
      </c>
      <c r="F5" s="49" t="str">
        <f ca="1">(INDIRECT("'Data'!C"&amp;($C$1)))</f>
        <v>Automation</v>
      </c>
      <c r="G5" s="49" t="s">
        <v>396</v>
      </c>
      <c r="H5" s="48"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3517</v>
      </c>
      <c r="O5" s="48" t="str">
        <f ca="1">(INDIRECT("'Data'!AW"&amp;($C$1)))</f>
        <v>EXCH1 ROAD</v>
      </c>
      <c r="P5" s="49" t="str">
        <f ca="1">CONCATENATE(RIGHT((INDIRECT("'Data'!X"&amp;($C$1))),5),"-",RIGHT(R7&amp;(INDIRECT("'Data'!Y"&amp;($C$1))),5))</f>
        <v>SPRK--3517</v>
      </c>
      <c r="Q5" s="85"/>
      <c r="R5" s="46"/>
      <c r="S5" s="46"/>
      <c r="T5" s="46"/>
    </row>
    <row r="6" spans="1:26" s="145" customFormat="1" ht="6.75" x14ac:dyDescent="0.15">
      <c r="A6" s="145" t="s">
        <v>68</v>
      </c>
      <c r="B6" s="145" t="s">
        <v>455</v>
      </c>
      <c r="C6" s="145" t="s">
        <v>443</v>
      </c>
      <c r="D6" s="145" t="s">
        <v>444</v>
      </c>
      <c r="E6" s="145" t="s">
        <v>493</v>
      </c>
      <c r="F6" s="145" t="s">
        <v>447</v>
      </c>
      <c r="G6" s="145" t="s">
        <v>450</v>
      </c>
      <c r="H6" s="145" t="s">
        <v>451</v>
      </c>
      <c r="I6" s="145" t="s">
        <v>452</v>
      </c>
      <c r="J6" s="145" t="s">
        <v>442</v>
      </c>
      <c r="K6" s="145" t="s">
        <v>37</v>
      </c>
      <c r="L6" s="145" t="s">
        <v>448</v>
      </c>
      <c r="M6" s="145" t="s">
        <v>449</v>
      </c>
      <c r="N6" s="145" t="s">
        <v>439</v>
      </c>
      <c r="O6" s="145" t="s">
        <v>78</v>
      </c>
      <c r="P6" s="145" t="s">
        <v>79</v>
      </c>
      <c r="Q6" s="145" t="s">
        <v>87</v>
      </c>
      <c r="R6" s="145" t="s">
        <v>80</v>
      </c>
      <c r="S6" s="145" t="s">
        <v>110</v>
      </c>
      <c r="T6" s="145" t="s">
        <v>114</v>
      </c>
      <c r="U6" s="145" t="s">
        <v>90</v>
      </c>
      <c r="V6" s="145" t="s">
        <v>81</v>
      </c>
      <c r="W6" s="145" t="s">
        <v>88</v>
      </c>
      <c r="X6" s="145" t="s">
        <v>276</v>
      </c>
      <c r="Y6" s="145" t="s">
        <v>457</v>
      </c>
      <c r="Z6" s="148" t="s">
        <v>491</v>
      </c>
    </row>
    <row r="7" spans="1:26"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3517</v>
      </c>
      <c r="K7" s="48" t="str">
        <f ca="1">(INDIRECT("'Data'!AW"&amp;($C$1)))</f>
        <v>EXCH1 ROAD</v>
      </c>
      <c r="L7" s="48" t="str">
        <f ca="1">(INDIRECT("'Data'!E"&amp;($C$1)))</f>
        <v>S</v>
      </c>
      <c r="M7" s="48" t="str">
        <f ca="1">(INDIRECT("'Data'!AI"&amp;($C$1)))</f>
        <v>2019-04-26 08:00</v>
      </c>
      <c r="N7" s="49">
        <f ca="1">(INDIRECT("'Data'!BG"&amp;($C$1)))</f>
        <v>0</v>
      </c>
      <c r="O7" s="49" t="str">
        <f ca="1">(INDIRECT("'Data'!AH"&amp;($C$1)))</f>
        <v>Site_Contact_3517</v>
      </c>
      <c r="P7" s="48" t="str">
        <f ca="1">(INDIRECT("'Data'!AE"&amp;($C$1)))</f>
        <v>LAST_METER-3517</v>
      </c>
      <c r="Q7" s="48" t="str">
        <f ca="1">(INDIRECT("'Data'!DK"&amp;($C$1)))</f>
        <v>G</v>
      </c>
      <c r="R7" s="48">
        <f ca="1">(INDIRECT("'Data'!D"&amp;($C$1)))</f>
        <v>3517</v>
      </c>
      <c r="S7" s="48" t="str">
        <f ca="1">INDIRECT("'Data'!M"&amp;($C$1))</f>
        <v>Q</v>
      </c>
      <c r="T7" s="48" t="str">
        <f ca="1">INDIRECT("'Data'!AM"&amp;($C$1))</f>
        <v>01153517</v>
      </c>
      <c r="U7" s="48" t="str">
        <f ca="1">(INDIRECT("'Data'!N"&amp;($C$1)))</f>
        <v>UK_1_F</v>
      </c>
      <c r="V7" s="48">
        <f ca="1">(INDIRECT("'Data'!O"&amp;($C$1)))</f>
        <v>0</v>
      </c>
      <c r="W7" s="48" t="str">
        <f ca="1">(INDIRECT("'Data'!P"&amp;($C$1)))</f>
        <v>SN-3517</v>
      </c>
      <c r="X7" s="48" t="str">
        <f ca="1">(INDIRECT("'Data'!C"&amp;($C$1)))</f>
        <v>Automation</v>
      </c>
      <c r="Y7" s="48" t="str">
        <f ca="1">(INDIRECT("'Data'!Q"&amp;($C$1)))</f>
        <v>SI-3517</v>
      </c>
      <c r="Z7" s="85"/>
    </row>
    <row r="8" spans="1:26" s="145" customFormat="1" ht="6.75" x14ac:dyDescent="0.15">
      <c r="A8" s="145" t="s">
        <v>68</v>
      </c>
      <c r="B8" s="145" t="s">
        <v>455</v>
      </c>
      <c r="C8" s="145" t="s">
        <v>443</v>
      </c>
      <c r="D8" s="145" t="s">
        <v>444</v>
      </c>
      <c r="E8" s="145" t="s">
        <v>493</v>
      </c>
      <c r="F8" s="145" t="s">
        <v>447</v>
      </c>
      <c r="G8" s="145" t="s">
        <v>37</v>
      </c>
      <c r="H8" s="145" t="s">
        <v>458</v>
      </c>
      <c r="I8" s="145" t="s">
        <v>459</v>
      </c>
      <c r="J8" s="145" t="s">
        <v>261</v>
      </c>
      <c r="K8" s="145" t="s">
        <v>460</v>
      </c>
      <c r="L8" s="148" t="s">
        <v>491</v>
      </c>
    </row>
    <row r="9" spans="1:26"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5"/>
    </row>
    <row r="10" spans="1:26" s="145" customFormat="1" ht="6.75" x14ac:dyDescent="0.15">
      <c r="A10" s="145" t="s">
        <v>68</v>
      </c>
      <c r="B10" s="145" t="s">
        <v>455</v>
      </c>
      <c r="C10" s="145" t="s">
        <v>443</v>
      </c>
      <c r="D10" s="145" t="s">
        <v>444</v>
      </c>
      <c r="E10" s="145" t="s">
        <v>493</v>
      </c>
      <c r="F10" s="145" t="s">
        <v>262</v>
      </c>
      <c r="G10" s="145" t="s">
        <v>447</v>
      </c>
      <c r="H10" s="145" t="s">
        <v>37</v>
      </c>
      <c r="I10" s="145" t="s">
        <v>43</v>
      </c>
      <c r="J10" s="145" t="s">
        <v>462</v>
      </c>
      <c r="K10" s="145" t="s">
        <v>465</v>
      </c>
      <c r="L10" s="145" t="s">
        <v>460</v>
      </c>
      <c r="M10" s="148" t="s">
        <v>491</v>
      </c>
    </row>
    <row r="11" spans="1:26" s="44" customFormat="1" ht="11.25" customHeight="1" x14ac:dyDescent="0.2">
      <c r="A11" s="64" t="s">
        <v>71</v>
      </c>
      <c r="B11" s="64" t="s">
        <v>498</v>
      </c>
      <c r="C11" s="64"/>
      <c r="D11" s="65">
        <v>1</v>
      </c>
      <c r="E11" s="94" t="s">
        <v>73</v>
      </c>
      <c r="F11" s="49">
        <f ca="1">(INDIRECT("'Data'!BG"&amp;($C$1)))</f>
        <v>0</v>
      </c>
      <c r="G11" s="49" t="str">
        <f ca="1">(INDIRECT("'Data'!F"&amp;($C$1)))</f>
        <v>EXCHANGE GAS METER TO SECURE SMART CREDIT</v>
      </c>
      <c r="H11" s="48" t="str">
        <f ca="1">(INDIRECT("'Data'!AW"&amp;($C$1)))</f>
        <v>EXCH1 ROAD</v>
      </c>
      <c r="I11" s="49" t="str">
        <f ca="1">(INDIRECT("'Data'!AH"&amp;($C$1)))</f>
        <v>Site_Contact_3517</v>
      </c>
      <c r="J11" s="49" t="str">
        <f ca="1">(INDIRECT("'Data'!BA"&amp;($C$1)))</f>
        <v>C</v>
      </c>
      <c r="K11" s="49">
        <f ca="1">(INDIRECT("'Data'!BD"&amp;($C$1)))</f>
        <v>0</v>
      </c>
      <c r="L11" s="49">
        <f ca="1">(INDIRECT("'Data'!BO"&amp;($C$1)))</f>
        <v>0</v>
      </c>
      <c r="M11" s="85"/>
    </row>
    <row r="12" spans="1:26" s="145" customFormat="1" ht="6.75" x14ac:dyDescent="0.15">
      <c r="A12" s="145" t="s">
        <v>68</v>
      </c>
      <c r="B12" s="145" t="s">
        <v>455</v>
      </c>
      <c r="C12" s="145" t="s">
        <v>443</v>
      </c>
      <c r="D12" s="145" t="s">
        <v>444</v>
      </c>
      <c r="E12" s="145" t="s">
        <v>493</v>
      </c>
      <c r="F12" s="145" t="s">
        <v>475</v>
      </c>
      <c r="G12" s="145" t="s">
        <v>439</v>
      </c>
      <c r="H12" s="145" t="s">
        <v>43</v>
      </c>
      <c r="I12" s="145" t="s">
        <v>447</v>
      </c>
      <c r="J12" s="145" t="s">
        <v>450</v>
      </c>
      <c r="K12" s="145" t="s">
        <v>451</v>
      </c>
      <c r="L12" s="145" t="s">
        <v>452</v>
      </c>
      <c r="M12" s="145" t="s">
        <v>442</v>
      </c>
      <c r="N12" s="145" t="s">
        <v>37</v>
      </c>
      <c r="O12" s="145" t="s">
        <v>468</v>
      </c>
      <c r="P12" s="149" t="s">
        <v>469</v>
      </c>
      <c r="Q12" s="149" t="s">
        <v>471</v>
      </c>
      <c r="R12" s="145" t="s">
        <v>473</v>
      </c>
      <c r="S12" s="149" t="s">
        <v>470</v>
      </c>
      <c r="T12" s="145" t="s">
        <v>472</v>
      </c>
      <c r="U12" s="148" t="s">
        <v>491</v>
      </c>
    </row>
    <row r="13" spans="1:26" s="57" customFormat="1" ht="11.25" customHeight="1" x14ac:dyDescent="0.2">
      <c r="A13" s="64" t="s">
        <v>71</v>
      </c>
      <c r="B13" s="64" t="s">
        <v>467</v>
      </c>
      <c r="C13" s="64"/>
      <c r="D13" s="66">
        <v>1</v>
      </c>
      <c r="E13" s="94" t="s">
        <v>73</v>
      </c>
      <c r="F13" s="48">
        <f ca="1">(INDIRECT("'Data'!CD"&amp;($C$1)))</f>
        <v>0</v>
      </c>
      <c r="G13" s="49">
        <f ca="1">(INDIRECT("'Data'!BG"&amp;($C$1)))</f>
        <v>0</v>
      </c>
      <c r="H13" s="49" t="str">
        <f ca="1">(INDIRECT("'Data'!AH"&amp;($C$1)))</f>
        <v>Site_Contact_3517</v>
      </c>
      <c r="I13" s="49" t="str">
        <f ca="1">(INDIRECT("'Data'!F"&amp;($C$1)))</f>
        <v>EXCHANGE GAS METER TO SECURE SMART CREDIT</v>
      </c>
      <c r="J13" s="48">
        <f ca="1">(INDIRECT("'Data'!AS"&amp;($C$1)))</f>
        <v>0</v>
      </c>
      <c r="K13" s="48" t="str">
        <f ca="1">(INDIRECT("'Data'!AT"&amp;($C$1)))</f>
        <v>TPJR00530</v>
      </c>
      <c r="L13" s="48">
        <f ca="1">(INDIRECT("'Data'!AU"&amp;($C$1)))</f>
        <v>0</v>
      </c>
      <c r="M13" s="48">
        <f ca="1">(INDIRECT("'Data'!AV"&amp;($C$1)))</f>
        <v>3517</v>
      </c>
      <c r="N13" s="48" t="str">
        <f ca="1">(INDIRECT("'Data'!AW"&amp;($C$1)))</f>
        <v>EXCH1 ROAD</v>
      </c>
      <c r="O13" s="57" t="s">
        <v>73</v>
      </c>
      <c r="P13" s="58" t="s">
        <v>73</v>
      </c>
      <c r="Q13" s="58" t="s">
        <v>265</v>
      </c>
      <c r="R13" s="59" t="s">
        <v>73</v>
      </c>
      <c r="S13" s="58" t="s">
        <v>75</v>
      </c>
      <c r="T13" s="60" t="s">
        <v>100</v>
      </c>
      <c r="U13" s="85"/>
    </row>
    <row r="14" spans="1:26" s="145" customFormat="1" ht="6.75" x14ac:dyDescent="0.15">
      <c r="A14" s="145" t="s">
        <v>68</v>
      </c>
      <c r="B14" s="145" t="s">
        <v>455</v>
      </c>
      <c r="C14" s="145" t="s">
        <v>443</v>
      </c>
      <c r="D14" s="145" t="s">
        <v>444</v>
      </c>
      <c r="E14" s="145" t="s">
        <v>493</v>
      </c>
      <c r="F14" s="145" t="s">
        <v>475</v>
      </c>
      <c r="G14" s="145" t="s">
        <v>439</v>
      </c>
      <c r="H14" s="145" t="s">
        <v>447</v>
      </c>
      <c r="I14" s="145" t="s">
        <v>37</v>
      </c>
      <c r="J14" s="145" t="s">
        <v>94</v>
      </c>
      <c r="K14" s="148" t="s">
        <v>491</v>
      </c>
      <c r="L14" s="149" t="s">
        <v>77</v>
      </c>
      <c r="M14" s="149" t="s">
        <v>77</v>
      </c>
      <c r="N14" s="147" t="s">
        <v>77</v>
      </c>
      <c r="O14" s="149"/>
      <c r="P14" s="149"/>
      <c r="R14" s="149"/>
    </row>
    <row r="15" spans="1:26" s="44" customFormat="1" ht="11.25" customHeight="1" x14ac:dyDescent="0.2">
      <c r="A15" s="64" t="s">
        <v>71</v>
      </c>
      <c r="B15" s="64" t="s">
        <v>474</v>
      </c>
      <c r="C15" s="64"/>
      <c r="D15" s="66">
        <v>1</v>
      </c>
      <c r="E15" s="93" t="s">
        <v>73</v>
      </c>
      <c r="F15" s="48">
        <f ca="1">(INDIRECT("'Data'!CD"&amp;($C$1)))</f>
        <v>0</v>
      </c>
      <c r="G15" s="49">
        <f ca="1">(INDIRECT("'Data'!BG"&amp;($C$1)))</f>
        <v>0</v>
      </c>
      <c r="H15" s="49" t="str">
        <f ca="1">(INDIRECT("'Data'!F"&amp;($C$1)))</f>
        <v>EXCHANGE GAS METER TO SECURE SMART CREDIT</v>
      </c>
      <c r="I15" s="48" t="str">
        <f ca="1">(INDIRECT("'Data'!AW"&amp;($C$1)))</f>
        <v>EXCH1 ROAD</v>
      </c>
      <c r="J15" s="44" t="s">
        <v>73</v>
      </c>
      <c r="K15" s="85"/>
      <c r="L15" s="61"/>
      <c r="M15" s="61"/>
      <c r="N15" s="62"/>
      <c r="O15" s="61"/>
      <c r="P15" s="61"/>
      <c r="Q15" s="47"/>
      <c r="R15" s="61"/>
    </row>
    <row r="16" spans="1:26" s="145" customFormat="1" ht="6.75" x14ac:dyDescent="0.15">
      <c r="A16" s="145" t="s">
        <v>68</v>
      </c>
      <c r="B16" s="145" t="s">
        <v>455</v>
      </c>
      <c r="C16" s="145" t="s">
        <v>443</v>
      </c>
      <c r="D16" s="145" t="s">
        <v>444</v>
      </c>
      <c r="E16" s="145" t="s">
        <v>493</v>
      </c>
      <c r="F16" s="145" t="s">
        <v>477</v>
      </c>
      <c r="G16" s="145" t="s">
        <v>478</v>
      </c>
      <c r="H16" s="149" t="s">
        <v>480</v>
      </c>
      <c r="I16" s="145" t="s">
        <v>96</v>
      </c>
      <c r="J16" s="149" t="s">
        <v>481</v>
      </c>
      <c r="K16" s="149" t="s">
        <v>482</v>
      </c>
      <c r="L16" s="145" t="s">
        <v>475</v>
      </c>
      <c r="M16" s="145" t="s">
        <v>817</v>
      </c>
      <c r="N16" s="145" t="s">
        <v>479</v>
      </c>
      <c r="O16" s="145" t="s">
        <v>483</v>
      </c>
      <c r="P16" s="148" t="s">
        <v>491</v>
      </c>
    </row>
    <row r="17" spans="1:43"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3" s="148" customFormat="1" ht="6.75" x14ac:dyDescent="0.15">
      <c r="A18" s="148" t="s">
        <v>68</v>
      </c>
      <c r="B18" s="148" t="s">
        <v>455</v>
      </c>
      <c r="C18" s="145" t="s">
        <v>443</v>
      </c>
      <c r="D18" s="145" t="s">
        <v>444</v>
      </c>
      <c r="E18" s="148" t="s">
        <v>493</v>
      </c>
      <c r="F18" s="148" t="s">
        <v>501</v>
      </c>
      <c r="G18" s="148" t="s">
        <v>507</v>
      </c>
      <c r="H18" s="148" t="s">
        <v>506</v>
      </c>
      <c r="I18" s="148" t="s">
        <v>724</v>
      </c>
      <c r="J18" s="148" t="s">
        <v>508</v>
      </c>
      <c r="K18" s="148" t="s">
        <v>504</v>
      </c>
      <c r="L18" s="148" t="s">
        <v>722</v>
      </c>
      <c r="M18" s="148" t="s">
        <v>491</v>
      </c>
    </row>
    <row r="19" spans="1:43" s="87" customFormat="1" ht="10.5" customHeight="1" x14ac:dyDescent="0.2">
      <c r="A19" s="132" t="s">
        <v>71</v>
      </c>
      <c r="B19" s="132" t="s">
        <v>720</v>
      </c>
      <c r="C19" s="129"/>
      <c r="D19" s="82">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3" s="148" customFormat="1" ht="6.75" x14ac:dyDescent="0.15">
      <c r="A20" s="148" t="s">
        <v>68</v>
      </c>
      <c r="B20" s="148" t="s">
        <v>455</v>
      </c>
      <c r="C20" s="145" t="s">
        <v>443</v>
      </c>
      <c r="D20" s="145" t="s">
        <v>444</v>
      </c>
      <c r="E20" s="148" t="s">
        <v>493</v>
      </c>
      <c r="F20" s="148" t="s">
        <v>725</v>
      </c>
      <c r="G20" s="148" t="s">
        <v>520</v>
      </c>
      <c r="H20" s="148" t="s">
        <v>726</v>
      </c>
      <c r="I20" s="148" t="s">
        <v>728</v>
      </c>
      <c r="J20" s="148" t="s">
        <v>553</v>
      </c>
      <c r="K20" s="148" t="s">
        <v>729</v>
      </c>
      <c r="L20" s="148" t="s">
        <v>516</v>
      </c>
      <c r="M20" s="148" t="s">
        <v>730</v>
      </c>
      <c r="N20" s="148" t="s">
        <v>524</v>
      </c>
      <c r="O20" s="148" t="s">
        <v>491</v>
      </c>
    </row>
    <row r="21" spans="1:43" s="87" customFormat="1" ht="10.5" customHeight="1" x14ac:dyDescent="0.2">
      <c r="A21" s="83" t="s">
        <v>71</v>
      </c>
      <c r="B21" s="83" t="s">
        <v>723</v>
      </c>
      <c r="C21" s="84"/>
      <c r="D21" s="70">
        <v>1</v>
      </c>
      <c r="E21" s="95" t="s">
        <v>73</v>
      </c>
      <c r="F21" s="85"/>
      <c r="G21" s="85" t="s">
        <v>73</v>
      </c>
      <c r="H21" s="85" t="s">
        <v>727</v>
      </c>
      <c r="I21" s="85"/>
      <c r="J21" s="85"/>
      <c r="K21" s="85"/>
      <c r="L21" s="85"/>
      <c r="M21" s="85"/>
      <c r="N21" s="85"/>
      <c r="O21" s="85"/>
    </row>
    <row r="22" spans="1:43" s="148" customFormat="1" ht="6.75" x14ac:dyDescent="0.15">
      <c r="A22" s="148" t="s">
        <v>68</v>
      </c>
      <c r="B22" s="148" t="s">
        <v>455</v>
      </c>
      <c r="C22" s="145" t="s">
        <v>443</v>
      </c>
      <c r="D22" s="145" t="s">
        <v>444</v>
      </c>
      <c r="E22" s="148" t="s">
        <v>493</v>
      </c>
      <c r="F22" s="148" t="s">
        <v>491</v>
      </c>
    </row>
    <row r="23" spans="1:43" s="87" customFormat="1" ht="10.5" customHeight="1" x14ac:dyDescent="0.2">
      <c r="A23" s="132" t="s">
        <v>71</v>
      </c>
      <c r="B23" s="132" t="s">
        <v>721</v>
      </c>
      <c r="C23" s="129"/>
      <c r="D23" s="82">
        <v>1</v>
      </c>
      <c r="E23" s="95" t="s">
        <v>73</v>
      </c>
      <c r="F23" s="85"/>
      <c r="G23" s="85"/>
      <c r="H23" s="85"/>
      <c r="I23" s="85"/>
      <c r="J23" s="85"/>
      <c r="K23" s="85"/>
      <c r="L23" s="85"/>
      <c r="M23" s="85"/>
      <c r="N23" s="85"/>
      <c r="O23" s="85"/>
      <c r="P23" s="85"/>
      <c r="Q23" s="85"/>
      <c r="R23" s="85"/>
      <c r="S23" s="85"/>
      <c r="T23" s="85"/>
      <c r="U23" s="85"/>
      <c r="V23" s="85"/>
      <c r="W23" s="85"/>
      <c r="X23" s="72"/>
      <c r="Y23" s="85"/>
      <c r="Z23" s="85"/>
      <c r="AG23" s="85"/>
      <c r="AI23" s="85"/>
    </row>
    <row r="24" spans="1:43" s="150" customFormat="1" ht="6.75" x14ac:dyDescent="0.15">
      <c r="A24" s="150" t="s">
        <v>68</v>
      </c>
      <c r="B24" s="145" t="s">
        <v>455</v>
      </c>
      <c r="C24" s="145" t="s">
        <v>443</v>
      </c>
      <c r="D24" s="145" t="s">
        <v>444</v>
      </c>
      <c r="E24" s="150" t="s">
        <v>493</v>
      </c>
      <c r="F24" s="150" t="s">
        <v>750</v>
      </c>
      <c r="G24" s="150" t="s">
        <v>116</v>
      </c>
      <c r="H24" s="150" t="s">
        <v>117</v>
      </c>
      <c r="I24" s="150" t="s">
        <v>123</v>
      </c>
      <c r="J24" s="150" t="s">
        <v>119</v>
      </c>
      <c r="K24" s="150" t="s">
        <v>221</v>
      </c>
      <c r="L24" s="150" t="s">
        <v>171</v>
      </c>
      <c r="M24" s="150" t="s">
        <v>172</v>
      </c>
      <c r="N24" s="150" t="s">
        <v>177</v>
      </c>
      <c r="O24" s="150" t="s">
        <v>169</v>
      </c>
      <c r="P24" s="150" t="s">
        <v>170</v>
      </c>
      <c r="Q24" s="150" t="s">
        <v>268</v>
      </c>
      <c r="R24" s="150" t="s">
        <v>173</v>
      </c>
      <c r="S24" s="150" t="s">
        <v>174</v>
      </c>
      <c r="T24" s="150" t="s">
        <v>175</v>
      </c>
      <c r="U24" s="150" t="s">
        <v>176</v>
      </c>
      <c r="V24" s="150" t="s">
        <v>178</v>
      </c>
      <c r="W24" s="150" t="s">
        <v>179</v>
      </c>
      <c r="X24" s="150" t="s">
        <v>180</v>
      </c>
      <c r="Y24" s="150" t="s">
        <v>181</v>
      </c>
      <c r="Z24" s="150" t="s">
        <v>182</v>
      </c>
      <c r="AA24" s="150" t="s">
        <v>282</v>
      </c>
      <c r="AB24" s="150" t="s">
        <v>186</v>
      </c>
      <c r="AC24" s="150" t="s">
        <v>187</v>
      </c>
      <c r="AD24" s="150" t="s">
        <v>192</v>
      </c>
      <c r="AE24" s="150" t="s">
        <v>188</v>
      </c>
      <c r="AF24" s="150" t="s">
        <v>198</v>
      </c>
      <c r="AG24" s="150" t="s">
        <v>199</v>
      </c>
      <c r="AH24" s="150" t="s">
        <v>200</v>
      </c>
      <c r="AI24" s="150" t="s">
        <v>189</v>
      </c>
      <c r="AJ24" s="150" t="s">
        <v>190</v>
      </c>
      <c r="AK24" s="150" t="s">
        <v>191</v>
      </c>
      <c r="AL24" s="150" t="s">
        <v>193</v>
      </c>
      <c r="AM24" s="150" t="s">
        <v>194</v>
      </c>
      <c r="AN24" s="150" t="s">
        <v>195</v>
      </c>
      <c r="AO24" s="150" t="s">
        <v>196</v>
      </c>
      <c r="AP24" s="150" t="s">
        <v>197</v>
      </c>
      <c r="AQ24" s="148" t="s">
        <v>491</v>
      </c>
    </row>
    <row r="25" spans="1:43" s="57" customFormat="1" ht="11.25" x14ac:dyDescent="0.2">
      <c r="A25" s="68" t="s">
        <v>71</v>
      </c>
      <c r="B25" s="68" t="s">
        <v>568</v>
      </c>
      <c r="C25" s="69"/>
      <c r="D25" s="70">
        <v>1</v>
      </c>
      <c r="E25" s="96" t="s">
        <v>73</v>
      </c>
      <c r="F25" s="57" t="s">
        <v>73</v>
      </c>
      <c r="G25" s="60"/>
      <c r="H25" s="60" t="s">
        <v>77</v>
      </c>
      <c r="I25" s="60"/>
      <c r="J25" s="60"/>
      <c r="K25" s="60"/>
      <c r="L25" s="139">
        <f ca="1">(INDIRECT("'Data'!BL"&amp;($C$1)))</f>
        <v>0</v>
      </c>
      <c r="M25" s="139">
        <f ca="1">(INDIRECT("'Data'!BX"&amp;($C$1)))</f>
        <v>0</v>
      </c>
      <c r="N25" s="139">
        <f ca="1">(INDIRECT("'Data'!BQ"&amp;($C$1)))</f>
        <v>0</v>
      </c>
      <c r="O25" s="139">
        <f ca="1">(INDIRECT("'Data'!BX"&amp;($C$1)))</f>
        <v>0</v>
      </c>
      <c r="P25" s="139">
        <f ca="1">(INDIRECT("'Data'!BO"&amp;($C$1)))</f>
        <v>0</v>
      </c>
      <c r="Q25" s="139">
        <f ca="1">(INDIRECT("'Data'!BY"&amp;($C$1)))</f>
        <v>0</v>
      </c>
      <c r="R25" s="139">
        <f ca="1">(INDIRECT("'Data'!BZ"&amp;($C$1)))</f>
        <v>0</v>
      </c>
      <c r="S25" s="60"/>
      <c r="T25" s="60"/>
      <c r="U25" s="60"/>
      <c r="V25" s="60"/>
      <c r="W25" s="60"/>
      <c r="X25" s="60"/>
      <c r="Y25" s="59"/>
      <c r="Z25" s="60"/>
      <c r="AA25" s="60"/>
      <c r="AQ25" s="85"/>
    </row>
    <row r="26" spans="1:43" s="148" customFormat="1" ht="6.75" x14ac:dyDescent="0.15">
      <c r="A26" s="148" t="s">
        <v>68</v>
      </c>
      <c r="B26" s="148" t="s">
        <v>455</v>
      </c>
      <c r="C26" s="145" t="s">
        <v>443</v>
      </c>
      <c r="D26" s="145" t="s">
        <v>444</v>
      </c>
      <c r="E26" s="148" t="s">
        <v>493</v>
      </c>
      <c r="F26" s="150" t="s">
        <v>749</v>
      </c>
      <c r="G26" s="150" t="s">
        <v>747</v>
      </c>
      <c r="H26" s="148" t="s">
        <v>491</v>
      </c>
    </row>
    <row r="27" spans="1:43" s="87" customFormat="1" ht="10.5" customHeight="1" x14ac:dyDescent="0.2">
      <c r="A27" s="132" t="s">
        <v>71</v>
      </c>
      <c r="B27" s="132" t="s">
        <v>826</v>
      </c>
      <c r="C27" s="129"/>
      <c r="D27" s="82">
        <v>1</v>
      </c>
      <c r="E27" s="95" t="s">
        <v>73</v>
      </c>
      <c r="F27" s="60">
        <v>12345</v>
      </c>
      <c r="G27" s="60" t="s">
        <v>748</v>
      </c>
      <c r="H27" s="85"/>
      <c r="I27" s="85"/>
      <c r="J27" s="85"/>
      <c r="K27" s="85"/>
      <c r="L27" s="85"/>
      <c r="M27" s="85"/>
      <c r="N27" s="85"/>
      <c r="O27" s="85"/>
      <c r="P27" s="85"/>
      <c r="Q27" s="85"/>
      <c r="R27" s="85"/>
      <c r="S27" s="85"/>
      <c r="T27" s="85"/>
      <c r="U27" s="85"/>
      <c r="V27" s="85"/>
      <c r="W27" s="85"/>
      <c r="X27" s="72"/>
      <c r="Y27" s="85"/>
      <c r="Z27" s="85"/>
      <c r="AG27" s="85"/>
      <c r="AI27" s="85"/>
    </row>
    <row r="28" spans="1:43" s="145" customFormat="1" ht="6.75" x14ac:dyDescent="0.15">
      <c r="A28" s="145" t="s">
        <v>68</v>
      </c>
      <c r="B28" s="145" t="s">
        <v>455</v>
      </c>
      <c r="C28" s="145" t="s">
        <v>443</v>
      </c>
      <c r="D28" s="145" t="s">
        <v>444</v>
      </c>
      <c r="E28" s="145" t="s">
        <v>493</v>
      </c>
      <c r="F28" s="148" t="s">
        <v>491</v>
      </c>
    </row>
    <row r="29" spans="1:43" s="78" customFormat="1" ht="11.25" x14ac:dyDescent="0.2">
      <c r="A29" s="68" t="s">
        <v>71</v>
      </c>
      <c r="B29" s="68" t="s">
        <v>600</v>
      </c>
      <c r="C29" s="69"/>
      <c r="D29" s="70">
        <v>1</v>
      </c>
      <c r="E29" s="94" t="s">
        <v>73</v>
      </c>
      <c r="F29" s="85"/>
    </row>
    <row r="30" spans="1:43" s="145" customFormat="1" ht="6.75" customHeight="1" x14ac:dyDescent="0.15">
      <c r="A30" s="145" t="s">
        <v>68</v>
      </c>
      <c r="B30" s="145" t="s">
        <v>69</v>
      </c>
      <c r="C30" s="145" t="s">
        <v>443</v>
      </c>
      <c r="D30" s="145" t="s">
        <v>444</v>
      </c>
      <c r="E30" s="145" t="s">
        <v>493</v>
      </c>
      <c r="F30" s="145" t="s">
        <v>697</v>
      </c>
      <c r="G30" s="145" t="s">
        <v>698</v>
      </c>
      <c r="H30" s="145" t="s">
        <v>699</v>
      </c>
      <c r="I30" s="145" t="s">
        <v>700</v>
      </c>
      <c r="J30" s="145" t="s">
        <v>701</v>
      </c>
      <c r="K30" s="206" t="s">
        <v>838</v>
      </c>
      <c r="L30" s="145" t="s">
        <v>839</v>
      </c>
      <c r="M30" s="145" t="s">
        <v>471</v>
      </c>
      <c r="N30" s="145" t="s">
        <v>475</v>
      </c>
      <c r="O30" s="145" t="s">
        <v>491</v>
      </c>
    </row>
    <row r="31" spans="1:43" s="57" customFormat="1" ht="11.25" customHeight="1" x14ac:dyDescent="0.2">
      <c r="A31" s="118" t="s">
        <v>71</v>
      </c>
      <c r="B31" s="118" t="s">
        <v>144</v>
      </c>
      <c r="C31" s="118"/>
      <c r="D31" s="82">
        <v>1</v>
      </c>
      <c r="E31" s="94" t="s">
        <v>73</v>
      </c>
      <c r="F31" s="60" t="s">
        <v>703</v>
      </c>
      <c r="G31" s="60" t="s">
        <v>165</v>
      </c>
      <c r="H31" s="60" t="s">
        <v>73</v>
      </c>
      <c r="I31" s="60" t="s">
        <v>73</v>
      </c>
      <c r="J31" s="60" t="s">
        <v>73</v>
      </c>
      <c r="K31" s="207"/>
      <c r="L31" s="60" t="s">
        <v>73</v>
      </c>
      <c r="M31" s="60" t="s">
        <v>702</v>
      </c>
      <c r="N31" s="48">
        <f ca="1">(INDIRECT("'Data'!CD"&amp;($C$1)))</f>
        <v>0</v>
      </c>
      <c r="O31" s="55"/>
      <c r="P31" s="60"/>
      <c r="Q31" s="60"/>
      <c r="R31" s="60"/>
      <c r="S31" s="60"/>
      <c r="T31" s="60"/>
    </row>
    <row r="32" spans="1:43" s="145" customFormat="1" ht="6.75" x14ac:dyDescent="0.15">
      <c r="A32" s="145" t="s">
        <v>68</v>
      </c>
      <c r="B32" s="145" t="s">
        <v>69</v>
      </c>
      <c r="C32" s="145" t="s">
        <v>443</v>
      </c>
      <c r="D32" s="145" t="s">
        <v>444</v>
      </c>
      <c r="E32" s="145" t="s">
        <v>493</v>
      </c>
      <c r="F32" s="145" t="s">
        <v>475</v>
      </c>
      <c r="G32" s="145" t="s">
        <v>84</v>
      </c>
      <c r="H32" s="145" t="s">
        <v>82</v>
      </c>
      <c r="I32" s="145" t="s">
        <v>145</v>
      </c>
      <c r="J32" s="145" t="s">
        <v>146</v>
      </c>
      <c r="K32" s="145" t="s">
        <v>147</v>
      </c>
      <c r="L32" s="145" t="s">
        <v>148</v>
      </c>
      <c r="M32" s="145" t="s">
        <v>326</v>
      </c>
      <c r="N32" s="145" t="s">
        <v>149</v>
      </c>
      <c r="O32" s="145" t="s">
        <v>840</v>
      </c>
      <c r="P32" s="145" t="s">
        <v>841</v>
      </c>
      <c r="Q32" s="145" t="s">
        <v>491</v>
      </c>
    </row>
    <row r="33" spans="1:19" s="57" customFormat="1" ht="11.25" customHeight="1" x14ac:dyDescent="0.2">
      <c r="A33" s="118" t="s">
        <v>71</v>
      </c>
      <c r="B33" s="118" t="s">
        <v>156</v>
      </c>
      <c r="C33" s="118"/>
      <c r="D33" s="82">
        <v>1</v>
      </c>
      <c r="E33" s="94" t="s">
        <v>73</v>
      </c>
      <c r="F33" s="48">
        <f ca="1">(INDIRECT("'Data'!CD"&amp;($C$1)))</f>
        <v>0</v>
      </c>
      <c r="G33" s="130" t="str">
        <f ca="1">(INDIRECT("'Data'!F"&amp;($C$1)))</f>
        <v>EXCHANGE GAS METER TO SECURE SMART CREDIT</v>
      </c>
      <c r="H33" s="130" t="str">
        <f ca="1">(INDIRECT("'Data'!AW"&amp;($C$1)))</f>
        <v>EXCH1 ROAD</v>
      </c>
      <c r="I33" s="49" t="str">
        <f ca="1">(INDIRECT("'Data'!X"&amp;($C$1)))</f>
        <v>SPRK</v>
      </c>
      <c r="J33" s="49">
        <f ca="1">(INDIRECT("'Data'!BG"&amp;($C$1)))</f>
        <v>0</v>
      </c>
      <c r="K33" s="49">
        <f ca="1">(INDIRECT("'Data'!BL"&amp;($C$1)))</f>
        <v>0</v>
      </c>
      <c r="L33" s="59" t="s">
        <v>746</v>
      </c>
      <c r="M33" s="46"/>
      <c r="N33" s="46"/>
      <c r="O33" s="60" t="s">
        <v>73</v>
      </c>
      <c r="P33" s="59" t="s">
        <v>73</v>
      </c>
      <c r="Q33" s="55"/>
    </row>
    <row r="34" spans="1:19" s="145" customFormat="1" ht="6.75" x14ac:dyDescent="0.15">
      <c r="A34" s="145" t="s">
        <v>68</v>
      </c>
      <c r="B34" s="145" t="s">
        <v>69</v>
      </c>
      <c r="C34" s="145" t="s">
        <v>443</v>
      </c>
      <c r="D34" s="145" t="s">
        <v>444</v>
      </c>
      <c r="E34" s="145" t="s">
        <v>493</v>
      </c>
      <c r="F34" s="145" t="s">
        <v>707</v>
      </c>
      <c r="G34" s="145" t="s">
        <v>708</v>
      </c>
      <c r="H34" s="145" t="s">
        <v>709</v>
      </c>
      <c r="I34" s="145" t="s">
        <v>710</v>
      </c>
      <c r="J34" s="145" t="s">
        <v>711</v>
      </c>
      <c r="K34" s="145" t="s">
        <v>712</v>
      </c>
      <c r="L34" s="145" t="s">
        <v>713</v>
      </c>
      <c r="M34" s="145" t="s">
        <v>475</v>
      </c>
      <c r="N34" s="145" t="s">
        <v>491</v>
      </c>
    </row>
    <row r="35" spans="1:19" s="57" customFormat="1" ht="11.25" customHeight="1" x14ac:dyDescent="0.2">
      <c r="A35" s="118" t="s">
        <v>71</v>
      </c>
      <c r="B35" s="118" t="s">
        <v>706</v>
      </c>
      <c r="C35" s="118"/>
      <c r="D35" s="117">
        <v>1</v>
      </c>
      <c r="E35" s="94" t="s">
        <v>73</v>
      </c>
      <c r="F35" s="60" t="s">
        <v>73</v>
      </c>
      <c r="G35" s="60" t="s">
        <v>75</v>
      </c>
      <c r="H35" s="60" t="s">
        <v>714</v>
      </c>
      <c r="I35" s="60" t="s">
        <v>155</v>
      </c>
      <c r="J35" s="60" t="s">
        <v>75</v>
      </c>
      <c r="K35" s="60" t="s">
        <v>643</v>
      </c>
      <c r="L35" s="60" t="s">
        <v>75</v>
      </c>
      <c r="M35" s="48">
        <f ca="1">(INDIRECT("'Data'!CD"&amp;($C$1)))</f>
        <v>0</v>
      </c>
      <c r="N35" s="55"/>
      <c r="O35" s="60"/>
      <c r="P35" s="60"/>
      <c r="Q35" s="60"/>
      <c r="R35" s="60"/>
      <c r="S35" s="60"/>
    </row>
    <row r="36" spans="1:19" s="145" customFormat="1" ht="6.75" x14ac:dyDescent="0.15">
      <c r="A36" s="145" t="s">
        <v>68</v>
      </c>
      <c r="B36" s="145" t="s">
        <v>69</v>
      </c>
      <c r="C36" s="145" t="s">
        <v>443</v>
      </c>
      <c r="D36" s="145" t="s">
        <v>444</v>
      </c>
      <c r="E36" s="145" t="s">
        <v>493</v>
      </c>
      <c r="F36" s="145" t="s">
        <v>85</v>
      </c>
    </row>
    <row r="37" spans="1:19" s="57" customFormat="1" ht="11.25" customHeight="1" x14ac:dyDescent="0.2">
      <c r="A37" s="57" t="s">
        <v>71</v>
      </c>
      <c r="B37" s="57" t="s">
        <v>76</v>
      </c>
      <c r="D37" s="81">
        <v>1</v>
      </c>
      <c r="E37" s="94" t="s">
        <v>73</v>
      </c>
      <c r="F37" s="60" t="s">
        <v>86</v>
      </c>
      <c r="J37" s="131"/>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300-00000000000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xr:uid="{00000000-0002-0000-0300-000001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300-000002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300-000003000000}"/>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xr:uid="{00000000-0002-0000-0300-000004000000}"/>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9" tint="-0.499984740745262"/>
  </sheetPr>
  <dimension ref="A1:AU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45" customFormat="1" ht="6.75" x14ac:dyDescent="0.15">
      <c r="A1" s="145" t="s">
        <v>494</v>
      </c>
      <c r="B1" s="145" t="s">
        <v>95</v>
      </c>
      <c r="C1" s="145" t="s">
        <v>240</v>
      </c>
      <c r="D1" s="145" t="s">
        <v>49</v>
      </c>
      <c r="G1" s="146"/>
      <c r="I1" s="147"/>
    </row>
    <row r="2" spans="1:26" s="145" customFormat="1" ht="6.75" x14ac:dyDescent="0.15">
      <c r="A2" s="145" t="s">
        <v>68</v>
      </c>
      <c r="B2" s="145" t="s">
        <v>455</v>
      </c>
      <c r="C2" s="145" t="s">
        <v>443</v>
      </c>
      <c r="D2" s="145" t="s">
        <v>444</v>
      </c>
      <c r="E2" s="145" t="s">
        <v>493</v>
      </c>
      <c r="F2" s="145" t="s">
        <v>445</v>
      </c>
      <c r="G2" s="145" t="s">
        <v>115</v>
      </c>
      <c r="H2" s="145" t="s">
        <v>436</v>
      </c>
      <c r="I2" s="145" t="s">
        <v>446</v>
      </c>
    </row>
    <row r="3" spans="1:26" s="44" customFormat="1" ht="11.25"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46"/>
      <c r="K3" s="46"/>
      <c r="L3" s="46"/>
      <c r="M3" s="46"/>
      <c r="N3" s="46"/>
      <c r="O3" s="46"/>
      <c r="P3" s="46"/>
      <c r="Q3" s="46"/>
      <c r="R3" s="47"/>
      <c r="S3" s="46"/>
      <c r="T3" s="46"/>
      <c r="U3" s="46"/>
    </row>
    <row r="4" spans="1:26" s="145" customFormat="1" ht="6.75" x14ac:dyDescent="0.15">
      <c r="A4" s="145" t="s">
        <v>68</v>
      </c>
      <c r="B4" s="145" t="s">
        <v>455</v>
      </c>
      <c r="C4" s="145" t="s">
        <v>443</v>
      </c>
      <c r="D4" s="145" t="s">
        <v>444</v>
      </c>
      <c r="E4" s="145" t="s">
        <v>493</v>
      </c>
      <c r="F4" s="145" t="s">
        <v>454</v>
      </c>
      <c r="G4" s="145" t="s">
        <v>453</v>
      </c>
      <c r="H4" s="145" t="s">
        <v>447</v>
      </c>
      <c r="I4" s="145" t="s">
        <v>448</v>
      </c>
      <c r="J4" s="145" t="s">
        <v>450</v>
      </c>
      <c r="K4" s="145" t="s">
        <v>451</v>
      </c>
      <c r="L4" s="145" t="s">
        <v>452</v>
      </c>
      <c r="M4" s="145" t="s">
        <v>442</v>
      </c>
      <c r="N4" s="145" t="s">
        <v>37</v>
      </c>
      <c r="O4" s="145" t="s">
        <v>441</v>
      </c>
      <c r="P4" s="148" t="s">
        <v>491</v>
      </c>
    </row>
    <row r="5" spans="1:26" s="44" customFormat="1" ht="11.25" customHeight="1" x14ac:dyDescent="0.2">
      <c r="A5" s="64" t="s">
        <v>71</v>
      </c>
      <c r="B5" s="64" t="s">
        <v>495</v>
      </c>
      <c r="C5" s="64"/>
      <c r="D5" s="65">
        <v>1</v>
      </c>
      <c r="E5" s="93" t="s">
        <v>73</v>
      </c>
      <c r="F5" s="49" t="str">
        <f ca="1">(INDIRECT("'Data'!C"&amp;($C$1)))</f>
        <v>Automation</v>
      </c>
      <c r="G5" s="48"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3518</v>
      </c>
      <c r="N5" s="48" t="str">
        <f ca="1">(INDIRECT("'Data'!AW"&amp;($C$1)))</f>
        <v>EXCH1 ROAD</v>
      </c>
      <c r="O5" s="49" t="str">
        <f ca="1">CONCATENATE(RIGHT((INDIRECT("'Data'!X"&amp;($C$1))),5),"-",RIGHT(R7&amp;(INDIRECT("'Data'!Y"&amp;($C$1))),5))</f>
        <v>FRST--3518</v>
      </c>
      <c r="P5" s="85"/>
      <c r="Q5" s="46"/>
      <c r="R5" s="46"/>
      <c r="S5" s="46"/>
    </row>
    <row r="6" spans="1:26" s="145" customFormat="1" ht="6.75" x14ac:dyDescent="0.15">
      <c r="A6" s="145" t="s">
        <v>68</v>
      </c>
      <c r="B6" s="145" t="s">
        <v>455</v>
      </c>
      <c r="C6" s="145" t="s">
        <v>443</v>
      </c>
      <c r="D6" s="145" t="s">
        <v>444</v>
      </c>
      <c r="E6" s="145" t="s">
        <v>493</v>
      </c>
      <c r="F6" s="145" t="s">
        <v>447</v>
      </c>
      <c r="G6" s="145" t="s">
        <v>450</v>
      </c>
      <c r="H6" s="145" t="s">
        <v>451</v>
      </c>
      <c r="I6" s="145" t="s">
        <v>452</v>
      </c>
      <c r="J6" s="145" t="s">
        <v>442</v>
      </c>
      <c r="K6" s="145" t="s">
        <v>37</v>
      </c>
      <c r="L6" s="145" t="s">
        <v>448</v>
      </c>
      <c r="M6" s="145" t="s">
        <v>449</v>
      </c>
      <c r="N6" s="145" t="s">
        <v>439</v>
      </c>
      <c r="O6" s="145" t="s">
        <v>78</v>
      </c>
      <c r="P6" s="145" t="s">
        <v>79</v>
      </c>
      <c r="Q6" s="145" t="s">
        <v>87</v>
      </c>
      <c r="R6" s="145" t="s">
        <v>80</v>
      </c>
      <c r="S6" s="145" t="s">
        <v>110</v>
      </c>
      <c r="T6" s="145" t="s">
        <v>114</v>
      </c>
      <c r="U6" s="145" t="s">
        <v>90</v>
      </c>
      <c r="V6" s="145" t="s">
        <v>81</v>
      </c>
      <c r="W6" s="145" t="s">
        <v>88</v>
      </c>
      <c r="X6" s="145" t="s">
        <v>276</v>
      </c>
      <c r="Y6" s="145" t="s">
        <v>457</v>
      </c>
      <c r="Z6" s="148" t="s">
        <v>491</v>
      </c>
    </row>
    <row r="7" spans="1:26"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3518</v>
      </c>
      <c r="K7" s="48" t="str">
        <f ca="1">(INDIRECT("'Data'!AW"&amp;($C$1)))</f>
        <v>EXCH1 ROAD</v>
      </c>
      <c r="L7" s="48" t="str">
        <f ca="1">(INDIRECT("'Data'!E"&amp;($C$1)))</f>
        <v>S</v>
      </c>
      <c r="M7" s="48" t="str">
        <f ca="1">(INDIRECT("'Data'!AI"&amp;($C$1)))</f>
        <v>2019-04-26 08:00</v>
      </c>
      <c r="N7" s="49">
        <f ca="1">(INDIRECT("'Data'!BG"&amp;($C$1)))</f>
        <v>0</v>
      </c>
      <c r="O7" s="49" t="str">
        <f ca="1">(INDIRECT("'Data'!AH"&amp;($C$1)))</f>
        <v>Site_Contact_3518</v>
      </c>
      <c r="P7" s="48" t="str">
        <f ca="1">(INDIRECT("'Data'!AE"&amp;($C$1)))</f>
        <v>LAST_METER-3518</v>
      </c>
      <c r="Q7" s="48" t="str">
        <f ca="1">(INDIRECT("'Data'!DK"&amp;($C$1)))</f>
        <v>G</v>
      </c>
      <c r="R7" s="48">
        <f ca="1">(INDIRECT("'Data'!D"&amp;($C$1)))</f>
        <v>3518</v>
      </c>
      <c r="S7" s="48" t="str">
        <f ca="1">INDIRECT("'Data'!M"&amp;($C$1))</f>
        <v>Q</v>
      </c>
      <c r="T7" s="48" t="str">
        <f ca="1">INDIRECT("'Data'!AM"&amp;($C$1))</f>
        <v>01153518</v>
      </c>
      <c r="U7" s="48" t="str">
        <f ca="1">(INDIRECT("'Data'!N"&amp;($C$1)))</f>
        <v>UK_1_F</v>
      </c>
      <c r="V7" s="48">
        <f ca="1">(INDIRECT("'Data'!O"&amp;($C$1)))</f>
        <v>0</v>
      </c>
      <c r="W7" s="48" t="str">
        <f ca="1">(INDIRECT("'Data'!P"&amp;($C$1)))</f>
        <v>SN-3518</v>
      </c>
      <c r="X7" s="48" t="str">
        <f ca="1">(INDIRECT("'Data'!C"&amp;($C$1)))</f>
        <v>Automation</v>
      </c>
      <c r="Y7" s="48" t="str">
        <f ca="1">(INDIRECT("'Data'!Q"&amp;($C$1)))</f>
        <v>SI-3518</v>
      </c>
      <c r="Z7" s="85"/>
    </row>
    <row r="8" spans="1:26" s="145" customFormat="1" ht="6.75" x14ac:dyDescent="0.15">
      <c r="A8" s="145" t="s">
        <v>68</v>
      </c>
      <c r="B8" s="145" t="s">
        <v>455</v>
      </c>
      <c r="C8" s="145" t="s">
        <v>443</v>
      </c>
      <c r="D8" s="145" t="s">
        <v>444</v>
      </c>
      <c r="E8" s="145" t="s">
        <v>493</v>
      </c>
      <c r="F8" s="145" t="s">
        <v>447</v>
      </c>
      <c r="G8" s="145" t="s">
        <v>37</v>
      </c>
      <c r="H8" s="145" t="s">
        <v>458</v>
      </c>
      <c r="I8" s="145" t="s">
        <v>459</v>
      </c>
      <c r="J8" s="145" t="s">
        <v>261</v>
      </c>
      <c r="K8" s="145" t="s">
        <v>460</v>
      </c>
      <c r="L8" s="148" t="s">
        <v>491</v>
      </c>
    </row>
    <row r="9" spans="1:26"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5"/>
    </row>
    <row r="10" spans="1:26" s="145" customFormat="1" ht="6.75" x14ac:dyDescent="0.15">
      <c r="A10" s="145" t="s">
        <v>68</v>
      </c>
      <c r="B10" s="145" t="s">
        <v>455</v>
      </c>
      <c r="C10" s="145" t="s">
        <v>443</v>
      </c>
      <c r="D10" s="145" t="s">
        <v>444</v>
      </c>
      <c r="E10" s="145" t="s">
        <v>493</v>
      </c>
      <c r="F10" s="145" t="s">
        <v>262</v>
      </c>
      <c r="G10" s="145" t="s">
        <v>447</v>
      </c>
      <c r="H10" s="145" t="s">
        <v>37</v>
      </c>
      <c r="I10" s="145" t="s">
        <v>43</v>
      </c>
      <c r="J10" s="145" t="s">
        <v>462</v>
      </c>
      <c r="K10" s="145" t="s">
        <v>465</v>
      </c>
      <c r="L10" s="145" t="s">
        <v>460</v>
      </c>
      <c r="M10" s="148" t="s">
        <v>491</v>
      </c>
    </row>
    <row r="11" spans="1:26" s="44" customFormat="1" ht="11.25" customHeight="1" x14ac:dyDescent="0.2">
      <c r="A11" s="64" t="s">
        <v>71</v>
      </c>
      <c r="B11" s="64" t="s">
        <v>498</v>
      </c>
      <c r="C11" s="64"/>
      <c r="D11" s="65">
        <v>1</v>
      </c>
      <c r="E11" s="94" t="s">
        <v>73</v>
      </c>
      <c r="F11" s="49">
        <f ca="1">(INDIRECT("'Data'!BG"&amp;($C$1)))</f>
        <v>0</v>
      </c>
      <c r="G11" s="49" t="str">
        <f ca="1">(INDIRECT("'Data'!F"&amp;($C$1)))</f>
        <v>EXCHANGE GAS METER TO SECURE SMART CREDIT</v>
      </c>
      <c r="H11" s="48" t="str">
        <f ca="1">(INDIRECT("'Data'!AW"&amp;($C$1)))</f>
        <v>EXCH1 ROAD</v>
      </c>
      <c r="I11" s="49" t="str">
        <f ca="1">(INDIRECT("'Data'!AH"&amp;($C$1)))</f>
        <v>Site_Contact_3518</v>
      </c>
      <c r="J11" s="49" t="str">
        <f ca="1">(INDIRECT("'Data'!BA"&amp;($C$1)))</f>
        <v>C</v>
      </c>
      <c r="K11" s="49">
        <f ca="1">(INDIRECT("'Data'!BD"&amp;($C$1)))</f>
        <v>0</v>
      </c>
      <c r="L11" s="49">
        <f ca="1">(INDIRECT("'Data'!BO"&amp;($C$1)))</f>
        <v>0</v>
      </c>
      <c r="M11" s="85"/>
    </row>
    <row r="12" spans="1:26" s="145" customFormat="1" ht="6.75" x14ac:dyDescent="0.15">
      <c r="A12" s="145" t="s">
        <v>68</v>
      </c>
      <c r="B12" s="145" t="s">
        <v>455</v>
      </c>
      <c r="C12" s="145" t="s">
        <v>443</v>
      </c>
      <c r="D12" s="145" t="s">
        <v>444</v>
      </c>
      <c r="E12" s="145" t="s">
        <v>493</v>
      </c>
      <c r="F12" s="145" t="s">
        <v>475</v>
      </c>
      <c r="G12" s="145" t="s">
        <v>439</v>
      </c>
      <c r="H12" s="145" t="s">
        <v>43</v>
      </c>
      <c r="I12" s="145" t="s">
        <v>447</v>
      </c>
      <c r="J12" s="145" t="s">
        <v>450</v>
      </c>
      <c r="K12" s="145" t="s">
        <v>451</v>
      </c>
      <c r="L12" s="145" t="s">
        <v>452</v>
      </c>
      <c r="M12" s="145" t="s">
        <v>442</v>
      </c>
      <c r="N12" s="145" t="s">
        <v>37</v>
      </c>
      <c r="O12" s="145" t="s">
        <v>468</v>
      </c>
      <c r="P12" s="149" t="s">
        <v>469</v>
      </c>
      <c r="Q12" s="149" t="s">
        <v>471</v>
      </c>
      <c r="R12" s="145" t="s">
        <v>473</v>
      </c>
      <c r="S12" s="149" t="s">
        <v>470</v>
      </c>
      <c r="T12" s="145" t="s">
        <v>472</v>
      </c>
      <c r="U12" s="148" t="s">
        <v>491</v>
      </c>
    </row>
    <row r="13" spans="1:26" s="57" customFormat="1" ht="11.25" customHeight="1" x14ac:dyDescent="0.2">
      <c r="A13" s="64" t="s">
        <v>71</v>
      </c>
      <c r="B13" s="64" t="s">
        <v>467</v>
      </c>
      <c r="C13" s="64"/>
      <c r="D13" s="66">
        <v>1</v>
      </c>
      <c r="E13" s="94" t="s">
        <v>73</v>
      </c>
      <c r="F13" s="48">
        <f ca="1">(INDIRECT("'Data'!CD"&amp;($C$1)))</f>
        <v>0</v>
      </c>
      <c r="G13" s="49">
        <f ca="1">(INDIRECT("'Data'!BG"&amp;($C$1)))</f>
        <v>0</v>
      </c>
      <c r="H13" s="49" t="str">
        <f ca="1">(INDIRECT("'Data'!AH"&amp;($C$1)))</f>
        <v>Site_Contact_3518</v>
      </c>
      <c r="I13" s="49" t="str">
        <f ca="1">(INDIRECT("'Data'!F"&amp;($C$1)))</f>
        <v>EXCHANGE GAS METER TO SECURE SMART CREDIT</v>
      </c>
      <c r="J13" s="48">
        <f ca="1">(INDIRECT("'Data'!AS"&amp;($C$1)))</f>
        <v>0</v>
      </c>
      <c r="K13" s="48" t="str">
        <f ca="1">(INDIRECT("'Data'!AT"&amp;($C$1)))</f>
        <v>TPJR00530</v>
      </c>
      <c r="L13" s="48">
        <f ca="1">(INDIRECT("'Data'!AU"&amp;($C$1)))</f>
        <v>0</v>
      </c>
      <c r="M13" s="48">
        <f ca="1">(INDIRECT("'Data'!AV"&amp;($C$1)))</f>
        <v>3518</v>
      </c>
      <c r="N13" s="48" t="str">
        <f ca="1">(INDIRECT("'Data'!AW"&amp;($C$1)))</f>
        <v>EXCH1 ROAD</v>
      </c>
      <c r="O13" s="57" t="s">
        <v>73</v>
      </c>
      <c r="P13" s="58" t="s">
        <v>73</v>
      </c>
      <c r="Q13" s="58" t="s">
        <v>265</v>
      </c>
      <c r="R13" s="59" t="s">
        <v>73</v>
      </c>
      <c r="S13" s="58" t="s">
        <v>75</v>
      </c>
      <c r="T13" s="60" t="s">
        <v>100</v>
      </c>
      <c r="U13" s="85"/>
    </row>
    <row r="14" spans="1:26" s="145" customFormat="1" ht="6.75" x14ac:dyDescent="0.15">
      <c r="A14" s="145" t="s">
        <v>68</v>
      </c>
      <c r="B14" s="145" t="s">
        <v>455</v>
      </c>
      <c r="C14" s="145" t="s">
        <v>443</v>
      </c>
      <c r="D14" s="145" t="s">
        <v>444</v>
      </c>
      <c r="E14" s="145" t="s">
        <v>493</v>
      </c>
      <c r="F14" s="145" t="s">
        <v>475</v>
      </c>
      <c r="G14" s="145" t="s">
        <v>439</v>
      </c>
      <c r="H14" s="145" t="s">
        <v>447</v>
      </c>
      <c r="I14" s="145" t="s">
        <v>37</v>
      </c>
      <c r="J14" s="145" t="s">
        <v>94</v>
      </c>
      <c r="K14" s="148" t="s">
        <v>491</v>
      </c>
      <c r="L14" s="149" t="s">
        <v>77</v>
      </c>
      <c r="M14" s="149" t="s">
        <v>77</v>
      </c>
      <c r="N14" s="147" t="s">
        <v>77</v>
      </c>
      <c r="O14" s="149"/>
      <c r="P14" s="149"/>
      <c r="R14" s="149"/>
    </row>
    <row r="15" spans="1:26" s="44" customFormat="1" ht="11.25" customHeight="1" x14ac:dyDescent="0.2">
      <c r="A15" s="64" t="s">
        <v>71</v>
      </c>
      <c r="B15" s="64" t="s">
        <v>474</v>
      </c>
      <c r="C15" s="64"/>
      <c r="D15" s="66">
        <v>1</v>
      </c>
      <c r="E15" s="93" t="s">
        <v>73</v>
      </c>
      <c r="F15" s="48">
        <f ca="1">(INDIRECT("'Data'!CD"&amp;($C$1)))</f>
        <v>0</v>
      </c>
      <c r="G15" s="49">
        <f ca="1">(INDIRECT("'Data'!BG"&amp;($C$1)))</f>
        <v>0</v>
      </c>
      <c r="H15" s="49" t="str">
        <f ca="1">(INDIRECT("'Data'!F"&amp;($C$1)))</f>
        <v>EXCHANGE GAS METER TO SECURE SMART CREDIT</v>
      </c>
      <c r="I15" s="48" t="str">
        <f ca="1">(INDIRECT("'Data'!AW"&amp;($C$1)))</f>
        <v>EXCH1 ROAD</v>
      </c>
      <c r="J15" s="44" t="s">
        <v>73</v>
      </c>
      <c r="K15" s="85"/>
      <c r="L15" s="61"/>
      <c r="M15" s="61"/>
      <c r="N15" s="62"/>
      <c r="O15" s="61"/>
      <c r="P15" s="61"/>
      <c r="Q15" s="47"/>
      <c r="R15" s="61"/>
    </row>
    <row r="16" spans="1:26" s="145" customFormat="1" ht="6.75" x14ac:dyDescent="0.15">
      <c r="A16" s="145" t="s">
        <v>68</v>
      </c>
      <c r="B16" s="145" t="s">
        <v>455</v>
      </c>
      <c r="C16" s="145" t="s">
        <v>443</v>
      </c>
      <c r="D16" s="145" t="s">
        <v>444</v>
      </c>
      <c r="E16" s="145" t="s">
        <v>493</v>
      </c>
      <c r="F16" s="145" t="s">
        <v>477</v>
      </c>
      <c r="G16" s="145" t="s">
        <v>478</v>
      </c>
      <c r="H16" s="149" t="s">
        <v>480</v>
      </c>
      <c r="I16" s="145" t="s">
        <v>96</v>
      </c>
      <c r="J16" s="149" t="s">
        <v>481</v>
      </c>
      <c r="K16" s="149" t="s">
        <v>482</v>
      </c>
      <c r="L16" s="145" t="s">
        <v>475</v>
      </c>
      <c r="M16" s="145" t="s">
        <v>817</v>
      </c>
      <c r="N16" s="145" t="s">
        <v>479</v>
      </c>
      <c r="O16" s="145" t="s">
        <v>483</v>
      </c>
      <c r="P16" s="148" t="s">
        <v>491</v>
      </c>
    </row>
    <row r="17" spans="1:45"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5" s="148" customFormat="1" ht="6.75" x14ac:dyDescent="0.15">
      <c r="A18" s="148" t="s">
        <v>68</v>
      </c>
      <c r="B18" s="148" t="s">
        <v>455</v>
      </c>
      <c r="C18" s="145" t="s">
        <v>443</v>
      </c>
      <c r="D18" s="145" t="s">
        <v>444</v>
      </c>
      <c r="E18" s="148" t="s">
        <v>493</v>
      </c>
      <c r="F18" s="148" t="s">
        <v>501</v>
      </c>
      <c r="G18" s="148" t="s">
        <v>507</v>
      </c>
      <c r="H18" s="148" t="s">
        <v>506</v>
      </c>
      <c r="I18" s="148" t="s">
        <v>724</v>
      </c>
      <c r="J18" s="148" t="s">
        <v>508</v>
      </c>
      <c r="K18" s="148" t="s">
        <v>504</v>
      </c>
      <c r="L18" s="148" t="s">
        <v>722</v>
      </c>
      <c r="M18" s="148" t="s">
        <v>491</v>
      </c>
    </row>
    <row r="19" spans="1:45" s="87" customFormat="1" ht="10.5" customHeight="1" x14ac:dyDescent="0.2">
      <c r="A19" s="83" t="s">
        <v>71</v>
      </c>
      <c r="B19" s="83" t="s">
        <v>720</v>
      </c>
      <c r="C19" s="84"/>
      <c r="D19" s="70">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5" s="148" customFormat="1" ht="6.75" x14ac:dyDescent="0.15">
      <c r="A20" s="148" t="s">
        <v>68</v>
      </c>
      <c r="B20" s="148" t="s">
        <v>455</v>
      </c>
      <c r="C20" s="145" t="s">
        <v>443</v>
      </c>
      <c r="D20" s="145" t="s">
        <v>444</v>
      </c>
      <c r="E20" s="148" t="s">
        <v>493</v>
      </c>
      <c r="F20" s="148" t="s">
        <v>725</v>
      </c>
      <c r="G20" s="148" t="s">
        <v>520</v>
      </c>
      <c r="H20" s="148" t="s">
        <v>726</v>
      </c>
      <c r="I20" s="148" t="s">
        <v>728</v>
      </c>
      <c r="J20" s="148" t="s">
        <v>553</v>
      </c>
      <c r="K20" s="148" t="s">
        <v>729</v>
      </c>
      <c r="L20" s="148" t="s">
        <v>516</v>
      </c>
      <c r="M20" s="148" t="s">
        <v>730</v>
      </c>
      <c r="N20" s="148" t="s">
        <v>524</v>
      </c>
      <c r="O20" s="148" t="s">
        <v>491</v>
      </c>
    </row>
    <row r="21" spans="1:45" s="87" customFormat="1" ht="10.5" customHeight="1" x14ac:dyDescent="0.2">
      <c r="A21" s="83" t="s">
        <v>71</v>
      </c>
      <c r="B21" s="83" t="s">
        <v>723</v>
      </c>
      <c r="C21" s="84"/>
      <c r="D21" s="70">
        <v>1</v>
      </c>
      <c r="E21" s="95" t="s">
        <v>73</v>
      </c>
      <c r="F21" s="85"/>
      <c r="G21" s="85" t="s">
        <v>73</v>
      </c>
      <c r="H21" s="85" t="s">
        <v>727</v>
      </c>
      <c r="I21" s="85"/>
      <c r="J21" s="85"/>
      <c r="K21" s="85"/>
      <c r="L21" s="85"/>
      <c r="M21" s="85"/>
      <c r="N21" s="85"/>
      <c r="O21" s="85"/>
    </row>
    <row r="22" spans="1:45" s="148" customFormat="1" ht="6.75" x14ac:dyDescent="0.15">
      <c r="A22" s="148" t="s">
        <v>68</v>
      </c>
      <c r="B22" s="148" t="s">
        <v>455</v>
      </c>
      <c r="C22" s="145" t="s">
        <v>443</v>
      </c>
      <c r="D22" s="145" t="s">
        <v>444</v>
      </c>
      <c r="E22" s="148" t="s">
        <v>493</v>
      </c>
      <c r="F22" s="148" t="s">
        <v>751</v>
      </c>
      <c r="G22" s="148" t="s">
        <v>752</v>
      </c>
      <c r="H22" s="148" t="s">
        <v>491</v>
      </c>
    </row>
    <row r="23" spans="1:45" s="87" customFormat="1" ht="10.5" customHeight="1" x14ac:dyDescent="0.2">
      <c r="A23" s="83" t="s">
        <v>71</v>
      </c>
      <c r="B23" s="83" t="s">
        <v>783</v>
      </c>
      <c r="C23" s="84"/>
      <c r="D23" s="70">
        <v>1</v>
      </c>
      <c r="E23" s="95" t="s">
        <v>73</v>
      </c>
      <c r="F23" s="85" t="s">
        <v>73</v>
      </c>
      <c r="G23" s="85" t="s">
        <v>73</v>
      </c>
      <c r="H23" s="85"/>
      <c r="I23" s="85"/>
      <c r="J23" s="85"/>
      <c r="K23" s="85"/>
      <c r="L23" s="85"/>
      <c r="M23" s="85"/>
      <c r="N23" s="85"/>
      <c r="O23" s="85"/>
      <c r="P23" s="85"/>
      <c r="Q23" s="85"/>
      <c r="R23" s="85"/>
      <c r="S23" s="85"/>
      <c r="T23" s="85"/>
      <c r="U23" s="85"/>
      <c r="V23" s="85"/>
      <c r="W23" s="85"/>
      <c r="X23" s="72"/>
      <c r="Y23" s="85"/>
      <c r="Z23" s="85"/>
      <c r="AG23" s="85"/>
      <c r="AI23" s="85"/>
    </row>
    <row r="24" spans="1:45" s="148" customFormat="1" ht="6.75" x14ac:dyDescent="0.15">
      <c r="A24" s="148" t="s">
        <v>68</v>
      </c>
      <c r="B24" s="148" t="s">
        <v>455</v>
      </c>
      <c r="C24" s="145" t="s">
        <v>443</v>
      </c>
      <c r="D24" s="145" t="s">
        <v>444</v>
      </c>
      <c r="E24" s="148" t="s">
        <v>493</v>
      </c>
      <c r="F24" s="148" t="s">
        <v>491</v>
      </c>
    </row>
    <row r="25" spans="1:45" s="87" customFormat="1" ht="10.5" customHeight="1" x14ac:dyDescent="0.2">
      <c r="A25" s="83" t="s">
        <v>71</v>
      </c>
      <c r="B25" s="83" t="s">
        <v>721</v>
      </c>
      <c r="C25" s="84"/>
      <c r="D25" s="70">
        <v>1</v>
      </c>
      <c r="E25" s="95" t="s">
        <v>73</v>
      </c>
      <c r="F25" s="85"/>
      <c r="G25" s="85"/>
      <c r="H25" s="85"/>
      <c r="I25" s="85"/>
      <c r="J25" s="85"/>
      <c r="K25" s="85"/>
      <c r="L25" s="85"/>
      <c r="M25" s="85"/>
      <c r="N25" s="85"/>
      <c r="O25" s="85"/>
      <c r="P25" s="85"/>
      <c r="Q25" s="85"/>
      <c r="R25" s="85"/>
      <c r="S25" s="85"/>
      <c r="T25" s="85"/>
      <c r="U25" s="85"/>
      <c r="V25" s="85"/>
      <c r="W25" s="85"/>
      <c r="X25" s="72"/>
      <c r="Y25" s="85"/>
      <c r="Z25" s="85"/>
      <c r="AG25" s="85"/>
      <c r="AI25" s="85"/>
    </row>
    <row r="26" spans="1:45" s="145" customFormat="1" ht="6.75" x14ac:dyDescent="0.15">
      <c r="A26" s="145" t="s">
        <v>68</v>
      </c>
      <c r="B26" s="145" t="s">
        <v>455</v>
      </c>
      <c r="C26" s="145" t="s">
        <v>443</v>
      </c>
      <c r="D26" s="145" t="s">
        <v>444</v>
      </c>
      <c r="E26" s="145" t="s">
        <v>493</v>
      </c>
      <c r="F26" s="145" t="s">
        <v>733</v>
      </c>
      <c r="G26" s="145" t="s">
        <v>566</v>
      </c>
      <c r="H26" s="145" t="s">
        <v>538</v>
      </c>
      <c r="I26" s="145" t="s">
        <v>539</v>
      </c>
      <c r="J26" s="145" t="s">
        <v>540</v>
      </c>
      <c r="K26" s="145" t="s">
        <v>734</v>
      </c>
      <c r="L26" s="145" t="s">
        <v>491</v>
      </c>
    </row>
    <row r="27" spans="1:45" s="57" customFormat="1" ht="11.25" x14ac:dyDescent="0.2">
      <c r="A27" s="68" t="s">
        <v>71</v>
      </c>
      <c r="B27" s="68" t="s">
        <v>731</v>
      </c>
      <c r="C27" s="69"/>
      <c r="D27" s="70">
        <v>1</v>
      </c>
      <c r="E27" s="94" t="s">
        <v>73</v>
      </c>
      <c r="F27" s="94" t="s">
        <v>73</v>
      </c>
      <c r="G27" s="94" t="s">
        <v>109</v>
      </c>
      <c r="H27" s="94" t="s">
        <v>108</v>
      </c>
      <c r="I27" s="94" t="s">
        <v>75</v>
      </c>
      <c r="J27" s="94"/>
    </row>
    <row r="28" spans="1:45" s="145" customFormat="1" ht="6.75" x14ac:dyDescent="0.15">
      <c r="A28" s="145" t="s">
        <v>68</v>
      </c>
      <c r="B28" s="145" t="s">
        <v>455</v>
      </c>
      <c r="C28" s="145" t="s">
        <v>443</v>
      </c>
      <c r="D28" s="145" t="s">
        <v>444</v>
      </c>
      <c r="E28" s="145" t="s">
        <v>493</v>
      </c>
      <c r="F28" s="145" t="s">
        <v>547</v>
      </c>
      <c r="G28" s="145" t="s">
        <v>549</v>
      </c>
      <c r="H28" s="145" t="s">
        <v>546</v>
      </c>
      <c r="I28" s="145" t="s">
        <v>735</v>
      </c>
      <c r="J28" s="145" t="s">
        <v>567</v>
      </c>
      <c r="K28" s="145" t="s">
        <v>736</v>
      </c>
      <c r="L28" s="145" t="s">
        <v>737</v>
      </c>
      <c r="M28" s="145" t="s">
        <v>553</v>
      </c>
      <c r="N28" s="145" t="s">
        <v>729</v>
      </c>
      <c r="O28" s="145" t="s">
        <v>516</v>
      </c>
      <c r="P28" s="145" t="s">
        <v>491</v>
      </c>
    </row>
    <row r="29" spans="1:45" s="57" customFormat="1" ht="11.25" x14ac:dyDescent="0.2">
      <c r="A29" s="68" t="s">
        <v>71</v>
      </c>
      <c r="B29" s="68" t="s">
        <v>732</v>
      </c>
      <c r="C29" s="69"/>
      <c r="D29" s="70">
        <v>1</v>
      </c>
      <c r="E29" s="94" t="s">
        <v>73</v>
      </c>
      <c r="F29" s="57" t="s">
        <v>73</v>
      </c>
      <c r="H29" s="57" t="s">
        <v>73</v>
      </c>
    </row>
    <row r="30" spans="1:45" s="148" customFormat="1" ht="6.75" x14ac:dyDescent="0.15">
      <c r="A30" s="148" t="s">
        <v>68</v>
      </c>
      <c r="B30" s="148" t="s">
        <v>455</v>
      </c>
      <c r="C30" s="145" t="s">
        <v>443</v>
      </c>
      <c r="D30" s="145" t="s">
        <v>444</v>
      </c>
      <c r="E30" s="148" t="s">
        <v>493</v>
      </c>
      <c r="F30" s="148" t="s">
        <v>784</v>
      </c>
      <c r="G30" s="148" t="s">
        <v>787</v>
      </c>
      <c r="H30" s="148" t="s">
        <v>404</v>
      </c>
      <c r="I30" s="148" t="s">
        <v>785</v>
      </c>
      <c r="J30" s="148" t="s">
        <v>753</v>
      </c>
      <c r="K30" s="148" t="s">
        <v>786</v>
      </c>
      <c r="L30" s="148" t="s">
        <v>491</v>
      </c>
    </row>
    <row r="31" spans="1:45" s="87" customFormat="1" ht="10.5" customHeight="1" x14ac:dyDescent="0.2">
      <c r="A31" s="83" t="s">
        <v>71</v>
      </c>
      <c r="B31" s="83" t="s">
        <v>788</v>
      </c>
      <c r="C31" s="84"/>
      <c r="D31" s="70">
        <v>1</v>
      </c>
      <c r="E31" s="95" t="s">
        <v>73</v>
      </c>
      <c r="F31" s="85" t="s">
        <v>73</v>
      </c>
      <c r="G31" s="85">
        <v>99</v>
      </c>
      <c r="H31" s="85">
        <v>99</v>
      </c>
      <c r="I31" s="85">
        <v>99</v>
      </c>
      <c r="J31" s="85">
        <v>99</v>
      </c>
      <c r="K31" s="85" t="s">
        <v>73</v>
      </c>
      <c r="L31" s="85"/>
      <c r="M31" s="85"/>
      <c r="N31" s="85"/>
      <c r="O31" s="85"/>
      <c r="P31" s="85"/>
      <c r="Q31" s="85"/>
      <c r="R31" s="85"/>
      <c r="S31" s="85"/>
      <c r="T31" s="85"/>
      <c r="U31" s="85"/>
      <c r="V31" s="85"/>
      <c r="W31" s="85"/>
      <c r="X31" s="72"/>
      <c r="Y31" s="85"/>
      <c r="Z31" s="85"/>
      <c r="AG31" s="85"/>
      <c r="AI31" s="85"/>
    </row>
    <row r="32" spans="1:45" s="150" customFormat="1" ht="6.75" x14ac:dyDescent="0.15">
      <c r="A32" s="150" t="s">
        <v>68</v>
      </c>
      <c r="B32" s="145" t="s">
        <v>455</v>
      </c>
      <c r="C32" s="145" t="s">
        <v>443</v>
      </c>
      <c r="D32" s="145" t="s">
        <v>444</v>
      </c>
      <c r="E32" s="150" t="s">
        <v>493</v>
      </c>
      <c r="F32" s="150" t="s">
        <v>750</v>
      </c>
      <c r="G32" s="150" t="s">
        <v>116</v>
      </c>
      <c r="H32" s="150" t="s">
        <v>117</v>
      </c>
      <c r="I32" s="150" t="s">
        <v>123</v>
      </c>
      <c r="J32" s="150" t="s">
        <v>119</v>
      </c>
      <c r="K32" s="150" t="s">
        <v>221</v>
      </c>
      <c r="L32" s="150" t="s">
        <v>171</v>
      </c>
      <c r="M32" s="150" t="s">
        <v>172</v>
      </c>
      <c r="N32" s="150" t="s">
        <v>177</v>
      </c>
      <c r="O32" s="150" t="s">
        <v>169</v>
      </c>
      <c r="P32" s="150" t="s">
        <v>170</v>
      </c>
      <c r="Q32" s="150" t="s">
        <v>268</v>
      </c>
      <c r="R32" s="150" t="s">
        <v>173</v>
      </c>
      <c r="S32" s="150" t="s">
        <v>174</v>
      </c>
      <c r="T32" s="150" t="s">
        <v>175</v>
      </c>
      <c r="U32" s="150" t="s">
        <v>176</v>
      </c>
      <c r="V32" s="150" t="s">
        <v>178</v>
      </c>
      <c r="W32" s="150" t="s">
        <v>179</v>
      </c>
      <c r="X32" s="150" t="s">
        <v>180</v>
      </c>
      <c r="Y32" s="150" t="s">
        <v>181</v>
      </c>
      <c r="Z32" s="150" t="s">
        <v>182</v>
      </c>
      <c r="AA32" s="150" t="s">
        <v>282</v>
      </c>
      <c r="AB32" s="150" t="s">
        <v>281</v>
      </c>
      <c r="AC32" s="150" t="s">
        <v>281</v>
      </c>
      <c r="AD32" s="150" t="s">
        <v>186</v>
      </c>
      <c r="AE32" s="150" t="s">
        <v>187</v>
      </c>
      <c r="AF32" s="150" t="s">
        <v>192</v>
      </c>
      <c r="AG32" s="150" t="s">
        <v>188</v>
      </c>
      <c r="AH32" s="150" t="s">
        <v>198</v>
      </c>
      <c r="AI32" s="150" t="s">
        <v>199</v>
      </c>
      <c r="AJ32" s="150" t="s">
        <v>200</v>
      </c>
      <c r="AK32" s="150" t="s">
        <v>189</v>
      </c>
      <c r="AL32" s="150" t="s">
        <v>190</v>
      </c>
      <c r="AM32" s="150" t="s">
        <v>191</v>
      </c>
      <c r="AN32" s="150" t="s">
        <v>193</v>
      </c>
      <c r="AO32" s="150" t="s">
        <v>194</v>
      </c>
      <c r="AP32" s="150" t="s">
        <v>195</v>
      </c>
      <c r="AQ32" s="150" t="s">
        <v>196</v>
      </c>
      <c r="AR32" s="150" t="s">
        <v>197</v>
      </c>
      <c r="AS32" s="148" t="s">
        <v>491</v>
      </c>
    </row>
    <row r="33" spans="1:45" s="57" customFormat="1" ht="11.25" x14ac:dyDescent="0.2">
      <c r="A33" s="68" t="s">
        <v>71</v>
      </c>
      <c r="B33" s="68" t="s">
        <v>568</v>
      </c>
      <c r="C33" s="69"/>
      <c r="D33" s="70">
        <v>1</v>
      </c>
      <c r="E33" s="96" t="s">
        <v>73</v>
      </c>
      <c r="F33" s="57" t="s">
        <v>73</v>
      </c>
      <c r="G33" s="60"/>
      <c r="H33" s="60" t="s">
        <v>77</v>
      </c>
      <c r="I33" s="60"/>
      <c r="J33" s="60"/>
      <c r="K33" s="60"/>
      <c r="L33" s="139">
        <f ca="1">(INDIRECT("'Data'!BL"&amp;($C$1)))</f>
        <v>0</v>
      </c>
      <c r="M33" s="139">
        <f ca="1">(INDIRECT("'Data'!BX"&amp;($C$1)))</f>
        <v>0</v>
      </c>
      <c r="N33" s="139">
        <f ca="1">(INDIRECT("'Data'!BQ"&amp;($C$1)))</f>
        <v>0</v>
      </c>
      <c r="O33" s="139">
        <f ca="1">(INDIRECT("'Data'!BX"&amp;($C$1)))</f>
        <v>0</v>
      </c>
      <c r="P33" s="139">
        <f ca="1">(INDIRECT("'Data'!BO"&amp;($C$1)))</f>
        <v>0</v>
      </c>
      <c r="Q33" s="139">
        <f ca="1">(INDIRECT("'Data'!BY"&amp;($C$1)))</f>
        <v>0</v>
      </c>
      <c r="R33" s="139">
        <f ca="1">(INDIRECT("'Data'!BZ"&amp;($C$1)))</f>
        <v>0</v>
      </c>
      <c r="S33" s="60"/>
      <c r="T33" s="60"/>
      <c r="U33" s="60"/>
      <c r="V33" s="60"/>
      <c r="W33" s="60"/>
      <c r="X33" s="60"/>
      <c r="Y33" s="59"/>
      <c r="Z33" s="60"/>
      <c r="AA33" s="60"/>
      <c r="AB33" s="60"/>
      <c r="AC33" s="60"/>
      <c r="AS33" s="85"/>
    </row>
    <row r="34" spans="1:45" s="145" customFormat="1" ht="6.75" x14ac:dyDescent="0.15">
      <c r="A34" s="145" t="s">
        <v>68</v>
      </c>
      <c r="B34" s="145" t="s">
        <v>455</v>
      </c>
      <c r="C34" s="145" t="s">
        <v>443</v>
      </c>
      <c r="D34" s="145" t="s">
        <v>444</v>
      </c>
      <c r="E34" s="145" t="s">
        <v>493</v>
      </c>
      <c r="F34" s="145" t="s">
        <v>203</v>
      </c>
      <c r="G34" s="145" t="s">
        <v>204</v>
      </c>
      <c r="H34" s="145" t="s">
        <v>205</v>
      </c>
      <c r="I34" s="145" t="s">
        <v>284</v>
      </c>
      <c r="J34" s="145" t="s">
        <v>206</v>
      </c>
      <c r="K34" s="145" t="s">
        <v>207</v>
      </c>
      <c r="L34" s="145" t="s">
        <v>208</v>
      </c>
      <c r="M34" s="145" t="s">
        <v>209</v>
      </c>
      <c r="N34" s="145" t="s">
        <v>210</v>
      </c>
      <c r="O34" s="145" t="s">
        <v>211</v>
      </c>
      <c r="P34" s="145" t="s">
        <v>212</v>
      </c>
      <c r="Q34" s="145" t="s">
        <v>213</v>
      </c>
      <c r="R34" s="145" t="s">
        <v>214</v>
      </c>
      <c r="S34" s="145" t="s">
        <v>215</v>
      </c>
      <c r="T34" s="145" t="s">
        <v>216</v>
      </c>
      <c r="U34" s="145" t="s">
        <v>217</v>
      </c>
      <c r="V34" s="148" t="s">
        <v>491</v>
      </c>
    </row>
    <row r="35" spans="1:45" s="57" customFormat="1" ht="11.25" x14ac:dyDescent="0.2">
      <c r="A35" s="68" t="s">
        <v>71</v>
      </c>
      <c r="B35" s="68" t="s">
        <v>570</v>
      </c>
      <c r="C35" s="69"/>
      <c r="D35" s="70">
        <v>1</v>
      </c>
      <c r="E35" s="94" t="s">
        <v>73</v>
      </c>
      <c r="F35" s="49">
        <f ca="1">(INDIRECT("'Data'!BL"&amp;($C$1)))</f>
        <v>0</v>
      </c>
      <c r="G35" s="49">
        <f ca="1">(INDIRECT("'Data'!BX"&amp;($C$1)))</f>
        <v>0</v>
      </c>
      <c r="H35" s="57" t="s">
        <v>280</v>
      </c>
      <c r="I35" s="60">
        <v>1</v>
      </c>
      <c r="N35" s="57" t="s">
        <v>303</v>
      </c>
      <c r="O35" s="57" t="s">
        <v>285</v>
      </c>
      <c r="P35" s="57" t="s">
        <v>286</v>
      </c>
      <c r="Q35" s="57" t="s">
        <v>287</v>
      </c>
      <c r="R35" s="57" t="s">
        <v>75</v>
      </c>
      <c r="S35" s="57" t="s">
        <v>219</v>
      </c>
      <c r="T35" s="57" t="s">
        <v>120</v>
      </c>
      <c r="U35" s="57" t="s">
        <v>73</v>
      </c>
      <c r="V35" s="85"/>
    </row>
    <row r="36" spans="1:45" s="145" customFormat="1" ht="6.75" x14ac:dyDescent="0.15">
      <c r="A36" s="145" t="s">
        <v>68</v>
      </c>
      <c r="B36" s="145" t="s">
        <v>455</v>
      </c>
      <c r="C36" s="145" t="s">
        <v>443</v>
      </c>
      <c r="D36" s="145" t="s">
        <v>444</v>
      </c>
      <c r="E36" s="145" t="s">
        <v>493</v>
      </c>
      <c r="F36" s="145" t="s">
        <v>574</v>
      </c>
      <c r="G36" s="145" t="s">
        <v>575</v>
      </c>
      <c r="H36" s="148" t="s">
        <v>491</v>
      </c>
    </row>
    <row r="37" spans="1:45" s="57" customFormat="1" ht="11.25" x14ac:dyDescent="0.2">
      <c r="A37" s="68" t="s">
        <v>71</v>
      </c>
      <c r="B37" s="68" t="s">
        <v>578</v>
      </c>
      <c r="C37" s="69"/>
      <c r="D37" s="70">
        <v>1</v>
      </c>
      <c r="E37" s="94" t="s">
        <v>73</v>
      </c>
      <c r="F37" s="57" t="s">
        <v>120</v>
      </c>
      <c r="G37" s="59" t="s">
        <v>73</v>
      </c>
      <c r="H37" s="85"/>
    </row>
    <row r="38" spans="1:45" s="145" customFormat="1" ht="6.75" x14ac:dyDescent="0.15">
      <c r="A38" s="145" t="s">
        <v>68</v>
      </c>
      <c r="B38" s="145" t="s">
        <v>455</v>
      </c>
      <c r="C38" s="145" t="s">
        <v>443</v>
      </c>
      <c r="D38" s="145" t="s">
        <v>444</v>
      </c>
      <c r="E38" s="145" t="s">
        <v>493</v>
      </c>
      <c r="F38" s="145" t="s">
        <v>579</v>
      </c>
      <c r="G38" s="145" t="s">
        <v>577</v>
      </c>
      <c r="H38" s="145" t="s">
        <v>83</v>
      </c>
      <c r="I38" s="145" t="s">
        <v>584</v>
      </c>
      <c r="J38" s="145" t="s">
        <v>576</v>
      </c>
      <c r="K38" s="145" t="s">
        <v>220</v>
      </c>
      <c r="L38" s="148" t="s">
        <v>491</v>
      </c>
    </row>
    <row r="39" spans="1:45" s="77" customFormat="1" ht="11.25" customHeight="1" x14ac:dyDescent="0.2">
      <c r="A39" s="68" t="s">
        <v>71</v>
      </c>
      <c r="B39" s="68" t="s">
        <v>580</v>
      </c>
      <c r="C39" s="69" t="s">
        <v>77</v>
      </c>
      <c r="D39" s="70">
        <v>1</v>
      </c>
      <c r="E39" s="94" t="s">
        <v>73</v>
      </c>
      <c r="F39" s="73" t="s">
        <v>754</v>
      </c>
      <c r="G39" s="73" t="s">
        <v>755</v>
      </c>
      <c r="H39" s="73" t="s">
        <v>756</v>
      </c>
      <c r="I39" s="60"/>
      <c r="J39" s="73" t="s">
        <v>124</v>
      </c>
      <c r="K39" s="74" t="s">
        <v>585</v>
      </c>
      <c r="L39" s="85"/>
      <c r="M39" s="57"/>
      <c r="N39" s="57"/>
      <c r="O39" s="57"/>
      <c r="P39" s="57"/>
      <c r="Q39" s="57"/>
      <c r="R39" s="57"/>
      <c r="S39" s="57"/>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row>
    <row r="40" spans="1:45" s="145" customFormat="1" ht="6.75" x14ac:dyDescent="0.15">
      <c r="A40" s="145" t="s">
        <v>68</v>
      </c>
      <c r="B40" s="145" t="s">
        <v>455</v>
      </c>
      <c r="C40" s="145" t="s">
        <v>443</v>
      </c>
      <c r="D40" s="145" t="s">
        <v>444</v>
      </c>
      <c r="E40" s="145" t="s">
        <v>493</v>
      </c>
      <c r="F40" s="145" t="s">
        <v>318</v>
      </c>
      <c r="G40" s="145" t="s">
        <v>587</v>
      </c>
      <c r="H40" s="145" t="s">
        <v>319</v>
      </c>
      <c r="I40" s="145" t="s">
        <v>125</v>
      </c>
      <c r="J40" s="145" t="s">
        <v>588</v>
      </c>
      <c r="K40" s="145" t="s">
        <v>589</v>
      </c>
      <c r="L40" s="145" t="s">
        <v>320</v>
      </c>
      <c r="M40" s="145" t="s">
        <v>321</v>
      </c>
      <c r="N40" s="145" t="s">
        <v>89</v>
      </c>
      <c r="O40" s="145" t="s">
        <v>590</v>
      </c>
      <c r="P40" s="145" t="s">
        <v>419</v>
      </c>
      <c r="Q40" s="148" t="s">
        <v>491</v>
      </c>
    </row>
    <row r="41" spans="1:45" s="78" customFormat="1" ht="11.25" x14ac:dyDescent="0.2">
      <c r="A41" s="68" t="s">
        <v>71</v>
      </c>
      <c r="B41" s="68" t="s">
        <v>586</v>
      </c>
      <c r="C41" s="68"/>
      <c r="D41" s="70">
        <v>1</v>
      </c>
      <c r="E41" s="94" t="s">
        <v>73</v>
      </c>
      <c r="F41" s="75" t="s">
        <v>73</v>
      </c>
      <c r="G41" s="75" t="s">
        <v>73</v>
      </c>
      <c r="H41" s="75" t="s">
        <v>322</v>
      </c>
      <c r="I41" s="75" t="s">
        <v>323</v>
      </c>
      <c r="J41" s="75" t="s">
        <v>73</v>
      </c>
      <c r="K41" s="75" t="s">
        <v>73</v>
      </c>
      <c r="L41" s="77" t="s">
        <v>73</v>
      </c>
      <c r="M41" s="77" t="s">
        <v>73</v>
      </c>
      <c r="N41" s="75" t="s">
        <v>73</v>
      </c>
      <c r="O41" s="77" t="s">
        <v>73</v>
      </c>
      <c r="P41" s="75" t="s">
        <v>73</v>
      </c>
      <c r="Q41" s="85"/>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row>
    <row r="42" spans="1:45" s="145" customFormat="1" ht="6.75" x14ac:dyDescent="0.15">
      <c r="A42" s="145" t="s">
        <v>68</v>
      </c>
      <c r="B42" s="145" t="s">
        <v>455</v>
      </c>
      <c r="C42" s="145" t="s">
        <v>443</v>
      </c>
      <c r="D42" s="145" t="s">
        <v>444</v>
      </c>
      <c r="E42" s="145" t="s">
        <v>493</v>
      </c>
      <c r="F42" s="145" t="s">
        <v>591</v>
      </c>
      <c r="G42" s="145" t="s">
        <v>593</v>
      </c>
      <c r="H42" s="145" t="s">
        <v>592</v>
      </c>
      <c r="I42" s="145" t="s">
        <v>302</v>
      </c>
      <c r="J42" s="145" t="s">
        <v>304</v>
      </c>
      <c r="K42" s="145" t="s">
        <v>475</v>
      </c>
      <c r="L42" s="148" t="s">
        <v>491</v>
      </c>
    </row>
    <row r="43" spans="1:45" s="78" customFormat="1" ht="11.25" x14ac:dyDescent="0.2">
      <c r="A43" s="68" t="s">
        <v>71</v>
      </c>
      <c r="B43" s="68" t="s">
        <v>642</v>
      </c>
      <c r="C43" s="69" t="s">
        <v>77</v>
      </c>
      <c r="D43" s="70">
        <v>1</v>
      </c>
      <c r="E43" s="94" t="s">
        <v>73</v>
      </c>
      <c r="F43" s="78" t="s">
        <v>303</v>
      </c>
      <c r="G43" s="78" t="s">
        <v>65</v>
      </c>
      <c r="H43" s="78" t="s">
        <v>53</v>
      </c>
      <c r="I43" s="55"/>
      <c r="J43" s="78" t="s">
        <v>77</v>
      </c>
      <c r="K43" s="48">
        <f ca="1">(INDIRECT("'Data'!CD"&amp;($C$1)))</f>
        <v>0</v>
      </c>
      <c r="L43" s="85"/>
    </row>
    <row r="44" spans="1:45" s="145" customFormat="1" ht="6.75" x14ac:dyDescent="0.15">
      <c r="A44" s="145" t="s">
        <v>68</v>
      </c>
      <c r="B44" s="145" t="s">
        <v>455</v>
      </c>
      <c r="C44" s="145" t="s">
        <v>443</v>
      </c>
      <c r="D44" s="145" t="s">
        <v>444</v>
      </c>
      <c r="E44" s="145" t="s">
        <v>493</v>
      </c>
      <c r="F44" s="145" t="s">
        <v>475</v>
      </c>
      <c r="G44" s="145" t="s">
        <v>789</v>
      </c>
      <c r="H44" s="145" t="s">
        <v>790</v>
      </c>
      <c r="I44" s="145" t="s">
        <v>791</v>
      </c>
      <c r="J44" s="145" t="s">
        <v>793</v>
      </c>
      <c r="K44" s="145" t="s">
        <v>794</v>
      </c>
      <c r="L44" s="145" t="s">
        <v>795</v>
      </c>
      <c r="M44" s="145" t="s">
        <v>796</v>
      </c>
      <c r="N44" s="145" t="s">
        <v>650</v>
      </c>
      <c r="O44" s="145" t="s">
        <v>651</v>
      </c>
      <c r="P44" s="148" t="s">
        <v>491</v>
      </c>
    </row>
    <row r="45" spans="1:45" s="78" customFormat="1" ht="11.25" x14ac:dyDescent="0.2">
      <c r="A45" s="68" t="s">
        <v>71</v>
      </c>
      <c r="B45" s="68" t="s">
        <v>594</v>
      </c>
      <c r="C45" s="69" t="s">
        <v>77</v>
      </c>
      <c r="D45" s="70">
        <v>1</v>
      </c>
      <c r="E45" s="94" t="s">
        <v>73</v>
      </c>
      <c r="F45" s="48">
        <f ca="1">(INDIRECT("'Data'!CD"&amp;($C$1)))</f>
        <v>0</v>
      </c>
      <c r="G45" s="77" t="s">
        <v>73</v>
      </c>
      <c r="H45" s="77" t="s">
        <v>308</v>
      </c>
      <c r="I45" s="77" t="s">
        <v>792</v>
      </c>
      <c r="J45" s="75">
        <v>0</v>
      </c>
      <c r="K45" s="77" t="s">
        <v>231</v>
      </c>
      <c r="L45" s="77" t="s">
        <v>757</v>
      </c>
      <c r="M45" s="77" t="s">
        <v>313</v>
      </c>
      <c r="N45" s="78" t="s">
        <v>315</v>
      </c>
      <c r="O45" s="78" t="s">
        <v>65</v>
      </c>
      <c r="P45" s="85"/>
    </row>
    <row r="46" spans="1:45" s="145" customFormat="1" ht="6.75" x14ac:dyDescent="0.15">
      <c r="A46" s="145" t="s">
        <v>68</v>
      </c>
      <c r="B46" s="145" t="s">
        <v>455</v>
      </c>
      <c r="C46" s="145" t="s">
        <v>443</v>
      </c>
      <c r="D46" s="145" t="s">
        <v>444</v>
      </c>
      <c r="E46" s="145" t="s">
        <v>493</v>
      </c>
      <c r="F46" s="145" t="s">
        <v>235</v>
      </c>
      <c r="G46" s="145" t="s">
        <v>238</v>
      </c>
      <c r="H46" s="145" t="s">
        <v>595</v>
      </c>
      <c r="I46" s="145" t="s">
        <v>596</v>
      </c>
      <c r="J46" s="145" t="s">
        <v>599</v>
      </c>
      <c r="K46" s="145" t="s">
        <v>237</v>
      </c>
      <c r="L46" s="145" t="s">
        <v>597</v>
      </c>
      <c r="M46" s="145" t="s">
        <v>236</v>
      </c>
      <c r="N46" s="148" t="s">
        <v>491</v>
      </c>
    </row>
    <row r="47" spans="1:45" s="78" customFormat="1" ht="11.25" x14ac:dyDescent="0.2">
      <c r="A47" s="68" t="s">
        <v>71</v>
      </c>
      <c r="B47" s="68" t="s">
        <v>598</v>
      </c>
      <c r="C47" s="69"/>
      <c r="D47" s="70">
        <v>1</v>
      </c>
      <c r="E47" s="94" t="s">
        <v>73</v>
      </c>
      <c r="F47" s="55" t="s">
        <v>73</v>
      </c>
      <c r="G47" s="55" t="s">
        <v>238</v>
      </c>
      <c r="H47" s="55" t="s">
        <v>109</v>
      </c>
      <c r="I47" s="55" t="s">
        <v>168</v>
      </c>
      <c r="J47" s="55" t="s">
        <v>73</v>
      </c>
      <c r="K47" s="55" t="s">
        <v>237</v>
      </c>
      <c r="L47" s="55" t="s">
        <v>109</v>
      </c>
      <c r="M47" s="55" t="s">
        <v>236</v>
      </c>
      <c r="N47" s="85"/>
    </row>
    <row r="48" spans="1:45" s="145" customFormat="1" ht="6.75" x14ac:dyDescent="0.15">
      <c r="A48" s="145" t="s">
        <v>68</v>
      </c>
      <c r="B48" s="145" t="s">
        <v>455</v>
      </c>
      <c r="C48" s="145" t="s">
        <v>443</v>
      </c>
      <c r="D48" s="145" t="s">
        <v>444</v>
      </c>
      <c r="E48" s="145" t="s">
        <v>493</v>
      </c>
      <c r="F48" s="148" t="s">
        <v>491</v>
      </c>
    </row>
    <row r="49" spans="1:47" s="78" customFormat="1" ht="11.25" x14ac:dyDescent="0.2">
      <c r="A49" s="68" t="s">
        <v>71</v>
      </c>
      <c r="B49" s="68" t="s">
        <v>600</v>
      </c>
      <c r="C49" s="69"/>
      <c r="D49" s="70">
        <v>1</v>
      </c>
      <c r="E49" s="94" t="s">
        <v>73</v>
      </c>
      <c r="F49" s="85"/>
    </row>
    <row r="50" spans="1:47" s="145" customFormat="1" ht="6.75" x14ac:dyDescent="0.15">
      <c r="A50" s="145" t="s">
        <v>68</v>
      </c>
      <c r="B50" s="145" t="s">
        <v>455</v>
      </c>
      <c r="C50" s="145" t="s">
        <v>443</v>
      </c>
      <c r="D50" s="145" t="s">
        <v>444</v>
      </c>
      <c r="E50" s="145" t="s">
        <v>493</v>
      </c>
      <c r="F50" s="145" t="s">
        <v>797</v>
      </c>
      <c r="G50" s="145" t="s">
        <v>800</v>
      </c>
      <c r="H50" s="145" t="s">
        <v>798</v>
      </c>
      <c r="I50" s="145" t="s">
        <v>815</v>
      </c>
      <c r="J50" s="145" t="s">
        <v>814</v>
      </c>
      <c r="K50" s="148" t="s">
        <v>491</v>
      </c>
    </row>
    <row r="51" spans="1:47" s="78" customFormat="1" ht="11.25" x14ac:dyDescent="0.2">
      <c r="A51" s="68" t="s">
        <v>71</v>
      </c>
      <c r="B51" s="68" t="s">
        <v>799</v>
      </c>
      <c r="C51" s="69"/>
      <c r="D51" s="70">
        <v>1</v>
      </c>
      <c r="E51" s="94" t="s">
        <v>73</v>
      </c>
      <c r="F51" s="78" t="s">
        <v>73</v>
      </c>
      <c r="H51" s="78" t="s">
        <v>73</v>
      </c>
      <c r="K51" s="85"/>
    </row>
    <row r="52" spans="1:47" s="145" customFormat="1" ht="6.75" x14ac:dyDescent="0.15">
      <c r="A52" s="145" t="s">
        <v>68</v>
      </c>
      <c r="B52" s="145" t="s">
        <v>455</v>
      </c>
      <c r="C52" s="145" t="s">
        <v>443</v>
      </c>
      <c r="D52" s="145" t="s">
        <v>444</v>
      </c>
      <c r="E52" s="145" t="s">
        <v>493</v>
      </c>
      <c r="F52" s="145" t="s">
        <v>801</v>
      </c>
      <c r="G52" s="148" t="s">
        <v>491</v>
      </c>
    </row>
    <row r="53" spans="1:47" s="78" customFormat="1" ht="11.25" x14ac:dyDescent="0.2">
      <c r="A53" s="68" t="s">
        <v>71</v>
      </c>
      <c r="B53" s="68" t="s">
        <v>804</v>
      </c>
      <c r="C53" s="69"/>
      <c r="D53" s="70">
        <v>1</v>
      </c>
      <c r="E53" s="94" t="s">
        <v>73</v>
      </c>
      <c r="F53" s="78" t="s">
        <v>758</v>
      </c>
      <c r="G53" s="85"/>
    </row>
    <row r="54" spans="1:47" s="145" customFormat="1" ht="7.5" customHeight="1" x14ac:dyDescent="0.15">
      <c r="A54" s="145" t="s">
        <v>68</v>
      </c>
      <c r="B54" s="145" t="s">
        <v>455</v>
      </c>
      <c r="C54" s="145" t="s">
        <v>443</v>
      </c>
      <c r="D54" s="145" t="s">
        <v>444</v>
      </c>
      <c r="E54" s="145" t="s">
        <v>493</v>
      </c>
      <c r="F54" s="145" t="s">
        <v>802</v>
      </c>
      <c r="G54" s="145" t="s">
        <v>803</v>
      </c>
      <c r="H54" s="148" t="s">
        <v>491</v>
      </c>
    </row>
    <row r="55" spans="1:47" s="57" customFormat="1" ht="11.25" customHeight="1" x14ac:dyDescent="0.2">
      <c r="A55" s="68" t="s">
        <v>71</v>
      </c>
      <c r="B55" s="68" t="s">
        <v>805</v>
      </c>
      <c r="C55" s="69"/>
      <c r="D55" s="70">
        <v>1</v>
      </c>
      <c r="E55" s="94" t="s">
        <v>73</v>
      </c>
      <c r="F55" s="78" t="s">
        <v>73</v>
      </c>
      <c r="G55" s="78" t="s">
        <v>73</v>
      </c>
      <c r="H55" s="85"/>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row>
    <row r="56" spans="1:47" s="145" customFormat="1" ht="6.75" x14ac:dyDescent="0.15">
      <c r="A56" s="145" t="s">
        <v>68</v>
      </c>
      <c r="B56" s="145" t="s">
        <v>69</v>
      </c>
      <c r="C56" s="145" t="s">
        <v>70</v>
      </c>
      <c r="D56" s="145" t="s">
        <v>444</v>
      </c>
      <c r="E56" s="145" t="s">
        <v>493</v>
      </c>
      <c r="F56" s="145" t="s">
        <v>697</v>
      </c>
      <c r="G56" s="145" t="s">
        <v>698</v>
      </c>
      <c r="H56" s="145" t="s">
        <v>699</v>
      </c>
      <c r="I56" s="145" t="s">
        <v>700</v>
      </c>
      <c r="J56" s="145" t="s">
        <v>701</v>
      </c>
      <c r="K56" s="206" t="s">
        <v>838</v>
      </c>
      <c r="L56" s="145" t="s">
        <v>839</v>
      </c>
      <c r="M56" s="145" t="s">
        <v>471</v>
      </c>
      <c r="N56" s="145" t="s">
        <v>475</v>
      </c>
      <c r="O56" s="148" t="s">
        <v>491</v>
      </c>
    </row>
    <row r="57" spans="1:47" s="78" customFormat="1" ht="11.25" x14ac:dyDescent="0.2">
      <c r="A57" s="68" t="s">
        <v>71</v>
      </c>
      <c r="B57" s="68" t="s">
        <v>144</v>
      </c>
      <c r="C57" s="68"/>
      <c r="D57" s="70">
        <v>1</v>
      </c>
      <c r="E57" s="94" t="s">
        <v>73</v>
      </c>
      <c r="F57" s="60" t="s">
        <v>759</v>
      </c>
      <c r="G57" s="60"/>
      <c r="H57" s="60" t="s">
        <v>73</v>
      </c>
      <c r="I57" s="60" t="s">
        <v>73</v>
      </c>
      <c r="J57" s="60" t="s">
        <v>73</v>
      </c>
      <c r="K57" s="207"/>
      <c r="L57" s="60" t="s">
        <v>73</v>
      </c>
      <c r="M57" s="60" t="s">
        <v>702</v>
      </c>
      <c r="N57" s="48">
        <f ca="1">(INDIRECT("'Data'!CD"&amp;($C$1)))</f>
        <v>0</v>
      </c>
      <c r="O57" s="85"/>
      <c r="P57" s="60"/>
      <c r="Q57" s="60"/>
      <c r="R57" s="60"/>
      <c r="S57" s="60"/>
      <c r="T57" s="60"/>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c r="AU57" s="57"/>
    </row>
    <row r="58" spans="1:47" s="145" customFormat="1" ht="6" customHeight="1" x14ac:dyDescent="0.15">
      <c r="A58" s="145" t="s">
        <v>68</v>
      </c>
      <c r="B58" s="145" t="s">
        <v>455</v>
      </c>
      <c r="C58" s="145" t="s">
        <v>443</v>
      </c>
      <c r="D58" s="145" t="s">
        <v>444</v>
      </c>
      <c r="E58" s="145" t="s">
        <v>493</v>
      </c>
      <c r="F58" s="145" t="s">
        <v>807</v>
      </c>
      <c r="G58" s="145" t="s">
        <v>808</v>
      </c>
      <c r="H58" s="148" t="s">
        <v>471</v>
      </c>
      <c r="I58" s="148" t="s">
        <v>491</v>
      </c>
    </row>
    <row r="59" spans="1:47" s="57" customFormat="1" ht="11.25" customHeight="1" x14ac:dyDescent="0.2">
      <c r="A59" s="68" t="s">
        <v>71</v>
      </c>
      <c r="B59" s="68" t="s">
        <v>806</v>
      </c>
      <c r="C59" s="69"/>
      <c r="D59" s="70">
        <v>1</v>
      </c>
      <c r="E59" s="94" t="s">
        <v>73</v>
      </c>
      <c r="F59" s="78" t="s">
        <v>73</v>
      </c>
      <c r="G59" s="78" t="s">
        <v>73</v>
      </c>
      <c r="H59" s="85" t="s">
        <v>809</v>
      </c>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row>
    <row r="60" spans="1:47" s="145" customFormat="1" ht="6.75" x14ac:dyDescent="0.15">
      <c r="A60" s="145" t="s">
        <v>68</v>
      </c>
      <c r="B60" s="145" t="s">
        <v>69</v>
      </c>
      <c r="C60" s="145" t="s">
        <v>70</v>
      </c>
      <c r="D60" s="145" t="s">
        <v>444</v>
      </c>
      <c r="E60" s="145" t="s">
        <v>493</v>
      </c>
      <c r="F60" s="145" t="s">
        <v>475</v>
      </c>
      <c r="G60" s="145" t="s">
        <v>84</v>
      </c>
      <c r="H60" s="145" t="s">
        <v>82</v>
      </c>
      <c r="I60" s="145" t="s">
        <v>145</v>
      </c>
      <c r="J60" s="145" t="s">
        <v>146</v>
      </c>
      <c r="K60" s="145" t="s">
        <v>147</v>
      </c>
      <c r="L60" s="145" t="s">
        <v>148</v>
      </c>
      <c r="M60" s="145" t="s">
        <v>326</v>
      </c>
      <c r="N60" s="145" t="s">
        <v>149</v>
      </c>
      <c r="O60" s="145" t="s">
        <v>840</v>
      </c>
      <c r="P60" s="145" t="s">
        <v>841</v>
      </c>
      <c r="Q60" s="148" t="s">
        <v>491</v>
      </c>
    </row>
    <row r="61" spans="1:47" s="57" customFormat="1" ht="11.25" x14ac:dyDescent="0.2">
      <c r="A61" s="68" t="s">
        <v>71</v>
      </c>
      <c r="B61" s="68" t="s">
        <v>156</v>
      </c>
      <c r="C61" s="68"/>
      <c r="D61" s="66">
        <v>1</v>
      </c>
      <c r="E61" s="94" t="s">
        <v>73</v>
      </c>
      <c r="F61" s="48">
        <f ca="1">(INDIRECT("'Data'!CD"&amp;($C$1)))</f>
        <v>0</v>
      </c>
      <c r="G61" s="130" t="str">
        <f ca="1">(INDIRECT("'Data'!F"&amp;($C$1)))</f>
        <v>EXCHANGE GAS METER TO SECURE SMART CREDIT</v>
      </c>
      <c r="H61" s="130" t="str">
        <f ca="1">(INDIRECT("'Data'!AW"&amp;($C$1)))</f>
        <v>EXCH1 ROAD</v>
      </c>
      <c r="I61" s="49" t="str">
        <f ca="1">(INDIRECT("'Data'!X"&amp;($C$1)))</f>
        <v>FRST</v>
      </c>
      <c r="J61" s="49">
        <f ca="1">(INDIRECT("'Data'!BG"&amp;($C$1)))</f>
        <v>0</v>
      </c>
      <c r="K61" s="49">
        <f ca="1">(INDIRECT("'Data'!BL"&amp;($C$1)))</f>
        <v>0</v>
      </c>
      <c r="L61" s="59" t="str">
        <f>N35</f>
        <v>123456</v>
      </c>
      <c r="M61" s="58" t="str">
        <f>F39</f>
        <v>Z89K12398</v>
      </c>
      <c r="N61" s="60" t="str">
        <f>M47</f>
        <v>Test Witness name</v>
      </c>
      <c r="O61" s="60" t="s">
        <v>73</v>
      </c>
      <c r="P61" s="59" t="s">
        <v>73</v>
      </c>
      <c r="Q61" s="85"/>
    </row>
    <row r="62" spans="1:47" s="145" customFormat="1" ht="6.75" x14ac:dyDescent="0.15">
      <c r="A62" s="145" t="s">
        <v>68</v>
      </c>
      <c r="B62" s="145" t="s">
        <v>69</v>
      </c>
      <c r="C62" s="145" t="s">
        <v>70</v>
      </c>
      <c r="D62" s="145" t="s">
        <v>444</v>
      </c>
      <c r="E62" s="145" t="s">
        <v>493</v>
      </c>
      <c r="F62" s="145" t="s">
        <v>707</v>
      </c>
      <c r="G62" s="145" t="s">
        <v>708</v>
      </c>
      <c r="H62" s="145" t="s">
        <v>709</v>
      </c>
      <c r="I62" s="145" t="s">
        <v>710</v>
      </c>
      <c r="J62" s="145" t="s">
        <v>711</v>
      </c>
      <c r="K62" s="145" t="s">
        <v>712</v>
      </c>
      <c r="L62" s="145" t="s">
        <v>713</v>
      </c>
      <c r="M62" s="145" t="s">
        <v>475</v>
      </c>
      <c r="N62" s="145" t="s">
        <v>491</v>
      </c>
    </row>
    <row r="63" spans="1:47" s="57" customFormat="1" ht="11.25" x14ac:dyDescent="0.2">
      <c r="A63" s="68" t="s">
        <v>71</v>
      </c>
      <c r="B63" s="68" t="s">
        <v>706</v>
      </c>
      <c r="C63" s="64"/>
      <c r="D63" s="65">
        <v>1</v>
      </c>
      <c r="E63" s="94" t="s">
        <v>73</v>
      </c>
      <c r="F63" s="60" t="s">
        <v>73</v>
      </c>
      <c r="G63" s="60" t="s">
        <v>75</v>
      </c>
      <c r="H63" s="60" t="s">
        <v>714</v>
      </c>
      <c r="I63" s="60" t="s">
        <v>155</v>
      </c>
      <c r="J63" s="60" t="s">
        <v>75</v>
      </c>
      <c r="K63" s="60" t="s">
        <v>643</v>
      </c>
      <c r="L63" s="60" t="s">
        <v>75</v>
      </c>
      <c r="M63" s="48">
        <f ca="1">(INDIRECT("'Data'!CD"&amp;($C$1)))</f>
        <v>0</v>
      </c>
      <c r="N63" s="55"/>
      <c r="O63" s="60"/>
      <c r="P63" s="60"/>
      <c r="Q63" s="60"/>
      <c r="R63" s="60"/>
      <c r="S63" s="60"/>
    </row>
    <row r="64" spans="1:47" s="151" customFormat="1" ht="6.75" customHeight="1" x14ac:dyDescent="0.2">
      <c r="A64" s="145" t="s">
        <v>68</v>
      </c>
      <c r="B64" s="145" t="s">
        <v>69</v>
      </c>
      <c r="C64" s="145" t="s">
        <v>70</v>
      </c>
      <c r="D64" s="145" t="s">
        <v>444</v>
      </c>
      <c r="E64" s="145" t="s">
        <v>493</v>
      </c>
      <c r="F64" s="145" t="s">
        <v>85</v>
      </c>
      <c r="G64" s="145"/>
      <c r="H64" s="145"/>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row>
    <row r="65" spans="1:45" x14ac:dyDescent="0.2">
      <c r="A65" s="64" t="s">
        <v>71</v>
      </c>
      <c r="B65" s="64" t="s">
        <v>76</v>
      </c>
      <c r="C65" s="64"/>
      <c r="D65" s="66">
        <v>1</v>
      </c>
      <c r="E65" s="94" t="s">
        <v>73</v>
      </c>
      <c r="F65" s="60" t="s">
        <v>86</v>
      </c>
      <c r="G65" s="57"/>
      <c r="H65" s="57"/>
      <c r="I65" s="57"/>
      <c r="J65" s="131"/>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xr:uid="{00000000-0002-0000-0400-00000000000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xr:uid="{00000000-0002-0000-0400-000001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400-000002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400-000003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400-000004000000}"/>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499984740745262"/>
  </sheetPr>
  <dimension ref="A1:AT65"/>
  <sheetViews>
    <sheetView zoomScale="130" zoomScaleNormal="130" workbookViewId="0">
      <selection activeCell="K58" sqref="K58"/>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45" customFormat="1" ht="6.75" x14ac:dyDescent="0.15">
      <c r="A1" s="145" t="s">
        <v>494</v>
      </c>
      <c r="B1" s="145" t="s">
        <v>95</v>
      </c>
      <c r="C1" s="145" t="s">
        <v>241</v>
      </c>
      <c r="D1" s="145" t="s">
        <v>49</v>
      </c>
      <c r="G1" s="146"/>
      <c r="I1" s="147"/>
    </row>
    <row r="2" spans="1:26" s="145" customFormat="1" ht="6.75" x14ac:dyDescent="0.15">
      <c r="A2" s="145" t="s">
        <v>68</v>
      </c>
      <c r="B2" s="145" t="s">
        <v>455</v>
      </c>
      <c r="C2" s="145" t="s">
        <v>443</v>
      </c>
      <c r="D2" s="145" t="s">
        <v>444</v>
      </c>
      <c r="E2" s="145" t="s">
        <v>493</v>
      </c>
      <c r="F2" s="145" t="s">
        <v>445</v>
      </c>
      <c r="G2" s="145" t="s">
        <v>115</v>
      </c>
      <c r="H2" s="145" t="s">
        <v>436</v>
      </c>
      <c r="I2" s="145" t="s">
        <v>446</v>
      </c>
    </row>
    <row r="3" spans="1:26" s="44" customFormat="1" ht="11.25"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46"/>
      <c r="K3" s="46"/>
      <c r="L3" s="46"/>
      <c r="M3" s="46"/>
      <c r="N3" s="46"/>
      <c r="O3" s="46"/>
      <c r="P3" s="46"/>
      <c r="Q3" s="46"/>
      <c r="R3" s="47"/>
      <c r="S3" s="46"/>
      <c r="T3" s="46"/>
      <c r="U3" s="46"/>
    </row>
    <row r="4" spans="1:26" s="145" customFormat="1" ht="6.75" x14ac:dyDescent="0.15">
      <c r="A4" s="145" t="s">
        <v>68</v>
      </c>
      <c r="B4" s="145" t="s">
        <v>455</v>
      </c>
      <c r="C4" s="145" t="s">
        <v>443</v>
      </c>
      <c r="D4" s="145" t="s">
        <v>444</v>
      </c>
      <c r="E4" s="145" t="s">
        <v>493</v>
      </c>
      <c r="F4" s="145" t="s">
        <v>454</v>
      </c>
      <c r="G4" s="145" t="s">
        <v>453</v>
      </c>
      <c r="H4" s="145" t="s">
        <v>447</v>
      </c>
      <c r="I4" s="145" t="s">
        <v>448</v>
      </c>
      <c r="J4" s="145" t="s">
        <v>450</v>
      </c>
      <c r="K4" s="145" t="s">
        <v>451</v>
      </c>
      <c r="L4" s="145" t="s">
        <v>452</v>
      </c>
      <c r="M4" s="145" t="s">
        <v>442</v>
      </c>
      <c r="N4" s="145" t="s">
        <v>37</v>
      </c>
      <c r="O4" s="145" t="s">
        <v>441</v>
      </c>
      <c r="P4" s="148" t="s">
        <v>491</v>
      </c>
    </row>
    <row r="5" spans="1:26" s="44" customFormat="1" ht="11.25" customHeight="1" x14ac:dyDescent="0.2">
      <c r="A5" s="64" t="s">
        <v>71</v>
      </c>
      <c r="B5" s="64" t="s">
        <v>495</v>
      </c>
      <c r="C5" s="64"/>
      <c r="D5" s="65">
        <v>1</v>
      </c>
      <c r="E5" s="93" t="s">
        <v>73</v>
      </c>
      <c r="F5" s="49" t="str">
        <f ca="1">(INDIRECT("'Data'!C"&amp;($C$1)))</f>
        <v>Automation</v>
      </c>
      <c r="G5" s="48"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3519</v>
      </c>
      <c r="N5" s="48" t="str">
        <f ca="1">(INDIRECT("'Data'!AW"&amp;($C$1)))</f>
        <v>EXCH1 ROAD</v>
      </c>
      <c r="O5" s="49" t="str">
        <f ca="1">CONCATENATE(RIGHT((INDIRECT("'Data'!X"&amp;($C$1))),5),"-",RIGHT(R7&amp;(INDIRECT("'Data'!Y"&amp;($C$1))),5))</f>
        <v>FRST--3519</v>
      </c>
      <c r="P5" s="85"/>
      <c r="Q5" s="46"/>
      <c r="R5" s="46"/>
      <c r="S5" s="46"/>
    </row>
    <row r="6" spans="1:26" s="145" customFormat="1" ht="6.75" x14ac:dyDescent="0.15">
      <c r="A6" s="145" t="s">
        <v>68</v>
      </c>
      <c r="B6" s="145" t="s">
        <v>455</v>
      </c>
      <c r="C6" s="145" t="s">
        <v>443</v>
      </c>
      <c r="D6" s="145" t="s">
        <v>444</v>
      </c>
      <c r="E6" s="145" t="s">
        <v>493</v>
      </c>
      <c r="F6" s="145" t="s">
        <v>447</v>
      </c>
      <c r="G6" s="145" t="s">
        <v>450</v>
      </c>
      <c r="H6" s="145" t="s">
        <v>451</v>
      </c>
      <c r="I6" s="145" t="s">
        <v>452</v>
      </c>
      <c r="J6" s="145" t="s">
        <v>442</v>
      </c>
      <c r="K6" s="145" t="s">
        <v>37</v>
      </c>
      <c r="L6" s="145" t="s">
        <v>448</v>
      </c>
      <c r="M6" s="145" t="s">
        <v>449</v>
      </c>
      <c r="N6" s="145" t="s">
        <v>439</v>
      </c>
      <c r="O6" s="145" t="s">
        <v>78</v>
      </c>
      <c r="P6" s="145" t="s">
        <v>79</v>
      </c>
      <c r="Q6" s="145" t="s">
        <v>87</v>
      </c>
      <c r="R6" s="145" t="s">
        <v>80</v>
      </c>
      <c r="S6" s="145" t="s">
        <v>110</v>
      </c>
      <c r="T6" s="145" t="s">
        <v>114</v>
      </c>
      <c r="U6" s="145" t="s">
        <v>90</v>
      </c>
      <c r="V6" s="145" t="s">
        <v>81</v>
      </c>
      <c r="W6" s="145" t="s">
        <v>88</v>
      </c>
      <c r="X6" s="145" t="s">
        <v>276</v>
      </c>
      <c r="Y6" s="145" t="s">
        <v>457</v>
      </c>
      <c r="Z6" s="148" t="s">
        <v>491</v>
      </c>
    </row>
    <row r="7" spans="1:26"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3519</v>
      </c>
      <c r="K7" s="48" t="str">
        <f ca="1">(INDIRECT("'Data'!AW"&amp;($C$1)))</f>
        <v>EXCH1 ROAD</v>
      </c>
      <c r="L7" s="48" t="str">
        <f ca="1">(INDIRECT("'Data'!E"&amp;($C$1)))</f>
        <v>S</v>
      </c>
      <c r="M7" s="48" t="str">
        <f ca="1">(INDIRECT("'Data'!AI"&amp;($C$1)))</f>
        <v>2019-04-26 08:00</v>
      </c>
      <c r="N7" s="49">
        <f ca="1">(INDIRECT("'Data'!BG"&amp;($C$1)))</f>
        <v>0</v>
      </c>
      <c r="O7" s="49" t="str">
        <f ca="1">(INDIRECT("'Data'!AH"&amp;($C$1)))</f>
        <v>Site_Contact_3519</v>
      </c>
      <c r="P7" s="48" t="str">
        <f ca="1">(INDIRECT("'Data'!AE"&amp;($C$1)))</f>
        <v>LAST_METER-3519</v>
      </c>
      <c r="Q7" s="48" t="str">
        <f ca="1">(INDIRECT("'Data'!DK"&amp;($C$1)))</f>
        <v>G</v>
      </c>
      <c r="R7" s="48">
        <f ca="1">(INDIRECT("'Data'!D"&amp;($C$1)))</f>
        <v>3519</v>
      </c>
      <c r="S7" s="48" t="str">
        <f ca="1">INDIRECT("'Data'!M"&amp;($C$1))</f>
        <v>Q</v>
      </c>
      <c r="T7" s="48" t="str">
        <f ca="1">INDIRECT("'Data'!AM"&amp;($C$1))</f>
        <v>01153519</v>
      </c>
      <c r="U7" s="48" t="str">
        <f ca="1">(INDIRECT("'Data'!N"&amp;($C$1)))</f>
        <v>UK_1_F</v>
      </c>
      <c r="V7" s="48">
        <f ca="1">(INDIRECT("'Data'!O"&amp;($C$1)))</f>
        <v>0</v>
      </c>
      <c r="W7" s="48" t="str">
        <f ca="1">(INDIRECT("'Data'!P"&amp;($C$1)))</f>
        <v>SN-3519</v>
      </c>
      <c r="X7" s="48" t="str">
        <f ca="1">(INDIRECT("'Data'!C"&amp;($C$1)))</f>
        <v>Automation</v>
      </c>
      <c r="Y7" s="48" t="str">
        <f ca="1">(INDIRECT("'Data'!Q"&amp;($C$1)))</f>
        <v>SI-3519</v>
      </c>
      <c r="Z7" s="85"/>
    </row>
    <row r="8" spans="1:26" s="145" customFormat="1" ht="6.75" x14ac:dyDescent="0.15">
      <c r="A8" s="145" t="s">
        <v>68</v>
      </c>
      <c r="B8" s="145" t="s">
        <v>455</v>
      </c>
      <c r="C8" s="145" t="s">
        <v>443</v>
      </c>
      <c r="D8" s="145" t="s">
        <v>444</v>
      </c>
      <c r="E8" s="145" t="s">
        <v>493</v>
      </c>
      <c r="F8" s="145" t="s">
        <v>447</v>
      </c>
      <c r="G8" s="145" t="s">
        <v>37</v>
      </c>
      <c r="H8" s="145" t="s">
        <v>458</v>
      </c>
      <c r="I8" s="145" t="s">
        <v>459</v>
      </c>
      <c r="J8" s="145" t="s">
        <v>261</v>
      </c>
      <c r="K8" s="145" t="s">
        <v>460</v>
      </c>
      <c r="L8" s="148" t="s">
        <v>491</v>
      </c>
    </row>
    <row r="9" spans="1:26"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5"/>
    </row>
    <row r="10" spans="1:26" s="145" customFormat="1" ht="6.75" x14ac:dyDescent="0.15">
      <c r="A10" s="145" t="s">
        <v>68</v>
      </c>
      <c r="B10" s="145" t="s">
        <v>455</v>
      </c>
      <c r="C10" s="145" t="s">
        <v>443</v>
      </c>
      <c r="D10" s="145" t="s">
        <v>444</v>
      </c>
      <c r="E10" s="145" t="s">
        <v>493</v>
      </c>
      <c r="F10" s="145" t="s">
        <v>262</v>
      </c>
      <c r="G10" s="145" t="s">
        <v>447</v>
      </c>
      <c r="H10" s="145" t="s">
        <v>37</v>
      </c>
      <c r="I10" s="145" t="s">
        <v>43</v>
      </c>
      <c r="J10" s="145" t="s">
        <v>462</v>
      </c>
      <c r="K10" s="145" t="s">
        <v>465</v>
      </c>
      <c r="L10" s="145" t="s">
        <v>460</v>
      </c>
      <c r="M10" s="148" t="s">
        <v>491</v>
      </c>
    </row>
    <row r="11" spans="1:26" s="44" customFormat="1" ht="11.25" customHeight="1" x14ac:dyDescent="0.2">
      <c r="A11" s="64" t="s">
        <v>71</v>
      </c>
      <c r="B11" s="64" t="s">
        <v>498</v>
      </c>
      <c r="C11" s="64"/>
      <c r="D11" s="65">
        <v>1</v>
      </c>
      <c r="E11" s="94" t="s">
        <v>73</v>
      </c>
      <c r="F11" s="49">
        <f ca="1">(INDIRECT("'Data'!BG"&amp;($C$1)))</f>
        <v>0</v>
      </c>
      <c r="G11" s="49" t="str">
        <f ca="1">(INDIRECT("'Data'!F"&amp;($C$1)))</f>
        <v>EXCHANGE GAS METER TO SECURE SMART CREDIT</v>
      </c>
      <c r="H11" s="48" t="str">
        <f ca="1">(INDIRECT("'Data'!AW"&amp;($C$1)))</f>
        <v>EXCH1 ROAD</v>
      </c>
      <c r="I11" s="49" t="str">
        <f ca="1">(INDIRECT("'Data'!AH"&amp;($C$1)))</f>
        <v>Site_Contact_3519</v>
      </c>
      <c r="J11" s="49" t="str">
        <f ca="1">(INDIRECT("'Data'!BA"&amp;($C$1)))</f>
        <v>C</v>
      </c>
      <c r="K11" s="49">
        <f ca="1">(INDIRECT("'Data'!BD"&amp;($C$1)))</f>
        <v>0</v>
      </c>
      <c r="L11" s="49">
        <f ca="1">(INDIRECT("'Data'!BO"&amp;($C$1)))</f>
        <v>0</v>
      </c>
      <c r="M11" s="85"/>
    </row>
    <row r="12" spans="1:26" s="145" customFormat="1" ht="6.75" x14ac:dyDescent="0.15">
      <c r="A12" s="145" t="s">
        <v>68</v>
      </c>
      <c r="B12" s="145" t="s">
        <v>455</v>
      </c>
      <c r="C12" s="145" t="s">
        <v>443</v>
      </c>
      <c r="D12" s="145" t="s">
        <v>444</v>
      </c>
      <c r="E12" s="145" t="s">
        <v>493</v>
      </c>
      <c r="F12" s="145" t="s">
        <v>475</v>
      </c>
      <c r="G12" s="145" t="s">
        <v>439</v>
      </c>
      <c r="H12" s="145" t="s">
        <v>43</v>
      </c>
      <c r="I12" s="145" t="s">
        <v>447</v>
      </c>
      <c r="J12" s="145" t="s">
        <v>450</v>
      </c>
      <c r="K12" s="145" t="s">
        <v>451</v>
      </c>
      <c r="L12" s="145" t="s">
        <v>452</v>
      </c>
      <c r="M12" s="145" t="s">
        <v>442</v>
      </c>
      <c r="N12" s="145" t="s">
        <v>37</v>
      </c>
      <c r="O12" s="145" t="s">
        <v>468</v>
      </c>
      <c r="P12" s="149" t="s">
        <v>469</v>
      </c>
      <c r="Q12" s="149" t="s">
        <v>471</v>
      </c>
      <c r="R12" s="145" t="s">
        <v>473</v>
      </c>
      <c r="S12" s="149" t="s">
        <v>470</v>
      </c>
      <c r="T12" s="145" t="s">
        <v>472</v>
      </c>
      <c r="U12" s="148" t="s">
        <v>491</v>
      </c>
    </row>
    <row r="13" spans="1:26" s="57" customFormat="1" ht="11.25" customHeight="1" x14ac:dyDescent="0.2">
      <c r="A13" s="64" t="s">
        <v>71</v>
      </c>
      <c r="B13" s="64" t="s">
        <v>467</v>
      </c>
      <c r="C13" s="64"/>
      <c r="D13" s="66">
        <v>1</v>
      </c>
      <c r="E13" s="94" t="s">
        <v>73</v>
      </c>
      <c r="F13" s="48">
        <f ca="1">(INDIRECT("'Data'!CD"&amp;($C$1)))</f>
        <v>0</v>
      </c>
      <c r="G13" s="49">
        <f ca="1">(INDIRECT("'Data'!BG"&amp;($C$1)))</f>
        <v>0</v>
      </c>
      <c r="H13" s="49" t="str">
        <f ca="1">(INDIRECT("'Data'!AH"&amp;($C$1)))</f>
        <v>Site_Contact_3519</v>
      </c>
      <c r="I13" s="49" t="str">
        <f ca="1">(INDIRECT("'Data'!F"&amp;($C$1)))</f>
        <v>EXCHANGE GAS METER TO SECURE SMART CREDIT</v>
      </c>
      <c r="J13" s="48">
        <f ca="1">(INDIRECT("'Data'!AS"&amp;($C$1)))</f>
        <v>0</v>
      </c>
      <c r="K13" s="48" t="str">
        <f ca="1">(INDIRECT("'Data'!AT"&amp;($C$1)))</f>
        <v>TPJR00530</v>
      </c>
      <c r="L13" s="48">
        <f ca="1">(INDIRECT("'Data'!AU"&amp;($C$1)))</f>
        <v>0</v>
      </c>
      <c r="M13" s="48">
        <f ca="1">(INDIRECT("'Data'!AV"&amp;($C$1)))</f>
        <v>3519</v>
      </c>
      <c r="N13" s="48" t="str">
        <f ca="1">(INDIRECT("'Data'!AW"&amp;($C$1)))</f>
        <v>EXCH1 ROAD</v>
      </c>
      <c r="O13" s="57" t="s">
        <v>73</v>
      </c>
      <c r="P13" s="58" t="s">
        <v>73</v>
      </c>
      <c r="Q13" s="58" t="s">
        <v>265</v>
      </c>
      <c r="R13" s="59" t="s">
        <v>73</v>
      </c>
      <c r="S13" s="58" t="s">
        <v>75</v>
      </c>
      <c r="T13" s="60" t="s">
        <v>100</v>
      </c>
      <c r="U13" s="85"/>
    </row>
    <row r="14" spans="1:26" s="145" customFormat="1" ht="6.75" x14ac:dyDescent="0.15">
      <c r="A14" s="145" t="s">
        <v>68</v>
      </c>
      <c r="B14" s="145" t="s">
        <v>455</v>
      </c>
      <c r="C14" s="145" t="s">
        <v>443</v>
      </c>
      <c r="D14" s="145" t="s">
        <v>444</v>
      </c>
      <c r="E14" s="145" t="s">
        <v>493</v>
      </c>
      <c r="F14" s="145" t="s">
        <v>475</v>
      </c>
      <c r="G14" s="145" t="s">
        <v>439</v>
      </c>
      <c r="H14" s="145" t="s">
        <v>447</v>
      </c>
      <c r="I14" s="145" t="s">
        <v>37</v>
      </c>
      <c r="J14" s="145" t="s">
        <v>94</v>
      </c>
      <c r="K14" s="148" t="s">
        <v>491</v>
      </c>
      <c r="L14" s="149" t="s">
        <v>77</v>
      </c>
      <c r="M14" s="149" t="s">
        <v>77</v>
      </c>
      <c r="N14" s="147" t="s">
        <v>77</v>
      </c>
      <c r="O14" s="149"/>
      <c r="P14" s="149"/>
      <c r="R14" s="149"/>
    </row>
    <row r="15" spans="1:26" s="44" customFormat="1" ht="11.25" customHeight="1" x14ac:dyDescent="0.2">
      <c r="A15" s="64" t="s">
        <v>71</v>
      </c>
      <c r="B15" s="64" t="s">
        <v>474</v>
      </c>
      <c r="C15" s="64"/>
      <c r="D15" s="66">
        <v>1</v>
      </c>
      <c r="E15" s="93" t="s">
        <v>73</v>
      </c>
      <c r="F15" s="48">
        <f ca="1">(INDIRECT("'Data'!CD"&amp;($C$1)))</f>
        <v>0</v>
      </c>
      <c r="G15" s="49">
        <f ca="1">(INDIRECT("'Data'!BG"&amp;($C$1)))</f>
        <v>0</v>
      </c>
      <c r="H15" s="49" t="str">
        <f ca="1">(INDIRECT("'Data'!F"&amp;($C$1)))</f>
        <v>EXCHANGE GAS METER TO SECURE SMART CREDIT</v>
      </c>
      <c r="I15" s="48" t="str">
        <f ca="1">(INDIRECT("'Data'!AW"&amp;($C$1)))</f>
        <v>EXCH1 ROAD</v>
      </c>
      <c r="J15" s="44" t="s">
        <v>73</v>
      </c>
      <c r="K15" s="85"/>
      <c r="L15" s="61"/>
      <c r="M15" s="61"/>
      <c r="N15" s="62"/>
      <c r="O15" s="61"/>
      <c r="P15" s="61"/>
      <c r="Q15" s="47"/>
      <c r="R15" s="61"/>
    </row>
    <row r="16" spans="1:26" s="145" customFormat="1" ht="6.75" x14ac:dyDescent="0.15">
      <c r="A16" s="145" t="s">
        <v>68</v>
      </c>
      <c r="B16" s="145" t="s">
        <v>455</v>
      </c>
      <c r="C16" s="145" t="s">
        <v>443</v>
      </c>
      <c r="D16" s="145" t="s">
        <v>444</v>
      </c>
      <c r="E16" s="145" t="s">
        <v>493</v>
      </c>
      <c r="F16" s="145" t="s">
        <v>477</v>
      </c>
      <c r="G16" s="145" t="s">
        <v>478</v>
      </c>
      <c r="H16" s="149" t="s">
        <v>480</v>
      </c>
      <c r="I16" s="145" t="s">
        <v>96</v>
      </c>
      <c r="J16" s="149" t="s">
        <v>481</v>
      </c>
      <c r="K16" s="149" t="s">
        <v>482</v>
      </c>
      <c r="L16" s="145" t="s">
        <v>475</v>
      </c>
      <c r="M16" s="145" t="s">
        <v>817</v>
      </c>
      <c r="N16" s="145" t="s">
        <v>479</v>
      </c>
      <c r="O16" s="145" t="s">
        <v>483</v>
      </c>
      <c r="P16" s="148" t="s">
        <v>491</v>
      </c>
    </row>
    <row r="17" spans="1:46"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6" s="148" customFormat="1" ht="6.75" x14ac:dyDescent="0.15">
      <c r="A18" s="148" t="s">
        <v>68</v>
      </c>
      <c r="B18" s="148" t="s">
        <v>455</v>
      </c>
      <c r="C18" s="145" t="s">
        <v>443</v>
      </c>
      <c r="D18" s="145" t="s">
        <v>444</v>
      </c>
      <c r="E18" s="148" t="s">
        <v>493</v>
      </c>
      <c r="F18" s="148" t="s">
        <v>501</v>
      </c>
      <c r="G18" s="148" t="s">
        <v>507</v>
      </c>
      <c r="H18" s="148" t="s">
        <v>506</v>
      </c>
      <c r="I18" s="148" t="s">
        <v>724</v>
      </c>
      <c r="J18" s="148" t="s">
        <v>508</v>
      </c>
      <c r="K18" s="148" t="s">
        <v>504</v>
      </c>
      <c r="L18" s="148" t="s">
        <v>722</v>
      </c>
      <c r="M18" s="148" t="s">
        <v>491</v>
      </c>
    </row>
    <row r="19" spans="1:46" s="87" customFormat="1" ht="10.5" customHeight="1" x14ac:dyDescent="0.2">
      <c r="A19" s="132" t="s">
        <v>71</v>
      </c>
      <c r="B19" s="132" t="s">
        <v>720</v>
      </c>
      <c r="C19" s="129"/>
      <c r="D19" s="82">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6" s="148" customFormat="1" ht="6.75" x14ac:dyDescent="0.15">
      <c r="A20" s="148" t="s">
        <v>68</v>
      </c>
      <c r="B20" s="148" t="s">
        <v>455</v>
      </c>
      <c r="C20" s="145" t="s">
        <v>443</v>
      </c>
      <c r="D20" s="145" t="s">
        <v>444</v>
      </c>
      <c r="E20" s="148" t="s">
        <v>493</v>
      </c>
      <c r="F20" s="148" t="s">
        <v>725</v>
      </c>
      <c r="G20" s="148" t="s">
        <v>520</v>
      </c>
      <c r="H20" s="148" t="s">
        <v>726</v>
      </c>
      <c r="I20" s="148" t="s">
        <v>728</v>
      </c>
      <c r="J20" s="148" t="s">
        <v>553</v>
      </c>
      <c r="K20" s="148" t="s">
        <v>729</v>
      </c>
      <c r="L20" s="148" t="s">
        <v>516</v>
      </c>
      <c r="M20" s="148" t="s">
        <v>730</v>
      </c>
      <c r="N20" s="148" t="s">
        <v>524</v>
      </c>
      <c r="O20" s="148" t="s">
        <v>491</v>
      </c>
    </row>
    <row r="21" spans="1:46" s="87" customFormat="1" ht="10.5" customHeight="1" x14ac:dyDescent="0.2">
      <c r="A21" s="83" t="s">
        <v>71</v>
      </c>
      <c r="B21" s="83" t="s">
        <v>723</v>
      </c>
      <c r="C21" s="84"/>
      <c r="D21" s="70">
        <v>1</v>
      </c>
      <c r="E21" s="95" t="s">
        <v>73</v>
      </c>
      <c r="F21" s="85"/>
      <c r="G21" s="85" t="s">
        <v>73</v>
      </c>
      <c r="H21" s="85" t="s">
        <v>727</v>
      </c>
      <c r="I21" s="85"/>
      <c r="J21" s="85"/>
      <c r="K21" s="85"/>
      <c r="L21" s="85"/>
      <c r="M21" s="85"/>
      <c r="N21" s="85"/>
      <c r="O21" s="85"/>
    </row>
    <row r="22" spans="1:46" s="148" customFormat="1" ht="6.75" x14ac:dyDescent="0.15">
      <c r="A22" s="148" t="s">
        <v>68</v>
      </c>
      <c r="B22" s="148" t="s">
        <v>455</v>
      </c>
      <c r="C22" s="145" t="s">
        <v>443</v>
      </c>
      <c r="D22" s="145" t="s">
        <v>444</v>
      </c>
      <c r="E22" s="148" t="s">
        <v>493</v>
      </c>
      <c r="F22" s="148" t="s">
        <v>526</v>
      </c>
      <c r="G22" s="148" t="s">
        <v>811</v>
      </c>
      <c r="H22" s="148" t="s">
        <v>842</v>
      </c>
      <c r="I22" s="148" t="s">
        <v>471</v>
      </c>
      <c r="J22" s="148" t="s">
        <v>491</v>
      </c>
    </row>
    <row r="23" spans="1:46" s="87" customFormat="1" ht="10.5" customHeight="1" x14ac:dyDescent="0.2">
      <c r="A23" s="132" t="s">
        <v>71</v>
      </c>
      <c r="B23" s="132" t="s">
        <v>810</v>
      </c>
      <c r="C23" s="129"/>
      <c r="D23" s="82">
        <v>1</v>
      </c>
      <c r="E23" s="95" t="s">
        <v>73</v>
      </c>
      <c r="F23" s="85" t="s">
        <v>73</v>
      </c>
      <c r="G23" s="85"/>
      <c r="H23" s="85" t="s">
        <v>843</v>
      </c>
      <c r="I23" s="85" t="s">
        <v>812</v>
      </c>
      <c r="J23" s="85"/>
      <c r="K23" s="85"/>
      <c r="L23" s="85"/>
      <c r="M23" s="85"/>
      <c r="N23" s="85"/>
      <c r="O23" s="85"/>
      <c r="P23" s="85"/>
      <c r="Q23" s="85"/>
      <c r="R23" s="85"/>
      <c r="S23" s="85"/>
      <c r="T23" s="85"/>
      <c r="U23" s="85"/>
      <c r="V23" s="85"/>
      <c r="W23" s="85"/>
      <c r="X23" s="85"/>
      <c r="Y23" s="85"/>
      <c r="Z23" s="72"/>
      <c r="AA23" s="85"/>
      <c r="AB23" s="85"/>
      <c r="AI23" s="85"/>
      <c r="AK23" s="85"/>
    </row>
    <row r="24" spans="1:46" s="148" customFormat="1" ht="6.75" x14ac:dyDescent="0.15">
      <c r="A24" s="148" t="s">
        <v>68</v>
      </c>
      <c r="B24" s="148" t="s">
        <v>455</v>
      </c>
      <c r="C24" s="145" t="s">
        <v>443</v>
      </c>
      <c r="D24" s="145" t="s">
        <v>444</v>
      </c>
      <c r="E24" s="148" t="s">
        <v>493</v>
      </c>
      <c r="F24" s="148" t="s">
        <v>491</v>
      </c>
    </row>
    <row r="25" spans="1:46" s="87" customFormat="1" ht="10.5" customHeight="1" x14ac:dyDescent="0.2">
      <c r="A25" s="132" t="s">
        <v>71</v>
      </c>
      <c r="B25" s="132" t="s">
        <v>721</v>
      </c>
      <c r="C25" s="129"/>
      <c r="D25" s="82">
        <v>1</v>
      </c>
      <c r="E25" s="95" t="s">
        <v>73</v>
      </c>
      <c r="F25" s="85"/>
      <c r="G25" s="85"/>
      <c r="H25" s="85"/>
      <c r="I25" s="85"/>
      <c r="J25" s="85"/>
      <c r="K25" s="85"/>
      <c r="L25" s="85"/>
      <c r="M25" s="85"/>
      <c r="N25" s="85"/>
      <c r="O25" s="85"/>
      <c r="P25" s="85"/>
      <c r="Q25" s="85"/>
      <c r="R25" s="85"/>
      <c r="S25" s="85"/>
      <c r="T25" s="85"/>
      <c r="U25" s="85"/>
      <c r="V25" s="85"/>
      <c r="W25" s="85"/>
      <c r="X25" s="72"/>
      <c r="Y25" s="85"/>
      <c r="Z25" s="85"/>
      <c r="AG25" s="85"/>
      <c r="AI25" s="85"/>
    </row>
    <row r="26" spans="1:46" s="145" customFormat="1" ht="6.75" x14ac:dyDescent="0.15">
      <c r="A26" s="145" t="s">
        <v>68</v>
      </c>
      <c r="B26" s="145" t="s">
        <v>455</v>
      </c>
      <c r="C26" s="145" t="s">
        <v>443</v>
      </c>
      <c r="D26" s="145" t="s">
        <v>444</v>
      </c>
      <c r="E26" s="145" t="s">
        <v>493</v>
      </c>
      <c r="F26" s="145" t="s">
        <v>733</v>
      </c>
      <c r="G26" s="145" t="s">
        <v>566</v>
      </c>
      <c r="H26" s="145" t="s">
        <v>538</v>
      </c>
      <c r="I26" s="145" t="s">
        <v>539</v>
      </c>
      <c r="J26" s="145" t="s">
        <v>540</v>
      </c>
      <c r="K26" s="145" t="s">
        <v>734</v>
      </c>
      <c r="L26" s="145" t="s">
        <v>491</v>
      </c>
    </row>
    <row r="27" spans="1:46" s="57" customFormat="1" ht="11.25" x14ac:dyDescent="0.2">
      <c r="A27" s="68" t="s">
        <v>71</v>
      </c>
      <c r="B27" s="68" t="s">
        <v>731</v>
      </c>
      <c r="C27" s="69"/>
      <c r="D27" s="70">
        <v>1</v>
      </c>
      <c r="E27" s="94" t="s">
        <v>73</v>
      </c>
      <c r="F27" s="94" t="s">
        <v>73</v>
      </c>
      <c r="G27" s="94" t="s">
        <v>109</v>
      </c>
      <c r="H27" s="94" t="s">
        <v>108</v>
      </c>
      <c r="I27" s="94" t="s">
        <v>75</v>
      </c>
      <c r="J27" s="94"/>
    </row>
    <row r="28" spans="1:46" s="145" customFormat="1" ht="6.75" x14ac:dyDescent="0.15">
      <c r="A28" s="145" t="s">
        <v>68</v>
      </c>
      <c r="B28" s="145" t="s">
        <v>455</v>
      </c>
      <c r="C28" s="145" t="s">
        <v>443</v>
      </c>
      <c r="D28" s="145" t="s">
        <v>444</v>
      </c>
      <c r="E28" s="145" t="s">
        <v>493</v>
      </c>
      <c r="F28" s="145" t="s">
        <v>547</v>
      </c>
      <c r="G28" s="145" t="s">
        <v>549</v>
      </c>
      <c r="H28" s="145" t="s">
        <v>546</v>
      </c>
      <c r="I28" s="145" t="s">
        <v>735</v>
      </c>
      <c r="J28" s="145" t="s">
        <v>567</v>
      </c>
      <c r="K28" s="145" t="s">
        <v>736</v>
      </c>
      <c r="L28" s="145" t="s">
        <v>737</v>
      </c>
      <c r="M28" s="145" t="s">
        <v>553</v>
      </c>
      <c r="N28" s="145" t="s">
        <v>729</v>
      </c>
      <c r="O28" s="145" t="s">
        <v>516</v>
      </c>
      <c r="P28" s="145" t="s">
        <v>491</v>
      </c>
    </row>
    <row r="29" spans="1:46" s="57" customFormat="1" ht="11.25" x14ac:dyDescent="0.2">
      <c r="A29" s="68" t="s">
        <v>71</v>
      </c>
      <c r="B29" s="68" t="s">
        <v>732</v>
      </c>
      <c r="C29" s="69"/>
      <c r="D29" s="70">
        <v>1</v>
      </c>
      <c r="E29" s="94" t="s">
        <v>73</v>
      </c>
      <c r="F29" s="57" t="s">
        <v>73</v>
      </c>
      <c r="H29" s="57" t="s">
        <v>73</v>
      </c>
    </row>
    <row r="30" spans="1:46" s="148" customFormat="1" ht="6.75" x14ac:dyDescent="0.15">
      <c r="A30" s="148" t="s">
        <v>68</v>
      </c>
      <c r="B30" s="148" t="s">
        <v>455</v>
      </c>
      <c r="C30" s="145" t="s">
        <v>443</v>
      </c>
      <c r="D30" s="145" t="s">
        <v>444</v>
      </c>
      <c r="E30" s="148" t="s">
        <v>493</v>
      </c>
      <c r="F30" s="148" t="s">
        <v>784</v>
      </c>
      <c r="G30" s="148" t="s">
        <v>787</v>
      </c>
      <c r="H30" s="148" t="s">
        <v>404</v>
      </c>
      <c r="I30" s="148" t="s">
        <v>785</v>
      </c>
      <c r="J30" s="148" t="s">
        <v>753</v>
      </c>
      <c r="K30" s="148" t="s">
        <v>786</v>
      </c>
      <c r="L30" s="148" t="s">
        <v>491</v>
      </c>
    </row>
    <row r="31" spans="1:46" s="87" customFormat="1" ht="10.5" customHeight="1" x14ac:dyDescent="0.2">
      <c r="A31" s="83" t="s">
        <v>71</v>
      </c>
      <c r="B31" s="83" t="s">
        <v>788</v>
      </c>
      <c r="C31" s="84"/>
      <c r="D31" s="70">
        <v>1</v>
      </c>
      <c r="E31" s="95" t="s">
        <v>73</v>
      </c>
      <c r="F31" s="85" t="s">
        <v>73</v>
      </c>
      <c r="G31" s="85">
        <v>99</v>
      </c>
      <c r="H31" s="85">
        <v>99</v>
      </c>
      <c r="I31" s="85">
        <v>99</v>
      </c>
      <c r="J31" s="85">
        <v>99</v>
      </c>
      <c r="K31" s="85" t="s">
        <v>73</v>
      </c>
      <c r="L31" s="85"/>
      <c r="M31" s="85"/>
      <c r="N31" s="85"/>
      <c r="O31" s="85"/>
      <c r="P31" s="85"/>
      <c r="Q31" s="85"/>
      <c r="R31" s="85"/>
      <c r="S31" s="85"/>
      <c r="T31" s="85"/>
      <c r="U31" s="85"/>
      <c r="V31" s="85"/>
      <c r="W31" s="85"/>
      <c r="X31" s="72"/>
      <c r="Y31" s="85"/>
      <c r="Z31" s="85"/>
      <c r="AG31" s="85"/>
      <c r="AI31" s="85"/>
    </row>
    <row r="32" spans="1:46" s="150" customFormat="1" ht="6.75" x14ac:dyDescent="0.15">
      <c r="A32" s="150" t="s">
        <v>68</v>
      </c>
      <c r="B32" s="145" t="s">
        <v>455</v>
      </c>
      <c r="C32" s="145" t="s">
        <v>443</v>
      </c>
      <c r="D32" s="145" t="s">
        <v>444</v>
      </c>
      <c r="E32" s="150" t="s">
        <v>493</v>
      </c>
      <c r="F32" s="150" t="s">
        <v>750</v>
      </c>
      <c r="G32" s="150" t="s">
        <v>116</v>
      </c>
      <c r="H32" s="150" t="s">
        <v>117</v>
      </c>
      <c r="I32" s="150" t="s">
        <v>118</v>
      </c>
      <c r="J32" s="150" t="s">
        <v>123</v>
      </c>
      <c r="K32" s="150" t="s">
        <v>119</v>
      </c>
      <c r="L32" s="150" t="s">
        <v>221</v>
      </c>
      <c r="M32" s="150" t="s">
        <v>171</v>
      </c>
      <c r="N32" s="150" t="s">
        <v>172</v>
      </c>
      <c r="O32" s="150" t="s">
        <v>177</v>
      </c>
      <c r="P32" s="150" t="s">
        <v>169</v>
      </c>
      <c r="Q32" s="150" t="s">
        <v>170</v>
      </c>
      <c r="R32" s="150" t="s">
        <v>268</v>
      </c>
      <c r="S32" s="150" t="s">
        <v>173</v>
      </c>
      <c r="T32" s="150" t="s">
        <v>174</v>
      </c>
      <c r="U32" s="150" t="s">
        <v>175</v>
      </c>
      <c r="V32" s="150" t="s">
        <v>176</v>
      </c>
      <c r="W32" s="150" t="s">
        <v>178</v>
      </c>
      <c r="X32" s="150" t="s">
        <v>179</v>
      </c>
      <c r="Y32" s="150" t="s">
        <v>180</v>
      </c>
      <c r="Z32" s="150" t="s">
        <v>181</v>
      </c>
      <c r="AA32" s="150" t="s">
        <v>182</v>
      </c>
      <c r="AB32" s="150" t="s">
        <v>282</v>
      </c>
      <c r="AC32" s="150" t="s">
        <v>281</v>
      </c>
      <c r="AD32" s="150" t="s">
        <v>281</v>
      </c>
      <c r="AE32" s="150" t="s">
        <v>186</v>
      </c>
      <c r="AF32" s="150" t="s">
        <v>187</v>
      </c>
      <c r="AG32" s="150" t="s">
        <v>192</v>
      </c>
      <c r="AH32" s="150" t="s">
        <v>188</v>
      </c>
      <c r="AI32" s="150" t="s">
        <v>198</v>
      </c>
      <c r="AJ32" s="150" t="s">
        <v>199</v>
      </c>
      <c r="AK32" s="150" t="s">
        <v>200</v>
      </c>
      <c r="AL32" s="150" t="s">
        <v>189</v>
      </c>
      <c r="AM32" s="150" t="s">
        <v>190</v>
      </c>
      <c r="AN32" s="150" t="s">
        <v>191</v>
      </c>
      <c r="AO32" s="150" t="s">
        <v>193</v>
      </c>
      <c r="AP32" s="150" t="s">
        <v>194</v>
      </c>
      <c r="AQ32" s="150" t="s">
        <v>195</v>
      </c>
      <c r="AR32" s="150" t="s">
        <v>196</v>
      </c>
      <c r="AS32" s="150" t="s">
        <v>197</v>
      </c>
      <c r="AT32" s="148" t="s">
        <v>491</v>
      </c>
    </row>
    <row r="33" spans="1:46" s="57" customFormat="1" ht="11.25" x14ac:dyDescent="0.2">
      <c r="A33" s="68" t="s">
        <v>71</v>
      </c>
      <c r="B33" s="68" t="s">
        <v>568</v>
      </c>
      <c r="C33" s="69"/>
      <c r="D33" s="70">
        <v>1</v>
      </c>
      <c r="E33" s="96" t="s">
        <v>73</v>
      </c>
      <c r="F33" s="57" t="s">
        <v>73</v>
      </c>
      <c r="G33" s="60"/>
      <c r="H33" s="60" t="s">
        <v>77</v>
      </c>
      <c r="I33" s="60" t="s">
        <v>77</v>
      </c>
      <c r="J33" s="60"/>
      <c r="K33" s="60"/>
      <c r="L33" s="60"/>
      <c r="M33" s="60">
        <f ca="1">(INDIRECT("'Data'!BQ"&amp;($C$1)))</f>
        <v>0</v>
      </c>
      <c r="N33" s="60"/>
      <c r="O33" s="60">
        <f ca="1">(INDIRECT("'Data'!CI"&amp;($C$1)))</f>
        <v>1</v>
      </c>
      <c r="P33" s="60">
        <f ca="1">(INDIRECT("'Data'!BX"&amp;($C$1)))</f>
        <v>0</v>
      </c>
      <c r="Q33" s="60">
        <f ca="1">(INDIRECT("'Data'!BW"&amp;($C$1)))</f>
        <v>0</v>
      </c>
      <c r="R33" s="60" t="str">
        <f ca="1">(INDIRECT("'Data'!CJ"&amp;($C$1)))</f>
        <v>GAS_ENQ_NO-3519</v>
      </c>
      <c r="S33" s="60" t="str">
        <f ca="1">(INDIRECT("'Data'!CK"&amp;($C$1)))</f>
        <v>G4</v>
      </c>
      <c r="T33" s="60"/>
      <c r="U33" s="60"/>
      <c r="V33" s="60"/>
      <c r="W33" s="60"/>
      <c r="X33" s="60"/>
      <c r="Y33" s="60"/>
      <c r="Z33" s="59"/>
      <c r="AA33" s="60"/>
      <c r="AB33" s="60"/>
      <c r="AC33" s="60"/>
      <c r="AD33" s="60"/>
      <c r="AT33" s="85"/>
    </row>
    <row r="34" spans="1:46" s="145" customFormat="1" ht="6.75" x14ac:dyDescent="0.15">
      <c r="A34" s="145" t="s">
        <v>68</v>
      </c>
      <c r="B34" s="145" t="s">
        <v>455</v>
      </c>
      <c r="C34" s="145" t="s">
        <v>443</v>
      </c>
      <c r="D34" s="145" t="s">
        <v>444</v>
      </c>
      <c r="E34" s="145" t="s">
        <v>493</v>
      </c>
      <c r="F34" s="145" t="s">
        <v>203</v>
      </c>
      <c r="G34" s="145" t="s">
        <v>204</v>
      </c>
      <c r="H34" s="145" t="s">
        <v>205</v>
      </c>
      <c r="I34" s="145" t="s">
        <v>284</v>
      </c>
      <c r="J34" s="145" t="s">
        <v>206</v>
      </c>
      <c r="K34" s="145" t="s">
        <v>207</v>
      </c>
      <c r="L34" s="145" t="s">
        <v>208</v>
      </c>
      <c r="M34" s="145" t="s">
        <v>209</v>
      </c>
      <c r="N34" s="145" t="s">
        <v>210</v>
      </c>
      <c r="O34" s="145" t="s">
        <v>211</v>
      </c>
      <c r="P34" s="145" t="s">
        <v>212</v>
      </c>
      <c r="Q34" s="145" t="s">
        <v>213</v>
      </c>
      <c r="R34" s="145" t="s">
        <v>214</v>
      </c>
      <c r="S34" s="145" t="s">
        <v>215</v>
      </c>
      <c r="T34" s="145" t="s">
        <v>216</v>
      </c>
      <c r="U34" s="145" t="s">
        <v>217</v>
      </c>
      <c r="V34" s="148" t="s">
        <v>491</v>
      </c>
    </row>
    <row r="35" spans="1:46" s="57" customFormat="1" ht="11.25" x14ac:dyDescent="0.2">
      <c r="A35" s="68" t="s">
        <v>71</v>
      </c>
      <c r="B35" s="68" t="s">
        <v>570</v>
      </c>
      <c r="C35" s="69"/>
      <c r="D35" s="70">
        <v>1</v>
      </c>
      <c r="E35" s="94" t="s">
        <v>73</v>
      </c>
      <c r="F35" s="49">
        <f ca="1">(INDIRECT("'Data'!BL"&amp;($C$1)))</f>
        <v>0</v>
      </c>
      <c r="G35" s="49">
        <f ca="1">(INDIRECT("'Data'!BX"&amp;($C$1)))</f>
        <v>0</v>
      </c>
      <c r="H35" s="57" t="s">
        <v>280</v>
      </c>
      <c r="I35" s="60">
        <v>1</v>
      </c>
      <c r="N35" s="57" t="s">
        <v>218</v>
      </c>
      <c r="O35" s="57" t="s">
        <v>285</v>
      </c>
      <c r="P35" s="57" t="s">
        <v>286</v>
      </c>
      <c r="Q35" s="57" t="s">
        <v>287</v>
      </c>
      <c r="R35" s="57" t="s">
        <v>75</v>
      </c>
      <c r="S35" s="57" t="s">
        <v>219</v>
      </c>
      <c r="T35" s="57" t="s">
        <v>120</v>
      </c>
      <c r="U35" s="57" t="s">
        <v>73</v>
      </c>
      <c r="V35" s="85"/>
    </row>
    <row r="36" spans="1:46" s="145" customFormat="1" ht="6.75" x14ac:dyDescent="0.15">
      <c r="A36" s="145" t="s">
        <v>68</v>
      </c>
      <c r="B36" s="145" t="s">
        <v>455</v>
      </c>
      <c r="C36" s="145" t="s">
        <v>443</v>
      </c>
      <c r="D36" s="145" t="s">
        <v>444</v>
      </c>
      <c r="E36" s="145" t="s">
        <v>493</v>
      </c>
      <c r="F36" s="145" t="s">
        <v>574</v>
      </c>
      <c r="G36" s="145" t="s">
        <v>575</v>
      </c>
      <c r="H36" s="148" t="s">
        <v>491</v>
      </c>
    </row>
    <row r="37" spans="1:46" s="57" customFormat="1" ht="11.25" x14ac:dyDescent="0.2">
      <c r="A37" s="68" t="s">
        <v>71</v>
      </c>
      <c r="B37" s="68" t="s">
        <v>578</v>
      </c>
      <c r="C37" s="69"/>
      <c r="D37" s="70">
        <v>1</v>
      </c>
      <c r="E37" s="94" t="s">
        <v>73</v>
      </c>
      <c r="F37" s="57" t="s">
        <v>120</v>
      </c>
      <c r="G37" s="59" t="s">
        <v>73</v>
      </c>
      <c r="H37" s="85"/>
    </row>
    <row r="38" spans="1:46" s="145" customFormat="1" ht="6.75" x14ac:dyDescent="0.15">
      <c r="A38" s="145" t="s">
        <v>68</v>
      </c>
      <c r="B38" s="145" t="s">
        <v>455</v>
      </c>
      <c r="C38" s="145" t="s">
        <v>443</v>
      </c>
      <c r="D38" s="145" t="s">
        <v>444</v>
      </c>
      <c r="E38" s="145" t="s">
        <v>493</v>
      </c>
      <c r="F38" s="145" t="s">
        <v>579</v>
      </c>
      <c r="G38" s="145" t="s">
        <v>577</v>
      </c>
      <c r="H38" s="145" t="s">
        <v>83</v>
      </c>
      <c r="I38" s="145" t="s">
        <v>584</v>
      </c>
      <c r="J38" s="145" t="s">
        <v>576</v>
      </c>
      <c r="K38" s="145" t="s">
        <v>220</v>
      </c>
      <c r="L38" s="148" t="s">
        <v>491</v>
      </c>
    </row>
    <row r="39" spans="1:46" s="57" customFormat="1" ht="11.25" x14ac:dyDescent="0.2">
      <c r="A39" s="68" t="s">
        <v>71</v>
      </c>
      <c r="B39" s="68" t="s">
        <v>580</v>
      </c>
      <c r="C39" s="69" t="s">
        <v>77</v>
      </c>
      <c r="D39" s="70">
        <v>1</v>
      </c>
      <c r="E39" s="94" t="s">
        <v>73</v>
      </c>
      <c r="F39" s="73" t="s">
        <v>754</v>
      </c>
      <c r="G39" s="73" t="s">
        <v>755</v>
      </c>
      <c r="H39" s="73" t="s">
        <v>756</v>
      </c>
      <c r="I39" s="88"/>
      <c r="J39" s="73" t="s">
        <v>124</v>
      </c>
      <c r="K39" s="74" t="s">
        <v>585</v>
      </c>
      <c r="L39" s="85"/>
    </row>
    <row r="40" spans="1:46" s="145" customFormat="1" ht="6.75" x14ac:dyDescent="0.15">
      <c r="A40" s="145" t="s">
        <v>68</v>
      </c>
      <c r="B40" s="145" t="s">
        <v>455</v>
      </c>
      <c r="C40" s="145" t="s">
        <v>443</v>
      </c>
      <c r="D40" s="145" t="s">
        <v>444</v>
      </c>
      <c r="E40" s="145" t="s">
        <v>493</v>
      </c>
      <c r="F40" s="145" t="s">
        <v>318</v>
      </c>
      <c r="G40" s="145" t="s">
        <v>587</v>
      </c>
      <c r="H40" s="145" t="s">
        <v>319</v>
      </c>
      <c r="I40" s="145" t="s">
        <v>125</v>
      </c>
      <c r="J40" s="145" t="s">
        <v>588</v>
      </c>
      <c r="K40" s="145" t="s">
        <v>589</v>
      </c>
      <c r="L40" s="145" t="s">
        <v>320</v>
      </c>
      <c r="M40" s="145" t="s">
        <v>321</v>
      </c>
      <c r="N40" s="145" t="s">
        <v>89</v>
      </c>
      <c r="O40" s="145" t="s">
        <v>590</v>
      </c>
      <c r="P40" s="145" t="s">
        <v>419</v>
      </c>
      <c r="Q40" s="148" t="s">
        <v>491</v>
      </c>
    </row>
    <row r="41" spans="1:46" s="77" customFormat="1" ht="11.25" customHeight="1" x14ac:dyDescent="0.2">
      <c r="A41" s="68" t="s">
        <v>71</v>
      </c>
      <c r="B41" s="68" t="s">
        <v>586</v>
      </c>
      <c r="C41" s="68"/>
      <c r="D41" s="70">
        <v>1</v>
      </c>
      <c r="E41" s="94" t="s">
        <v>73</v>
      </c>
      <c r="F41" s="75" t="s">
        <v>73</v>
      </c>
      <c r="G41" s="75" t="s">
        <v>73</v>
      </c>
      <c r="H41" s="75" t="s">
        <v>322</v>
      </c>
      <c r="I41" s="75" t="s">
        <v>323</v>
      </c>
      <c r="J41" s="75" t="s">
        <v>73</v>
      </c>
      <c r="K41" s="75" t="s">
        <v>73</v>
      </c>
      <c r="L41" s="77" t="s">
        <v>73</v>
      </c>
      <c r="M41" s="77" t="s">
        <v>73</v>
      </c>
      <c r="N41" s="75" t="s">
        <v>73</v>
      </c>
      <c r="O41" s="77" t="s">
        <v>73</v>
      </c>
      <c r="P41" s="75" t="s">
        <v>73</v>
      </c>
      <c r="Q41" s="85"/>
    </row>
    <row r="42" spans="1:46" s="145" customFormat="1" ht="6.75" x14ac:dyDescent="0.15">
      <c r="A42" s="145" t="s">
        <v>68</v>
      </c>
      <c r="B42" s="145" t="s">
        <v>455</v>
      </c>
      <c r="C42" s="145" t="s">
        <v>443</v>
      </c>
      <c r="D42" s="145" t="s">
        <v>444</v>
      </c>
      <c r="E42" s="145" t="s">
        <v>493</v>
      </c>
      <c r="F42" s="145" t="s">
        <v>591</v>
      </c>
      <c r="G42" s="145" t="s">
        <v>593</v>
      </c>
      <c r="H42" s="145" t="s">
        <v>592</v>
      </c>
      <c r="I42" s="145" t="s">
        <v>302</v>
      </c>
      <c r="J42" s="145" t="s">
        <v>304</v>
      </c>
      <c r="K42" s="145" t="s">
        <v>475</v>
      </c>
      <c r="L42" s="148" t="s">
        <v>491</v>
      </c>
    </row>
    <row r="43" spans="1:46" s="78" customFormat="1" ht="11.25" x14ac:dyDescent="0.2">
      <c r="A43" s="68" t="s">
        <v>71</v>
      </c>
      <c r="B43" s="68" t="s">
        <v>642</v>
      </c>
      <c r="C43" s="69" t="s">
        <v>77</v>
      </c>
      <c r="D43" s="70">
        <v>1</v>
      </c>
      <c r="E43" s="94" t="s">
        <v>73</v>
      </c>
      <c r="F43" s="78" t="s">
        <v>303</v>
      </c>
      <c r="G43" s="78" t="s">
        <v>65</v>
      </c>
      <c r="H43" s="78" t="s">
        <v>53</v>
      </c>
      <c r="I43" s="55"/>
      <c r="J43" s="78" t="s">
        <v>77</v>
      </c>
      <c r="K43" s="48">
        <f ca="1">(INDIRECT("'Data'!CD"&amp;($C$1)))</f>
        <v>0</v>
      </c>
      <c r="L43" s="85"/>
    </row>
    <row r="44" spans="1:46" s="145" customFormat="1" ht="6.75" x14ac:dyDescent="0.15">
      <c r="A44" s="145" t="s">
        <v>68</v>
      </c>
      <c r="B44" s="145" t="s">
        <v>455</v>
      </c>
      <c r="C44" s="145" t="s">
        <v>443</v>
      </c>
      <c r="D44" s="145" t="s">
        <v>444</v>
      </c>
      <c r="E44" s="145" t="s">
        <v>493</v>
      </c>
      <c r="F44" s="145" t="s">
        <v>475</v>
      </c>
      <c r="G44" s="145" t="s">
        <v>789</v>
      </c>
      <c r="H44" s="145" t="s">
        <v>790</v>
      </c>
      <c r="I44" s="145" t="s">
        <v>791</v>
      </c>
      <c r="J44" s="145" t="s">
        <v>793</v>
      </c>
      <c r="K44" s="145" t="s">
        <v>794</v>
      </c>
      <c r="L44" s="145" t="s">
        <v>795</v>
      </c>
      <c r="M44" s="145" t="s">
        <v>796</v>
      </c>
      <c r="N44" s="145" t="s">
        <v>650</v>
      </c>
      <c r="O44" s="145" t="s">
        <v>651</v>
      </c>
      <c r="P44" s="148" t="s">
        <v>491</v>
      </c>
    </row>
    <row r="45" spans="1:46" s="78" customFormat="1" ht="11.25" x14ac:dyDescent="0.2">
      <c r="A45" s="68" t="s">
        <v>71</v>
      </c>
      <c r="B45" s="68" t="s">
        <v>594</v>
      </c>
      <c r="C45" s="69" t="s">
        <v>77</v>
      </c>
      <c r="D45" s="70">
        <v>1</v>
      </c>
      <c r="E45" s="94" t="s">
        <v>73</v>
      </c>
      <c r="F45" s="48">
        <f ca="1">(INDIRECT("'Data'!CD"&amp;($C$1)))</f>
        <v>0</v>
      </c>
      <c r="G45" s="77" t="s">
        <v>73</v>
      </c>
      <c r="H45" s="77" t="s">
        <v>308</v>
      </c>
      <c r="I45" s="77" t="s">
        <v>792</v>
      </c>
      <c r="J45" s="75">
        <v>0</v>
      </c>
      <c r="K45" s="77" t="s">
        <v>231</v>
      </c>
      <c r="L45" s="77" t="s">
        <v>757</v>
      </c>
      <c r="M45" s="77" t="s">
        <v>313</v>
      </c>
      <c r="N45" s="78" t="s">
        <v>315</v>
      </c>
      <c r="O45" s="78" t="s">
        <v>65</v>
      </c>
      <c r="P45" s="85"/>
    </row>
    <row r="46" spans="1:46" s="145" customFormat="1" ht="6.75" x14ac:dyDescent="0.15">
      <c r="A46" s="145" t="s">
        <v>68</v>
      </c>
      <c r="B46" s="145" t="s">
        <v>455</v>
      </c>
      <c r="C46" s="145" t="s">
        <v>443</v>
      </c>
      <c r="D46" s="145" t="s">
        <v>444</v>
      </c>
      <c r="E46" s="145" t="s">
        <v>493</v>
      </c>
      <c r="F46" s="145" t="s">
        <v>235</v>
      </c>
      <c r="G46" s="145" t="s">
        <v>238</v>
      </c>
      <c r="H46" s="145" t="s">
        <v>595</v>
      </c>
      <c r="I46" s="145" t="s">
        <v>596</v>
      </c>
      <c r="J46" s="145" t="s">
        <v>599</v>
      </c>
      <c r="K46" s="145" t="s">
        <v>237</v>
      </c>
      <c r="L46" s="145" t="s">
        <v>597</v>
      </c>
      <c r="M46" s="145" t="s">
        <v>236</v>
      </c>
      <c r="N46" s="148" t="s">
        <v>491</v>
      </c>
    </row>
    <row r="47" spans="1:46" s="78" customFormat="1" ht="11.25" x14ac:dyDescent="0.2">
      <c r="A47" s="68" t="s">
        <v>71</v>
      </c>
      <c r="B47" s="68" t="s">
        <v>598</v>
      </c>
      <c r="C47" s="69"/>
      <c r="D47" s="70">
        <v>1</v>
      </c>
      <c r="E47" s="94" t="s">
        <v>73</v>
      </c>
      <c r="F47" s="55" t="s">
        <v>73</v>
      </c>
      <c r="G47" s="55" t="s">
        <v>238</v>
      </c>
      <c r="H47" s="55" t="s">
        <v>109</v>
      </c>
      <c r="I47" s="55" t="s">
        <v>168</v>
      </c>
      <c r="J47" s="55" t="s">
        <v>73</v>
      </c>
      <c r="K47" s="55" t="s">
        <v>237</v>
      </c>
      <c r="L47" s="55" t="s">
        <v>109</v>
      </c>
      <c r="M47" s="55" t="s">
        <v>236</v>
      </c>
      <c r="N47" s="85"/>
    </row>
    <row r="48" spans="1:46" s="101" customFormat="1" ht="6.75" x14ac:dyDescent="0.15">
      <c r="A48" s="101" t="s">
        <v>68</v>
      </c>
      <c r="B48" s="101" t="s">
        <v>455</v>
      </c>
      <c r="C48" s="101" t="s">
        <v>443</v>
      </c>
      <c r="D48" s="101" t="s">
        <v>444</v>
      </c>
      <c r="E48" s="101" t="s">
        <v>493</v>
      </c>
      <c r="F48" s="142" t="s">
        <v>491</v>
      </c>
    </row>
    <row r="49" spans="1:45" s="78" customFormat="1" ht="11.25" x14ac:dyDescent="0.2">
      <c r="A49" s="68" t="s">
        <v>71</v>
      </c>
      <c r="B49" s="68" t="s">
        <v>600</v>
      </c>
      <c r="C49" s="69"/>
      <c r="D49" s="70">
        <v>1</v>
      </c>
      <c r="E49" s="94" t="s">
        <v>73</v>
      </c>
      <c r="F49" s="85"/>
    </row>
    <row r="50" spans="1:45" s="145" customFormat="1" ht="6.75" x14ac:dyDescent="0.15">
      <c r="A50" s="145" t="s">
        <v>68</v>
      </c>
      <c r="B50" s="145" t="s">
        <v>455</v>
      </c>
      <c r="C50" s="145" t="s">
        <v>443</v>
      </c>
      <c r="D50" s="145" t="s">
        <v>444</v>
      </c>
      <c r="E50" s="145" t="s">
        <v>493</v>
      </c>
      <c r="F50" s="145" t="s">
        <v>797</v>
      </c>
      <c r="G50" s="145" t="s">
        <v>800</v>
      </c>
      <c r="H50" s="145" t="s">
        <v>798</v>
      </c>
      <c r="I50" s="145" t="s">
        <v>815</v>
      </c>
      <c r="J50" s="145" t="s">
        <v>814</v>
      </c>
      <c r="K50" s="148" t="s">
        <v>491</v>
      </c>
    </row>
    <row r="51" spans="1:45" s="78" customFormat="1" ht="11.25" x14ac:dyDescent="0.2">
      <c r="A51" s="68" t="s">
        <v>71</v>
      </c>
      <c r="B51" s="68" t="s">
        <v>799</v>
      </c>
      <c r="C51" s="69"/>
      <c r="D51" s="70">
        <v>1</v>
      </c>
      <c r="E51" s="94" t="s">
        <v>73</v>
      </c>
      <c r="F51" s="78" t="s">
        <v>73</v>
      </c>
      <c r="H51" s="78" t="s">
        <v>73</v>
      </c>
      <c r="K51" s="85"/>
    </row>
    <row r="52" spans="1:45" s="145" customFormat="1" ht="6.75" x14ac:dyDescent="0.15">
      <c r="A52" s="145" t="s">
        <v>68</v>
      </c>
      <c r="B52" s="145" t="s">
        <v>455</v>
      </c>
      <c r="C52" s="145" t="s">
        <v>443</v>
      </c>
      <c r="D52" s="145" t="s">
        <v>444</v>
      </c>
      <c r="E52" s="145" t="s">
        <v>493</v>
      </c>
      <c r="F52" s="145" t="s">
        <v>801</v>
      </c>
      <c r="G52" s="148" t="s">
        <v>491</v>
      </c>
    </row>
    <row r="53" spans="1:45" s="78" customFormat="1" ht="11.25" x14ac:dyDescent="0.2">
      <c r="A53" s="68" t="s">
        <v>71</v>
      </c>
      <c r="B53" s="68" t="s">
        <v>804</v>
      </c>
      <c r="C53" s="69"/>
      <c r="D53" s="70">
        <v>1</v>
      </c>
      <c r="E53" s="94" t="s">
        <v>73</v>
      </c>
      <c r="F53" s="78" t="s">
        <v>758</v>
      </c>
      <c r="G53" s="85"/>
    </row>
    <row r="54" spans="1:45" s="145" customFormat="1" ht="7.5" customHeight="1" x14ac:dyDescent="0.15">
      <c r="A54" s="145" t="s">
        <v>68</v>
      </c>
      <c r="B54" s="145" t="s">
        <v>455</v>
      </c>
      <c r="C54" s="145" t="s">
        <v>443</v>
      </c>
      <c r="D54" s="145" t="s">
        <v>444</v>
      </c>
      <c r="E54" s="145" t="s">
        <v>493</v>
      </c>
      <c r="F54" s="145" t="s">
        <v>802</v>
      </c>
      <c r="G54" s="145" t="s">
        <v>803</v>
      </c>
      <c r="H54" s="148" t="s">
        <v>491</v>
      </c>
    </row>
    <row r="55" spans="1:45" s="57" customFormat="1" ht="11.25" customHeight="1" x14ac:dyDescent="0.2">
      <c r="A55" s="68" t="s">
        <v>71</v>
      </c>
      <c r="B55" s="68" t="s">
        <v>805</v>
      </c>
      <c r="C55" s="69"/>
      <c r="D55" s="70">
        <v>1</v>
      </c>
      <c r="E55" s="94" t="s">
        <v>73</v>
      </c>
      <c r="F55" s="78" t="s">
        <v>73</v>
      </c>
      <c r="G55" s="78" t="s">
        <v>73</v>
      </c>
      <c r="H55" s="85"/>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row>
    <row r="56" spans="1:45" s="145" customFormat="1" ht="7.5" customHeight="1" x14ac:dyDescent="0.15">
      <c r="A56" s="145" t="s">
        <v>68</v>
      </c>
      <c r="B56" s="145" t="s">
        <v>69</v>
      </c>
      <c r="C56" s="145" t="s">
        <v>70</v>
      </c>
      <c r="D56" s="145" t="s">
        <v>444</v>
      </c>
      <c r="E56" s="145" t="s">
        <v>493</v>
      </c>
      <c r="F56" s="145" t="s">
        <v>697</v>
      </c>
      <c r="G56" s="145" t="s">
        <v>698</v>
      </c>
      <c r="H56" s="145" t="s">
        <v>699</v>
      </c>
      <c r="I56" s="145" t="s">
        <v>700</v>
      </c>
      <c r="J56" s="145" t="s">
        <v>701</v>
      </c>
      <c r="K56" s="206" t="s">
        <v>838</v>
      </c>
      <c r="L56" s="145" t="s">
        <v>839</v>
      </c>
      <c r="M56" s="145" t="s">
        <v>471</v>
      </c>
      <c r="N56" s="145" t="s">
        <v>475</v>
      </c>
      <c r="O56" s="148" t="s">
        <v>491</v>
      </c>
    </row>
    <row r="57" spans="1:45" s="57" customFormat="1" ht="11.25" customHeight="1" x14ac:dyDescent="0.2">
      <c r="A57" s="118" t="s">
        <v>71</v>
      </c>
      <c r="B57" s="118" t="s">
        <v>144</v>
      </c>
      <c r="C57" s="118"/>
      <c r="D57" s="82">
        <v>1</v>
      </c>
      <c r="E57" s="94" t="s">
        <v>73</v>
      </c>
      <c r="F57" s="60" t="s">
        <v>759</v>
      </c>
      <c r="G57" s="60"/>
      <c r="H57" s="60" t="s">
        <v>73</v>
      </c>
      <c r="I57" s="60" t="s">
        <v>73</v>
      </c>
      <c r="J57" s="60" t="s">
        <v>73</v>
      </c>
      <c r="K57" s="207"/>
      <c r="L57" s="60" t="s">
        <v>73</v>
      </c>
      <c r="M57" s="60" t="s">
        <v>702</v>
      </c>
      <c r="N57" s="48">
        <f ca="1">(INDIRECT("'Data'!CD"&amp;($C$1)))</f>
        <v>0</v>
      </c>
      <c r="O57" s="85"/>
      <c r="P57" s="60"/>
      <c r="Q57" s="60"/>
      <c r="R57" s="60"/>
      <c r="S57" s="60"/>
      <c r="T57" s="60"/>
    </row>
    <row r="58" spans="1:45" s="145" customFormat="1" ht="6" customHeight="1" x14ac:dyDescent="0.15">
      <c r="A58" s="145" t="s">
        <v>68</v>
      </c>
      <c r="B58" s="145" t="s">
        <v>455</v>
      </c>
      <c r="C58" s="145" t="s">
        <v>443</v>
      </c>
      <c r="D58" s="145" t="s">
        <v>444</v>
      </c>
      <c r="E58" s="145" t="s">
        <v>493</v>
      </c>
      <c r="F58" s="145" t="s">
        <v>807</v>
      </c>
      <c r="G58" s="145" t="s">
        <v>808</v>
      </c>
      <c r="H58" s="148" t="s">
        <v>471</v>
      </c>
      <c r="I58" s="148" t="s">
        <v>491</v>
      </c>
    </row>
    <row r="59" spans="1:45" s="57" customFormat="1" ht="11.25" customHeight="1" x14ac:dyDescent="0.2">
      <c r="A59" s="68" t="s">
        <v>71</v>
      </c>
      <c r="B59" s="68" t="s">
        <v>806</v>
      </c>
      <c r="C59" s="69"/>
      <c r="D59" s="70">
        <v>1</v>
      </c>
      <c r="E59" s="94" t="s">
        <v>73</v>
      </c>
      <c r="F59" s="78" t="s">
        <v>73</v>
      </c>
      <c r="G59" s="78" t="s">
        <v>73</v>
      </c>
      <c r="H59" s="85" t="s">
        <v>809</v>
      </c>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row>
    <row r="60" spans="1:45" s="145" customFormat="1" ht="6" customHeight="1" x14ac:dyDescent="0.15">
      <c r="A60" s="145" t="s">
        <v>68</v>
      </c>
      <c r="B60" s="145" t="s">
        <v>69</v>
      </c>
      <c r="C60" s="145" t="s">
        <v>70</v>
      </c>
      <c r="D60" s="145" t="s">
        <v>444</v>
      </c>
      <c r="E60" s="145" t="s">
        <v>493</v>
      </c>
      <c r="F60" s="145" t="s">
        <v>475</v>
      </c>
      <c r="G60" s="145" t="s">
        <v>84</v>
      </c>
      <c r="H60" s="145" t="s">
        <v>82</v>
      </c>
      <c r="I60" s="145" t="s">
        <v>145</v>
      </c>
      <c r="J60" s="145" t="s">
        <v>146</v>
      </c>
      <c r="K60" s="145" t="s">
        <v>147</v>
      </c>
      <c r="L60" s="145" t="s">
        <v>148</v>
      </c>
      <c r="M60" s="145" t="s">
        <v>326</v>
      </c>
      <c r="N60" s="145" t="s">
        <v>149</v>
      </c>
      <c r="O60" s="145" t="s">
        <v>840</v>
      </c>
      <c r="P60" s="145" t="s">
        <v>841</v>
      </c>
      <c r="Q60" s="148" t="s">
        <v>491</v>
      </c>
    </row>
    <row r="61" spans="1:45" s="57" customFormat="1" ht="11.25" customHeight="1" x14ac:dyDescent="0.2">
      <c r="A61" s="78" t="s">
        <v>71</v>
      </c>
      <c r="B61" s="78" t="s">
        <v>156</v>
      </c>
      <c r="C61" s="78"/>
      <c r="D61" s="81">
        <v>1</v>
      </c>
      <c r="E61" s="94" t="s">
        <v>73</v>
      </c>
      <c r="F61" s="48">
        <f ca="1">(INDIRECT("'Data'!CD"&amp;($C$1)))</f>
        <v>0</v>
      </c>
      <c r="G61" s="130" t="str">
        <f ca="1">(INDIRECT("'Data'!F"&amp;($C$1)))</f>
        <v>EXCHANGE GAS METER TO SECURE SMART CREDIT</v>
      </c>
      <c r="H61" s="130" t="str">
        <f ca="1">(INDIRECT("'Data'!AW"&amp;($C$1)))</f>
        <v>EXCH1 ROAD</v>
      </c>
      <c r="I61" s="49" t="str">
        <f ca="1">(INDIRECT("'Data'!X"&amp;($C$1)))</f>
        <v>FRST</v>
      </c>
      <c r="J61" s="49">
        <f ca="1">(INDIRECT("'Data'!BG"&amp;($C$1)))</f>
        <v>0</v>
      </c>
      <c r="K61" s="49">
        <f ca="1">(INDIRECT("'Data'!BL"&amp;($C$1)))</f>
        <v>0</v>
      </c>
      <c r="L61" s="59" t="str">
        <f>N35</f>
        <v>12345</v>
      </c>
      <c r="M61" s="58" t="str">
        <f>F39</f>
        <v>Z89K12398</v>
      </c>
      <c r="N61" s="60" t="str">
        <f>M47</f>
        <v>Test Witness name</v>
      </c>
      <c r="O61" s="60" t="s">
        <v>73</v>
      </c>
      <c r="P61" s="59" t="s">
        <v>73</v>
      </c>
      <c r="Q61" s="85"/>
    </row>
    <row r="62" spans="1:45" s="145" customFormat="1" ht="6.75" x14ac:dyDescent="0.15">
      <c r="A62" s="145" t="s">
        <v>68</v>
      </c>
      <c r="B62" s="145" t="s">
        <v>69</v>
      </c>
      <c r="C62" s="145" t="s">
        <v>70</v>
      </c>
      <c r="D62" s="145" t="s">
        <v>444</v>
      </c>
      <c r="E62" s="145" t="s">
        <v>493</v>
      </c>
      <c r="F62" s="145" t="s">
        <v>707</v>
      </c>
      <c r="G62" s="145" t="s">
        <v>708</v>
      </c>
      <c r="H62" s="145" t="s">
        <v>709</v>
      </c>
      <c r="I62" s="145" t="s">
        <v>710</v>
      </c>
      <c r="J62" s="145" t="s">
        <v>711</v>
      </c>
      <c r="K62" s="145" t="s">
        <v>712</v>
      </c>
      <c r="L62" s="145" t="s">
        <v>713</v>
      </c>
      <c r="M62" s="145" t="s">
        <v>475</v>
      </c>
      <c r="N62" s="148" t="s">
        <v>491</v>
      </c>
    </row>
    <row r="63" spans="1:45" s="57" customFormat="1" ht="11.25" customHeight="1" x14ac:dyDescent="0.2">
      <c r="A63" s="57" t="s">
        <v>71</v>
      </c>
      <c r="B63" s="57" t="s">
        <v>706</v>
      </c>
      <c r="D63" s="55">
        <v>1</v>
      </c>
      <c r="E63" s="94" t="s">
        <v>73</v>
      </c>
      <c r="F63" s="60" t="s">
        <v>73</v>
      </c>
      <c r="G63" s="60" t="s">
        <v>75</v>
      </c>
      <c r="H63" s="60" t="s">
        <v>714</v>
      </c>
      <c r="I63" s="60" t="s">
        <v>155</v>
      </c>
      <c r="J63" s="60" t="s">
        <v>75</v>
      </c>
      <c r="K63" s="60" t="s">
        <v>643</v>
      </c>
      <c r="L63" s="60" t="s">
        <v>75</v>
      </c>
      <c r="M63" s="48">
        <f ca="1">(INDIRECT("'Data'!CD"&amp;($C$1)))</f>
        <v>0</v>
      </c>
      <c r="N63" s="85"/>
      <c r="O63" s="60"/>
      <c r="P63" s="60"/>
      <c r="Q63" s="60"/>
      <c r="R63" s="60"/>
      <c r="S63" s="60"/>
    </row>
    <row r="64" spans="1:45" s="145" customFormat="1" ht="6.75" x14ac:dyDescent="0.15">
      <c r="A64" s="145" t="s">
        <v>68</v>
      </c>
      <c r="B64" s="145" t="s">
        <v>69</v>
      </c>
      <c r="C64" s="145" t="s">
        <v>70</v>
      </c>
      <c r="D64" s="145" t="s">
        <v>444</v>
      </c>
      <c r="E64" s="145" t="s">
        <v>493</v>
      </c>
      <c r="F64" s="145" t="s">
        <v>85</v>
      </c>
    </row>
    <row r="65" spans="1:10" s="57" customFormat="1" ht="11.25" customHeight="1" x14ac:dyDescent="0.2">
      <c r="A65" s="57" t="s">
        <v>71</v>
      </c>
      <c r="B65" s="57" t="s">
        <v>76</v>
      </c>
      <c r="D65" s="81">
        <v>1</v>
      </c>
      <c r="E65" s="94" t="s">
        <v>73</v>
      </c>
      <c r="F65" s="60" t="s">
        <v>86</v>
      </c>
      <c r="J65" s="131"/>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xr:uid="{00000000-0002-0000-0500-000000000000}"/>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xr:uid="{00000000-0002-0000-0500-000001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500-000002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500-000003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500-000004000000}"/>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9" tint="-0.499984740745262"/>
  </sheetPr>
  <dimension ref="A1:BG91"/>
  <sheetViews>
    <sheetView zoomScale="130" zoomScaleNormal="130" workbookViewId="0">
      <selection activeCell="H31" sqref="H31"/>
    </sheetView>
  </sheetViews>
  <sheetFormatPr defaultRowHeight="12.75" x14ac:dyDescent="0.2"/>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45" customFormat="1" ht="6.75" x14ac:dyDescent="0.15">
      <c r="A1" s="145" t="s">
        <v>494</v>
      </c>
      <c r="B1" s="145" t="s">
        <v>95</v>
      </c>
      <c r="C1" s="145" t="s">
        <v>242</v>
      </c>
      <c r="D1" s="145" t="s">
        <v>49</v>
      </c>
      <c r="G1" s="146"/>
      <c r="I1" s="147"/>
    </row>
    <row r="2" spans="1:27" s="145" customFormat="1" ht="6.75" x14ac:dyDescent="0.15">
      <c r="A2" s="145" t="s">
        <v>68</v>
      </c>
      <c r="B2" s="145" t="s">
        <v>455</v>
      </c>
      <c r="C2" s="145" t="s">
        <v>443</v>
      </c>
      <c r="D2" s="145" t="s">
        <v>444</v>
      </c>
      <c r="E2" s="145" t="s">
        <v>493</v>
      </c>
      <c r="F2" s="145" t="s">
        <v>445</v>
      </c>
      <c r="G2" s="145" t="s">
        <v>115</v>
      </c>
      <c r="H2" s="145" t="s">
        <v>436</v>
      </c>
      <c r="I2" s="145" t="s">
        <v>446</v>
      </c>
    </row>
    <row r="3" spans="1:27" s="44" customFormat="1" ht="11.25"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46"/>
      <c r="K3" s="46"/>
      <c r="L3" s="46"/>
      <c r="M3" s="46"/>
      <c r="N3" s="46"/>
      <c r="O3" s="46"/>
      <c r="P3" s="46"/>
      <c r="Q3" s="46"/>
      <c r="R3" s="47"/>
      <c r="S3" s="46"/>
      <c r="T3" s="46"/>
      <c r="U3" s="46"/>
    </row>
    <row r="4" spans="1:27" s="145" customFormat="1" ht="6.75" x14ac:dyDescent="0.15">
      <c r="A4" s="145" t="s">
        <v>68</v>
      </c>
      <c r="B4" s="145" t="s">
        <v>455</v>
      </c>
      <c r="C4" s="145" t="s">
        <v>443</v>
      </c>
      <c r="D4" s="145" t="s">
        <v>444</v>
      </c>
      <c r="E4" s="145" t="s">
        <v>493</v>
      </c>
      <c r="F4" s="145" t="s">
        <v>454</v>
      </c>
      <c r="G4" s="145" t="s">
        <v>453</v>
      </c>
      <c r="H4" s="145" t="s">
        <v>447</v>
      </c>
      <c r="I4" s="145" t="s">
        <v>448</v>
      </c>
      <c r="J4" s="145" t="s">
        <v>450</v>
      </c>
      <c r="K4" s="145" t="s">
        <v>451</v>
      </c>
      <c r="L4" s="145" t="s">
        <v>452</v>
      </c>
      <c r="M4" s="145" t="s">
        <v>442</v>
      </c>
      <c r="N4" s="145" t="s">
        <v>37</v>
      </c>
      <c r="O4" s="145" t="s">
        <v>441</v>
      </c>
      <c r="P4" s="148" t="s">
        <v>491</v>
      </c>
    </row>
    <row r="5" spans="1:27" s="44" customFormat="1" ht="11.25" customHeight="1" x14ac:dyDescent="0.2">
      <c r="A5" s="64" t="s">
        <v>71</v>
      </c>
      <c r="B5" s="64" t="s">
        <v>495</v>
      </c>
      <c r="C5" s="64"/>
      <c r="D5" s="65">
        <v>1</v>
      </c>
      <c r="E5" s="93" t="s">
        <v>73</v>
      </c>
      <c r="F5" s="49" t="str">
        <f ca="1">(INDIRECT("'Data'!C"&amp;($C$1)))</f>
        <v>Automation</v>
      </c>
      <c r="G5" s="48"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3520</v>
      </c>
      <c r="N5" s="48" t="str">
        <f ca="1">(INDIRECT("'Data'!AW"&amp;($C$1)))</f>
        <v>EXCH1 ROAD</v>
      </c>
      <c r="O5" s="49" t="str">
        <f ca="1">CONCATENATE(RIGHT((INDIRECT("'Data'!X"&amp;($C$1))),5),"-",RIGHT(S7&amp;(INDIRECT("'Data'!Y"&amp;($C$1))),5))</f>
        <v>FRST--3520</v>
      </c>
      <c r="P5" s="85"/>
      <c r="Q5" s="46"/>
      <c r="R5" s="46"/>
      <c r="S5" s="46"/>
    </row>
    <row r="6" spans="1:27" s="145" customFormat="1" ht="6.75" x14ac:dyDescent="0.15">
      <c r="A6" s="145" t="s">
        <v>68</v>
      </c>
      <c r="B6" s="145" t="s">
        <v>455</v>
      </c>
      <c r="C6" s="145" t="s">
        <v>443</v>
      </c>
      <c r="D6" s="145" t="s">
        <v>444</v>
      </c>
      <c r="E6" s="145" t="s">
        <v>493</v>
      </c>
      <c r="F6" s="145" t="s">
        <v>447</v>
      </c>
      <c r="G6" s="145" t="s">
        <v>450</v>
      </c>
      <c r="H6" s="145" t="s">
        <v>451</v>
      </c>
      <c r="I6" s="145" t="s">
        <v>452</v>
      </c>
      <c r="J6" s="145" t="s">
        <v>442</v>
      </c>
      <c r="K6" s="145" t="s">
        <v>37</v>
      </c>
      <c r="L6" s="145" t="s">
        <v>448</v>
      </c>
      <c r="M6" s="145" t="s">
        <v>449</v>
      </c>
      <c r="N6" s="145" t="s">
        <v>439</v>
      </c>
      <c r="O6" s="145" t="s">
        <v>440</v>
      </c>
      <c r="P6" s="145" t="s">
        <v>78</v>
      </c>
      <c r="Q6" s="145" t="s">
        <v>79</v>
      </c>
      <c r="R6" s="145" t="s">
        <v>87</v>
      </c>
      <c r="S6" s="145" t="s">
        <v>80</v>
      </c>
      <c r="T6" s="145" t="s">
        <v>110</v>
      </c>
      <c r="U6" s="145" t="s">
        <v>114</v>
      </c>
      <c r="V6" s="145" t="s">
        <v>90</v>
      </c>
      <c r="W6" s="145" t="s">
        <v>81</v>
      </c>
      <c r="X6" s="145" t="s">
        <v>88</v>
      </c>
      <c r="Y6" s="145" t="s">
        <v>276</v>
      </c>
      <c r="Z6" s="145" t="s">
        <v>457</v>
      </c>
      <c r="AA6" s="148" t="s">
        <v>491</v>
      </c>
    </row>
    <row r="7" spans="1:27"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3520</v>
      </c>
      <c r="K7" s="48" t="str">
        <f ca="1">(INDIRECT("'Data'!AW"&amp;($C$1)))</f>
        <v>EXCH1 ROAD</v>
      </c>
      <c r="L7" s="48" t="str">
        <f ca="1">(INDIRECT("'Data'!E"&amp;($C$1)))</f>
        <v>S</v>
      </c>
      <c r="M7" s="48" t="str">
        <f ca="1">(INDIRECT("'Data'!AI"&amp;($C$1)))</f>
        <v>2019-04-26 08:00</v>
      </c>
      <c r="N7" s="49">
        <f ca="1">(INDIRECT("'Data'!BG"&amp;($C$1)))</f>
        <v>0</v>
      </c>
      <c r="O7" s="49" t="str">
        <f ca="1">(INDIRECT("'Data'!CN"&amp;($C$1)))</f>
        <v>EXCHANGE GAS METER TO SECURE SMART CREDIT</v>
      </c>
      <c r="P7" s="49" t="str">
        <f ca="1">(INDIRECT("'Data'!AH"&amp;($C$1)))</f>
        <v>Site_Contact_3520</v>
      </c>
      <c r="Q7" s="48" t="str">
        <f ca="1">(INDIRECT("'Data'!AE"&amp;($C$1)))</f>
        <v>LAST_METER-3520</v>
      </c>
      <c r="R7" s="48" t="str">
        <f ca="1">(INDIRECT("'Data'!DK"&amp;($C$1)))</f>
        <v>G</v>
      </c>
      <c r="S7" s="48">
        <f ca="1">(INDIRECT("'Data'!D"&amp;($C$1)))</f>
        <v>3520</v>
      </c>
      <c r="T7" s="48" t="str">
        <f ca="1">INDIRECT("'Data'!M"&amp;($C$1))</f>
        <v>Q</v>
      </c>
      <c r="U7" s="48" t="str">
        <f ca="1">INDIRECT("'Data'!AM"&amp;($C$1))</f>
        <v>01153520</v>
      </c>
      <c r="V7" s="48" t="str">
        <f ca="1">(INDIRECT("'Data'!N"&amp;($C$1)))</f>
        <v>UK_1_F</v>
      </c>
      <c r="W7" s="48">
        <f ca="1">(INDIRECT("'Data'!O"&amp;($C$1)))</f>
        <v>0</v>
      </c>
      <c r="X7" s="48" t="str">
        <f ca="1">(INDIRECT("'Data'!P"&amp;($C$1)))</f>
        <v>SN-3520</v>
      </c>
      <c r="Y7" s="48" t="str">
        <f ca="1">(INDIRECT("'Data'!C"&amp;($C$1)))</f>
        <v>Automation</v>
      </c>
      <c r="Z7" s="48" t="str">
        <f ca="1">(INDIRECT("'Data'!Q"&amp;($C$1)))</f>
        <v>SI-3520</v>
      </c>
      <c r="AA7" s="85"/>
    </row>
    <row r="8" spans="1:27" s="145" customFormat="1" ht="6.75" x14ac:dyDescent="0.15">
      <c r="A8" s="145" t="s">
        <v>68</v>
      </c>
      <c r="B8" s="145" t="s">
        <v>455</v>
      </c>
      <c r="C8" s="145" t="s">
        <v>443</v>
      </c>
      <c r="D8" s="145" t="s">
        <v>444</v>
      </c>
      <c r="E8" s="145" t="s">
        <v>493</v>
      </c>
      <c r="F8" s="145" t="s">
        <v>447</v>
      </c>
      <c r="G8" s="145" t="s">
        <v>37</v>
      </c>
      <c r="H8" s="145" t="s">
        <v>458</v>
      </c>
      <c r="I8" s="145" t="s">
        <v>459</v>
      </c>
      <c r="J8" s="145" t="s">
        <v>261</v>
      </c>
      <c r="K8" s="145" t="s">
        <v>460</v>
      </c>
      <c r="L8" s="102" t="s">
        <v>461</v>
      </c>
      <c r="M8" s="102" t="s">
        <v>260</v>
      </c>
      <c r="N8" s="102" t="s">
        <v>456</v>
      </c>
      <c r="O8" s="148" t="s">
        <v>491</v>
      </c>
    </row>
    <row r="9" spans="1:27"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100003520</v>
      </c>
      <c r="M9" s="49" t="str">
        <f ca="1">(INDIRECT("'Data'!CO"&amp;($C$1)))</f>
        <v>GAS_JOB_ID-3520</v>
      </c>
      <c r="N9" s="49" t="str">
        <f ca="1">(INDIRECT("'Data'!CR"&amp;($C$1)))</f>
        <v>C</v>
      </c>
      <c r="O9" s="85"/>
    </row>
    <row r="10" spans="1:27" s="145" customFormat="1" ht="6.75" x14ac:dyDescent="0.15">
      <c r="A10" s="145" t="s">
        <v>68</v>
      </c>
      <c r="B10" s="145" t="s">
        <v>455</v>
      </c>
      <c r="C10" s="145" t="s">
        <v>443</v>
      </c>
      <c r="D10" s="145" t="s">
        <v>444</v>
      </c>
      <c r="E10" s="145" t="s">
        <v>493</v>
      </c>
      <c r="F10" s="145" t="s">
        <v>262</v>
      </c>
      <c r="G10" s="145" t="s">
        <v>263</v>
      </c>
      <c r="H10" s="145" t="s">
        <v>447</v>
      </c>
      <c r="I10" s="145" t="s">
        <v>37</v>
      </c>
      <c r="J10" s="145" t="s">
        <v>43</v>
      </c>
      <c r="K10" s="145" t="s">
        <v>462</v>
      </c>
      <c r="L10" s="145" t="s">
        <v>465</v>
      </c>
      <c r="M10" s="145" t="s">
        <v>460</v>
      </c>
      <c r="N10" s="145" t="s">
        <v>463</v>
      </c>
      <c r="O10" s="145" t="s">
        <v>466</v>
      </c>
      <c r="P10" s="145" t="s">
        <v>464</v>
      </c>
      <c r="Q10" s="148" t="s">
        <v>491</v>
      </c>
    </row>
    <row r="11" spans="1:27" s="44" customFormat="1" ht="11.25" customHeight="1" x14ac:dyDescent="0.2">
      <c r="A11" s="64" t="s">
        <v>71</v>
      </c>
      <c r="B11" s="64" t="s">
        <v>498</v>
      </c>
      <c r="C11" s="64"/>
      <c r="D11" s="65">
        <v>1</v>
      </c>
      <c r="E11" s="94"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Site_Contact_3520</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5"/>
    </row>
    <row r="12" spans="1:27" s="145" customFormat="1" ht="6.75" x14ac:dyDescent="0.15">
      <c r="A12" s="145" t="s">
        <v>68</v>
      </c>
      <c r="B12" s="145" t="s">
        <v>455</v>
      </c>
      <c r="C12" s="145" t="s">
        <v>443</v>
      </c>
      <c r="D12" s="145" t="s">
        <v>444</v>
      </c>
      <c r="E12" s="145" t="s">
        <v>493</v>
      </c>
      <c r="F12" s="145" t="s">
        <v>475</v>
      </c>
      <c r="G12" s="145" t="s">
        <v>439</v>
      </c>
      <c r="H12" s="145" t="s">
        <v>263</v>
      </c>
      <c r="I12" s="145" t="s">
        <v>43</v>
      </c>
      <c r="J12" s="145" t="s">
        <v>447</v>
      </c>
      <c r="K12" s="145" t="s">
        <v>450</v>
      </c>
      <c r="L12" s="145" t="s">
        <v>451</v>
      </c>
      <c r="M12" s="145" t="s">
        <v>452</v>
      </c>
      <c r="N12" s="145" t="s">
        <v>442</v>
      </c>
      <c r="O12" s="145" t="s">
        <v>37</v>
      </c>
      <c r="P12" s="145" t="s">
        <v>468</v>
      </c>
      <c r="Q12" s="149" t="s">
        <v>469</v>
      </c>
      <c r="R12" s="149" t="s">
        <v>471</v>
      </c>
      <c r="S12" s="145" t="s">
        <v>473</v>
      </c>
      <c r="T12" s="149" t="s">
        <v>470</v>
      </c>
      <c r="U12" s="145" t="s">
        <v>472</v>
      </c>
      <c r="V12" s="148" t="s">
        <v>491</v>
      </c>
    </row>
    <row r="13" spans="1:27" s="57" customFormat="1" ht="11.25" customHeight="1" x14ac:dyDescent="0.2">
      <c r="A13" s="64" t="s">
        <v>71</v>
      </c>
      <c r="B13" s="64" t="s">
        <v>467</v>
      </c>
      <c r="C13" s="64"/>
      <c r="D13" s="66">
        <v>1</v>
      </c>
      <c r="E13" s="94" t="s">
        <v>73</v>
      </c>
      <c r="F13" s="48">
        <f ca="1">(INDIRECT("'Data'!CD"&amp;($C$1)))</f>
        <v>0</v>
      </c>
      <c r="G13" s="49">
        <f ca="1">(INDIRECT("'Data'!BG"&amp;($C$1)))</f>
        <v>0</v>
      </c>
      <c r="H13" s="49" t="str">
        <f ca="1">(INDIRECT("'Data'!CN"&amp;($C$1)))</f>
        <v>EXCHANGE GAS METER TO SECURE SMART CREDIT</v>
      </c>
      <c r="I13" s="49" t="str">
        <f ca="1">(INDIRECT("'Data'!AH"&amp;($C$1)))</f>
        <v>Site_Contact_3520</v>
      </c>
      <c r="J13" s="49" t="str">
        <f ca="1">(INDIRECT("'Data'!F"&amp;($C$1)))</f>
        <v>EXCHANGE GAS METER TO SECURE SMART CREDIT</v>
      </c>
      <c r="K13" s="48">
        <f ca="1">(INDIRECT("'Data'!AS"&amp;($C$1)))</f>
        <v>0</v>
      </c>
      <c r="L13" s="48" t="str">
        <f ca="1">(INDIRECT("'Data'!AT"&amp;($C$1)))</f>
        <v>TPJR00530</v>
      </c>
      <c r="M13" s="48">
        <f ca="1">(INDIRECT("'Data'!AU"&amp;($C$1)))</f>
        <v>0</v>
      </c>
      <c r="N13" s="48">
        <f ca="1">(INDIRECT("'Data'!AV"&amp;($C$1)))</f>
        <v>3520</v>
      </c>
      <c r="O13" s="48" t="str">
        <f ca="1">(INDIRECT("'Data'!AW"&amp;($C$1)))</f>
        <v>EXCH1 ROAD</v>
      </c>
      <c r="P13" s="57" t="s">
        <v>73</v>
      </c>
      <c r="Q13" s="58" t="s">
        <v>73</v>
      </c>
      <c r="R13" s="58" t="s">
        <v>265</v>
      </c>
      <c r="S13" s="59" t="s">
        <v>73</v>
      </c>
      <c r="T13" s="58" t="s">
        <v>75</v>
      </c>
      <c r="U13" s="60" t="s">
        <v>100</v>
      </c>
      <c r="V13" s="85"/>
    </row>
    <row r="14" spans="1:27" s="145" customFormat="1" ht="6.75" x14ac:dyDescent="0.15">
      <c r="A14" s="145" t="s">
        <v>68</v>
      </c>
      <c r="B14" s="145" t="s">
        <v>455</v>
      </c>
      <c r="C14" s="145" t="s">
        <v>443</v>
      </c>
      <c r="D14" s="145" t="s">
        <v>444</v>
      </c>
      <c r="E14" s="145" t="s">
        <v>493</v>
      </c>
      <c r="F14" s="145" t="s">
        <v>475</v>
      </c>
      <c r="G14" s="145" t="s">
        <v>439</v>
      </c>
      <c r="H14" s="145" t="s">
        <v>263</v>
      </c>
      <c r="I14" s="145" t="s">
        <v>447</v>
      </c>
      <c r="J14" s="145" t="s">
        <v>37</v>
      </c>
      <c r="K14" s="145" t="s">
        <v>94</v>
      </c>
      <c r="L14" s="148" t="s">
        <v>491</v>
      </c>
      <c r="M14" s="149" t="s">
        <v>77</v>
      </c>
      <c r="N14" s="149" t="s">
        <v>77</v>
      </c>
      <c r="O14" s="147" t="s">
        <v>77</v>
      </c>
      <c r="P14" s="149"/>
      <c r="Q14" s="149"/>
      <c r="S14" s="149"/>
    </row>
    <row r="15" spans="1:27" s="44" customFormat="1" ht="11.25" customHeight="1" x14ac:dyDescent="0.2">
      <c r="A15" s="64" t="s">
        <v>71</v>
      </c>
      <c r="B15" s="64" t="s">
        <v>474</v>
      </c>
      <c r="C15" s="64"/>
      <c r="D15" s="66">
        <v>1</v>
      </c>
      <c r="E15" s="93"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5"/>
      <c r="M15" s="61"/>
      <c r="N15" s="61"/>
      <c r="O15" s="62"/>
      <c r="P15" s="61"/>
      <c r="Q15" s="61"/>
      <c r="R15" s="47"/>
      <c r="S15" s="61"/>
    </row>
    <row r="16" spans="1:27" s="145" customFormat="1" ht="6.75" x14ac:dyDescent="0.15">
      <c r="A16" s="145" t="s">
        <v>68</v>
      </c>
      <c r="B16" s="145" t="s">
        <v>455</v>
      </c>
      <c r="C16" s="145" t="s">
        <v>443</v>
      </c>
      <c r="D16" s="145" t="s">
        <v>444</v>
      </c>
      <c r="E16" s="145" t="s">
        <v>493</v>
      </c>
      <c r="F16" s="145" t="s">
        <v>477</v>
      </c>
      <c r="G16" s="145" t="s">
        <v>478</v>
      </c>
      <c r="H16" s="149" t="s">
        <v>480</v>
      </c>
      <c r="I16" s="145" t="s">
        <v>96</v>
      </c>
      <c r="J16" s="149" t="s">
        <v>481</v>
      </c>
      <c r="K16" s="149" t="s">
        <v>482</v>
      </c>
      <c r="L16" s="145" t="s">
        <v>475</v>
      </c>
      <c r="M16" s="145" t="s">
        <v>817</v>
      </c>
      <c r="N16" s="145" t="s">
        <v>479</v>
      </c>
      <c r="O16" s="145" t="s">
        <v>483</v>
      </c>
      <c r="P16" s="148" t="s">
        <v>491</v>
      </c>
    </row>
    <row r="17" spans="1:48"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8" s="148" customFormat="1" ht="6.75" x14ac:dyDescent="0.15">
      <c r="A18" s="148" t="s">
        <v>68</v>
      </c>
      <c r="B18" s="148" t="s">
        <v>455</v>
      </c>
      <c r="C18" s="145" t="s">
        <v>443</v>
      </c>
      <c r="D18" s="145" t="s">
        <v>444</v>
      </c>
      <c r="E18" s="148" t="s">
        <v>493</v>
      </c>
      <c r="F18" s="148" t="s">
        <v>501</v>
      </c>
      <c r="G18" s="148" t="s">
        <v>507</v>
      </c>
      <c r="H18" s="148" t="s">
        <v>506</v>
      </c>
      <c r="I18" s="148" t="s">
        <v>724</v>
      </c>
      <c r="J18" s="148" t="s">
        <v>508</v>
      </c>
      <c r="K18" s="148" t="s">
        <v>504</v>
      </c>
      <c r="L18" s="148" t="s">
        <v>722</v>
      </c>
      <c r="M18" s="148" t="s">
        <v>491</v>
      </c>
    </row>
    <row r="19" spans="1:48" s="87" customFormat="1" ht="10.5" customHeight="1" x14ac:dyDescent="0.2">
      <c r="A19" s="132" t="s">
        <v>71</v>
      </c>
      <c r="B19" s="132" t="s">
        <v>720</v>
      </c>
      <c r="C19" s="129"/>
      <c r="D19" s="82">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8" s="148" customFormat="1" ht="6.75" x14ac:dyDescent="0.15">
      <c r="A20" s="148" t="s">
        <v>68</v>
      </c>
      <c r="B20" s="148" t="s">
        <v>455</v>
      </c>
      <c r="C20" s="145" t="s">
        <v>443</v>
      </c>
      <c r="D20" s="145" t="s">
        <v>444</v>
      </c>
      <c r="E20" s="148" t="s">
        <v>493</v>
      </c>
      <c r="F20" s="148" t="s">
        <v>725</v>
      </c>
      <c r="G20" s="148" t="s">
        <v>520</v>
      </c>
      <c r="H20" s="148" t="s">
        <v>726</v>
      </c>
      <c r="I20" s="148" t="s">
        <v>728</v>
      </c>
      <c r="J20" s="148" t="s">
        <v>553</v>
      </c>
      <c r="K20" s="148" t="s">
        <v>729</v>
      </c>
      <c r="L20" s="148" t="s">
        <v>516</v>
      </c>
      <c r="M20" s="148" t="s">
        <v>730</v>
      </c>
      <c r="N20" s="148" t="s">
        <v>524</v>
      </c>
      <c r="O20" s="148" t="s">
        <v>491</v>
      </c>
    </row>
    <row r="21" spans="1:48" s="87" customFormat="1" ht="10.5" customHeight="1" x14ac:dyDescent="0.2">
      <c r="A21" s="83" t="s">
        <v>71</v>
      </c>
      <c r="B21" s="83" t="s">
        <v>723</v>
      </c>
      <c r="C21" s="84"/>
      <c r="D21" s="70">
        <v>1</v>
      </c>
      <c r="E21" s="95" t="s">
        <v>73</v>
      </c>
      <c r="F21" s="85"/>
      <c r="G21" s="85" t="s">
        <v>73</v>
      </c>
      <c r="H21" s="85" t="s">
        <v>727</v>
      </c>
      <c r="I21" s="85"/>
      <c r="J21" s="85"/>
      <c r="K21" s="85"/>
      <c r="L21" s="85"/>
      <c r="M21" s="85"/>
      <c r="N21" s="85"/>
      <c r="O21" s="85"/>
    </row>
    <row r="22" spans="1:48" s="148" customFormat="1" ht="6.75" x14ac:dyDescent="0.15">
      <c r="A22" s="148" t="s">
        <v>68</v>
      </c>
      <c r="B22" s="148" t="s">
        <v>455</v>
      </c>
      <c r="C22" s="145" t="s">
        <v>443</v>
      </c>
      <c r="D22" s="145" t="s">
        <v>444</v>
      </c>
      <c r="E22" s="148" t="s">
        <v>493</v>
      </c>
      <c r="F22" s="148" t="s">
        <v>526</v>
      </c>
      <c r="G22" s="148" t="s">
        <v>811</v>
      </c>
      <c r="H22" s="148" t="s">
        <v>842</v>
      </c>
      <c r="I22" s="148" t="s">
        <v>471</v>
      </c>
      <c r="J22" s="148" t="s">
        <v>491</v>
      </c>
    </row>
    <row r="23" spans="1:48" s="87" customFormat="1" ht="10.5" customHeight="1" x14ac:dyDescent="0.2">
      <c r="A23" s="132" t="s">
        <v>71</v>
      </c>
      <c r="B23" s="132" t="s">
        <v>810</v>
      </c>
      <c r="C23" s="129"/>
      <c r="D23" s="82">
        <v>1</v>
      </c>
      <c r="E23" s="95" t="s">
        <v>73</v>
      </c>
      <c r="F23" s="85" t="s">
        <v>73</v>
      </c>
      <c r="G23" s="85"/>
      <c r="H23" s="85" t="s">
        <v>843</v>
      </c>
      <c r="I23" s="85" t="s">
        <v>812</v>
      </c>
      <c r="J23" s="85"/>
      <c r="K23" s="85"/>
      <c r="L23" s="85"/>
      <c r="M23" s="85"/>
      <c r="N23" s="85"/>
      <c r="O23" s="85"/>
      <c r="P23" s="85"/>
      <c r="Q23" s="85"/>
      <c r="R23" s="85"/>
      <c r="S23" s="85"/>
      <c r="T23" s="85"/>
      <c r="U23" s="85"/>
      <c r="V23" s="85"/>
      <c r="W23" s="85"/>
      <c r="X23" s="85"/>
      <c r="Y23" s="85"/>
      <c r="Z23" s="72"/>
      <c r="AA23" s="85"/>
      <c r="AB23" s="85"/>
      <c r="AI23" s="85"/>
      <c r="AK23" s="85"/>
    </row>
    <row r="24" spans="1:48" s="148" customFormat="1" ht="6.75" x14ac:dyDescent="0.15">
      <c r="A24" s="148" t="s">
        <v>68</v>
      </c>
      <c r="B24" s="148" t="s">
        <v>455</v>
      </c>
      <c r="C24" s="145" t="s">
        <v>443</v>
      </c>
      <c r="D24" s="145" t="s">
        <v>444</v>
      </c>
      <c r="E24" s="148" t="s">
        <v>493</v>
      </c>
      <c r="F24" s="148" t="s">
        <v>491</v>
      </c>
    </row>
    <row r="25" spans="1:48" s="87" customFormat="1" ht="10.5" customHeight="1" x14ac:dyDescent="0.2">
      <c r="A25" s="132" t="s">
        <v>71</v>
      </c>
      <c r="B25" s="132" t="s">
        <v>721</v>
      </c>
      <c r="C25" s="129"/>
      <c r="D25" s="82">
        <v>1</v>
      </c>
      <c r="E25" s="95" t="s">
        <v>73</v>
      </c>
      <c r="F25" s="85"/>
      <c r="G25" s="85"/>
      <c r="H25" s="85"/>
      <c r="I25" s="85"/>
      <c r="J25" s="85"/>
      <c r="K25" s="85"/>
      <c r="L25" s="85"/>
      <c r="M25" s="85"/>
      <c r="N25" s="85"/>
      <c r="O25" s="85"/>
      <c r="P25" s="85"/>
      <c r="Q25" s="85"/>
      <c r="R25" s="85"/>
      <c r="S25" s="85"/>
      <c r="T25" s="85"/>
      <c r="U25" s="85"/>
      <c r="V25" s="85"/>
      <c r="W25" s="85"/>
      <c r="X25" s="72"/>
      <c r="Y25" s="85"/>
      <c r="Z25" s="85"/>
      <c r="AG25" s="85"/>
      <c r="AI25" s="85"/>
    </row>
    <row r="26" spans="1:48" s="145" customFormat="1" ht="6.75" x14ac:dyDescent="0.15">
      <c r="A26" s="145" t="s">
        <v>68</v>
      </c>
      <c r="B26" s="145" t="s">
        <v>455</v>
      </c>
      <c r="C26" s="145" t="s">
        <v>443</v>
      </c>
      <c r="D26" s="145" t="s">
        <v>444</v>
      </c>
      <c r="E26" s="145" t="s">
        <v>493</v>
      </c>
      <c r="F26" s="145" t="s">
        <v>733</v>
      </c>
      <c r="G26" s="145" t="s">
        <v>566</v>
      </c>
      <c r="H26" s="145" t="s">
        <v>538</v>
      </c>
      <c r="I26" s="145" t="s">
        <v>539</v>
      </c>
      <c r="J26" s="145" t="s">
        <v>540</v>
      </c>
      <c r="K26" s="145" t="s">
        <v>734</v>
      </c>
      <c r="L26" s="145" t="s">
        <v>491</v>
      </c>
    </row>
    <row r="27" spans="1:48" s="57" customFormat="1" ht="11.25" x14ac:dyDescent="0.2">
      <c r="A27" s="68" t="s">
        <v>71</v>
      </c>
      <c r="B27" s="68" t="s">
        <v>731</v>
      </c>
      <c r="C27" s="69"/>
      <c r="D27" s="70">
        <v>1</v>
      </c>
      <c r="E27" s="94" t="s">
        <v>73</v>
      </c>
      <c r="F27" s="94" t="s">
        <v>73</v>
      </c>
      <c r="G27" s="94" t="s">
        <v>109</v>
      </c>
      <c r="H27" s="94" t="s">
        <v>108</v>
      </c>
      <c r="I27" s="94" t="s">
        <v>75</v>
      </c>
      <c r="J27" s="94"/>
    </row>
    <row r="28" spans="1:48" s="145" customFormat="1" ht="6.75" x14ac:dyDescent="0.15">
      <c r="A28" s="145" t="s">
        <v>68</v>
      </c>
      <c r="B28" s="145" t="s">
        <v>455</v>
      </c>
      <c r="C28" s="145" t="s">
        <v>443</v>
      </c>
      <c r="D28" s="145" t="s">
        <v>444</v>
      </c>
      <c r="E28" s="145" t="s">
        <v>493</v>
      </c>
      <c r="F28" s="145" t="s">
        <v>547</v>
      </c>
      <c r="G28" s="145" t="s">
        <v>549</v>
      </c>
      <c r="H28" s="145" t="s">
        <v>546</v>
      </c>
      <c r="I28" s="145" t="s">
        <v>735</v>
      </c>
      <c r="J28" s="145" t="s">
        <v>567</v>
      </c>
      <c r="K28" s="145" t="s">
        <v>736</v>
      </c>
      <c r="L28" s="145" t="s">
        <v>737</v>
      </c>
      <c r="M28" s="145" t="s">
        <v>553</v>
      </c>
      <c r="N28" s="145" t="s">
        <v>729</v>
      </c>
      <c r="O28" s="145" t="s">
        <v>516</v>
      </c>
      <c r="P28" s="145" t="s">
        <v>491</v>
      </c>
    </row>
    <row r="29" spans="1:48" s="57" customFormat="1" ht="11.25" x14ac:dyDescent="0.2">
      <c r="A29" s="68" t="s">
        <v>71</v>
      </c>
      <c r="B29" s="68" t="s">
        <v>732</v>
      </c>
      <c r="C29" s="69"/>
      <c r="D29" s="70">
        <v>1</v>
      </c>
      <c r="E29" s="94" t="s">
        <v>73</v>
      </c>
      <c r="F29" s="57" t="s">
        <v>73</v>
      </c>
      <c r="H29" s="57" t="s">
        <v>73</v>
      </c>
    </row>
    <row r="30" spans="1:48" s="148" customFormat="1" ht="6.75" x14ac:dyDescent="0.15">
      <c r="A30" s="148" t="s">
        <v>68</v>
      </c>
      <c r="B30" s="148" t="s">
        <v>455</v>
      </c>
      <c r="C30" s="145" t="s">
        <v>443</v>
      </c>
      <c r="D30" s="145" t="s">
        <v>444</v>
      </c>
      <c r="E30" s="148" t="s">
        <v>493</v>
      </c>
      <c r="F30" s="148" t="s">
        <v>784</v>
      </c>
      <c r="G30" s="148" t="s">
        <v>787</v>
      </c>
      <c r="H30" s="148" t="s">
        <v>404</v>
      </c>
      <c r="I30" s="148" t="s">
        <v>785</v>
      </c>
      <c r="J30" s="148" t="s">
        <v>753</v>
      </c>
      <c r="K30" s="148" t="s">
        <v>786</v>
      </c>
      <c r="L30" s="148" t="s">
        <v>491</v>
      </c>
    </row>
    <row r="31" spans="1:48" s="87" customFormat="1" ht="10.5" customHeight="1" x14ac:dyDescent="0.2">
      <c r="A31" s="83" t="s">
        <v>71</v>
      </c>
      <c r="B31" s="83" t="s">
        <v>788</v>
      </c>
      <c r="C31" s="84"/>
      <c r="D31" s="70">
        <v>1</v>
      </c>
      <c r="E31" s="95" t="s">
        <v>73</v>
      </c>
      <c r="F31" s="85" t="s">
        <v>73</v>
      </c>
      <c r="G31" s="85">
        <v>99</v>
      </c>
      <c r="H31" s="85">
        <v>99</v>
      </c>
      <c r="I31" s="85">
        <v>99</v>
      </c>
      <c r="J31" s="85">
        <v>99</v>
      </c>
      <c r="K31" s="85" t="s">
        <v>73</v>
      </c>
      <c r="L31" s="85"/>
      <c r="M31" s="85"/>
      <c r="N31" s="85"/>
      <c r="O31" s="85"/>
      <c r="P31" s="85"/>
      <c r="Q31" s="85"/>
      <c r="R31" s="85"/>
      <c r="S31" s="85"/>
      <c r="T31" s="85"/>
      <c r="U31" s="85"/>
      <c r="V31" s="85"/>
      <c r="W31" s="85"/>
      <c r="X31" s="72"/>
      <c r="Y31" s="85"/>
      <c r="Z31" s="85"/>
      <c r="AG31" s="85"/>
      <c r="AI31" s="85"/>
    </row>
    <row r="32" spans="1:48" s="150" customFormat="1" ht="6.75" x14ac:dyDescent="0.15">
      <c r="A32" s="150" t="s">
        <v>68</v>
      </c>
      <c r="B32" s="145" t="s">
        <v>455</v>
      </c>
      <c r="C32" s="145" t="s">
        <v>443</v>
      </c>
      <c r="D32" s="145" t="s">
        <v>444</v>
      </c>
      <c r="E32" s="150" t="s">
        <v>493</v>
      </c>
      <c r="F32" s="150" t="s">
        <v>750</v>
      </c>
      <c r="G32" s="150" t="s">
        <v>749</v>
      </c>
      <c r="H32" s="150" t="s">
        <v>747</v>
      </c>
      <c r="I32" s="150" t="s">
        <v>116</v>
      </c>
      <c r="J32" s="150" t="s">
        <v>117</v>
      </c>
      <c r="K32" s="150" t="s">
        <v>118</v>
      </c>
      <c r="L32" s="150" t="s">
        <v>123</v>
      </c>
      <c r="M32" s="150" t="s">
        <v>119</v>
      </c>
      <c r="N32" s="150" t="s">
        <v>221</v>
      </c>
      <c r="O32" s="150" t="s">
        <v>171</v>
      </c>
      <c r="P32" s="150" t="s">
        <v>172</v>
      </c>
      <c r="Q32" s="150" t="s">
        <v>177</v>
      </c>
      <c r="R32" s="150" t="s">
        <v>169</v>
      </c>
      <c r="S32" s="150" t="s">
        <v>170</v>
      </c>
      <c r="T32" s="150" t="s">
        <v>268</v>
      </c>
      <c r="U32" s="150" t="s">
        <v>173</v>
      </c>
      <c r="V32" s="150" t="s">
        <v>174</v>
      </c>
      <c r="W32" s="150" t="s">
        <v>175</v>
      </c>
      <c r="X32" s="150" t="s">
        <v>176</v>
      </c>
      <c r="Y32" s="150" t="s">
        <v>178</v>
      </c>
      <c r="Z32" s="150" t="s">
        <v>179</v>
      </c>
      <c r="AA32" s="150" t="s">
        <v>180</v>
      </c>
      <c r="AB32" s="150" t="s">
        <v>181</v>
      </c>
      <c r="AC32" s="150" t="s">
        <v>182</v>
      </c>
      <c r="AD32" s="150" t="s">
        <v>282</v>
      </c>
      <c r="AE32" s="150" t="s">
        <v>281</v>
      </c>
      <c r="AF32" s="150" t="s">
        <v>281</v>
      </c>
      <c r="AG32" s="150" t="s">
        <v>186</v>
      </c>
      <c r="AH32" s="150" t="s">
        <v>187</v>
      </c>
      <c r="AI32" s="150" t="s">
        <v>192</v>
      </c>
      <c r="AJ32" s="150" t="s">
        <v>188</v>
      </c>
      <c r="AK32" s="150" t="s">
        <v>198</v>
      </c>
      <c r="AL32" s="150" t="s">
        <v>199</v>
      </c>
      <c r="AM32" s="150" t="s">
        <v>200</v>
      </c>
      <c r="AN32" s="150" t="s">
        <v>189</v>
      </c>
      <c r="AO32" s="150" t="s">
        <v>190</v>
      </c>
      <c r="AP32" s="150" t="s">
        <v>191</v>
      </c>
      <c r="AQ32" s="150" t="s">
        <v>193</v>
      </c>
      <c r="AR32" s="150" t="s">
        <v>194</v>
      </c>
      <c r="AS32" s="150" t="s">
        <v>195</v>
      </c>
      <c r="AT32" s="150" t="s">
        <v>196</v>
      </c>
      <c r="AU32" s="150" t="s">
        <v>197</v>
      </c>
      <c r="AV32" s="148" t="s">
        <v>491</v>
      </c>
    </row>
    <row r="33" spans="1:48" s="57" customFormat="1" ht="11.25" x14ac:dyDescent="0.2">
      <c r="A33" s="68" t="s">
        <v>71</v>
      </c>
      <c r="B33" s="68" t="s">
        <v>568</v>
      </c>
      <c r="C33" s="69"/>
      <c r="D33" s="70">
        <v>1</v>
      </c>
      <c r="E33" s="96" t="s">
        <v>73</v>
      </c>
      <c r="F33" s="57" t="s">
        <v>73</v>
      </c>
      <c r="G33" s="60"/>
      <c r="H33" s="60"/>
      <c r="I33" s="60"/>
      <c r="J33" s="60" t="s">
        <v>77</v>
      </c>
      <c r="K33" s="60" t="s">
        <v>77</v>
      </c>
      <c r="L33" s="60"/>
      <c r="M33" s="60"/>
      <c r="N33" s="60"/>
      <c r="O33" s="60">
        <f ca="1">(INDIRECT("'Data'!BQ"&amp;($C$1)))</f>
        <v>0</v>
      </c>
      <c r="P33" s="60"/>
      <c r="Q33" s="60">
        <f ca="1">(INDIRECT("'Data'!CI"&amp;($C$1)))</f>
        <v>1</v>
      </c>
      <c r="R33" s="60">
        <f ca="1">(INDIRECT("'Data'!BX"&amp;($C$1)))</f>
        <v>0</v>
      </c>
      <c r="S33" s="60">
        <f ca="1">(INDIRECT("'Data'!BW"&amp;($C$1)))</f>
        <v>0</v>
      </c>
      <c r="T33" s="60" t="str">
        <f ca="1">(INDIRECT("'Data'!CJ"&amp;($C$1)))</f>
        <v>GAS_ENQ_NO-3520</v>
      </c>
      <c r="U33" s="60" t="str">
        <f ca="1">(INDIRECT("'Data'!CK"&amp;($C$1)))</f>
        <v>G4</v>
      </c>
      <c r="V33" s="60"/>
      <c r="W33" s="60"/>
      <c r="X33" s="60"/>
      <c r="Y33" s="60"/>
      <c r="Z33" s="60"/>
      <c r="AA33" s="60"/>
      <c r="AB33" s="59"/>
      <c r="AC33" s="60"/>
      <c r="AD33" s="60"/>
      <c r="AE33" s="60"/>
      <c r="AF33" s="60"/>
      <c r="AV33" s="85"/>
    </row>
    <row r="34" spans="1:48" s="145" customFormat="1" ht="6.75" x14ac:dyDescent="0.15">
      <c r="A34" s="145" t="s">
        <v>68</v>
      </c>
      <c r="B34" s="145" t="s">
        <v>455</v>
      </c>
      <c r="C34" s="145" t="s">
        <v>443</v>
      </c>
      <c r="D34" s="145" t="s">
        <v>444</v>
      </c>
      <c r="E34" s="145" t="s">
        <v>493</v>
      </c>
      <c r="F34" s="145" t="s">
        <v>203</v>
      </c>
      <c r="G34" s="145" t="s">
        <v>204</v>
      </c>
      <c r="H34" s="145" t="s">
        <v>205</v>
      </c>
      <c r="I34" s="145" t="s">
        <v>284</v>
      </c>
      <c r="J34" s="145" t="s">
        <v>206</v>
      </c>
      <c r="K34" s="145" t="s">
        <v>207</v>
      </c>
      <c r="L34" s="145" t="s">
        <v>208</v>
      </c>
      <c r="M34" s="145" t="s">
        <v>209</v>
      </c>
      <c r="N34" s="145" t="s">
        <v>210</v>
      </c>
      <c r="O34" s="145" t="s">
        <v>211</v>
      </c>
      <c r="P34" s="145" t="s">
        <v>212</v>
      </c>
      <c r="Q34" s="145" t="s">
        <v>213</v>
      </c>
      <c r="R34" s="145" t="s">
        <v>214</v>
      </c>
      <c r="S34" s="145" t="s">
        <v>215</v>
      </c>
      <c r="T34" s="145" t="s">
        <v>216</v>
      </c>
      <c r="U34" s="145" t="s">
        <v>217</v>
      </c>
      <c r="V34" s="148" t="s">
        <v>491</v>
      </c>
    </row>
    <row r="35" spans="1:48" s="57" customFormat="1" ht="11.25" x14ac:dyDescent="0.2">
      <c r="A35" s="68" t="s">
        <v>71</v>
      </c>
      <c r="B35" s="68" t="s">
        <v>570</v>
      </c>
      <c r="C35" s="69"/>
      <c r="D35" s="70">
        <v>1</v>
      </c>
      <c r="E35" s="94" t="s">
        <v>73</v>
      </c>
      <c r="F35" s="49">
        <f ca="1">(INDIRECT("'Data'!BL"&amp;($C$1)))</f>
        <v>0</v>
      </c>
      <c r="G35" s="49">
        <f ca="1">(INDIRECT("'Data'!BX"&amp;($C$1)))</f>
        <v>0</v>
      </c>
      <c r="H35" s="57" t="s">
        <v>280</v>
      </c>
      <c r="I35" s="60">
        <v>1</v>
      </c>
      <c r="N35" s="57" t="s">
        <v>218</v>
      </c>
      <c r="O35" s="57" t="s">
        <v>285</v>
      </c>
      <c r="P35" s="57" t="s">
        <v>286</v>
      </c>
      <c r="Q35" s="57" t="s">
        <v>287</v>
      </c>
      <c r="R35" s="57" t="s">
        <v>75</v>
      </c>
      <c r="S35" s="57" t="s">
        <v>219</v>
      </c>
      <c r="T35" s="57" t="s">
        <v>120</v>
      </c>
      <c r="U35" s="57" t="s">
        <v>73</v>
      </c>
      <c r="V35" s="85"/>
    </row>
    <row r="36" spans="1:48" s="145" customFormat="1" ht="6.75" x14ac:dyDescent="0.15">
      <c r="A36" s="145" t="s">
        <v>68</v>
      </c>
      <c r="B36" s="145" t="s">
        <v>455</v>
      </c>
      <c r="C36" s="145" t="s">
        <v>443</v>
      </c>
      <c r="D36" s="145" t="s">
        <v>444</v>
      </c>
      <c r="E36" s="145" t="s">
        <v>493</v>
      </c>
      <c r="F36" s="145" t="s">
        <v>574</v>
      </c>
      <c r="G36" s="145" t="s">
        <v>575</v>
      </c>
      <c r="H36" s="148" t="s">
        <v>491</v>
      </c>
    </row>
    <row r="37" spans="1:48" s="57" customFormat="1" ht="11.25" x14ac:dyDescent="0.2">
      <c r="A37" s="68" t="s">
        <v>71</v>
      </c>
      <c r="B37" s="68" t="s">
        <v>578</v>
      </c>
      <c r="C37" s="69"/>
      <c r="D37" s="70">
        <v>1</v>
      </c>
      <c r="E37" s="94" t="s">
        <v>73</v>
      </c>
      <c r="F37" s="57" t="s">
        <v>120</v>
      </c>
      <c r="G37" s="59" t="s">
        <v>73</v>
      </c>
      <c r="H37" s="85"/>
    </row>
    <row r="38" spans="1:48" s="145" customFormat="1" ht="6.75" x14ac:dyDescent="0.15">
      <c r="A38" s="145" t="s">
        <v>68</v>
      </c>
      <c r="B38" s="145" t="s">
        <v>455</v>
      </c>
      <c r="C38" s="145" t="s">
        <v>443</v>
      </c>
      <c r="D38" s="145" t="s">
        <v>444</v>
      </c>
      <c r="E38" s="145" t="s">
        <v>493</v>
      </c>
      <c r="F38" s="145" t="s">
        <v>579</v>
      </c>
      <c r="G38" s="145" t="s">
        <v>577</v>
      </c>
      <c r="H38" s="145" t="s">
        <v>83</v>
      </c>
      <c r="I38" s="145" t="s">
        <v>584</v>
      </c>
      <c r="J38" s="145" t="s">
        <v>576</v>
      </c>
      <c r="K38" s="145" t="s">
        <v>220</v>
      </c>
      <c r="L38" s="148" t="s">
        <v>491</v>
      </c>
    </row>
    <row r="39" spans="1:48" s="57" customFormat="1" ht="11.25" x14ac:dyDescent="0.2">
      <c r="A39" s="68" t="s">
        <v>71</v>
      </c>
      <c r="B39" s="68" t="s">
        <v>580</v>
      </c>
      <c r="C39" s="69" t="s">
        <v>77</v>
      </c>
      <c r="D39" s="70">
        <v>1</v>
      </c>
      <c r="E39" s="94" t="s">
        <v>73</v>
      </c>
      <c r="F39" s="73" t="s">
        <v>754</v>
      </c>
      <c r="G39" s="73" t="s">
        <v>755</v>
      </c>
      <c r="H39" s="73" t="s">
        <v>756</v>
      </c>
      <c r="I39" s="88"/>
      <c r="J39" s="73" t="s">
        <v>124</v>
      </c>
      <c r="K39" s="74" t="s">
        <v>585</v>
      </c>
      <c r="L39" s="85"/>
    </row>
    <row r="40" spans="1:48" s="145" customFormat="1" ht="6.75" x14ac:dyDescent="0.15">
      <c r="A40" s="145" t="s">
        <v>68</v>
      </c>
      <c r="B40" s="145" t="s">
        <v>455</v>
      </c>
      <c r="C40" s="145" t="s">
        <v>443</v>
      </c>
      <c r="D40" s="145" t="s">
        <v>444</v>
      </c>
      <c r="E40" s="145" t="s">
        <v>493</v>
      </c>
      <c r="F40" s="145" t="s">
        <v>318</v>
      </c>
      <c r="G40" s="145" t="s">
        <v>587</v>
      </c>
      <c r="H40" s="145" t="s">
        <v>319</v>
      </c>
      <c r="I40" s="145" t="s">
        <v>125</v>
      </c>
      <c r="J40" s="145" t="s">
        <v>588</v>
      </c>
      <c r="K40" s="145" t="s">
        <v>589</v>
      </c>
      <c r="L40" s="145" t="s">
        <v>320</v>
      </c>
      <c r="M40" s="145" t="s">
        <v>321</v>
      </c>
      <c r="N40" s="145" t="s">
        <v>89</v>
      </c>
      <c r="O40" s="145" t="s">
        <v>590</v>
      </c>
      <c r="P40" s="145" t="s">
        <v>419</v>
      </c>
      <c r="Q40" s="148" t="s">
        <v>491</v>
      </c>
    </row>
    <row r="41" spans="1:48" s="77" customFormat="1" ht="11.25" customHeight="1" x14ac:dyDescent="0.2">
      <c r="A41" s="68" t="s">
        <v>71</v>
      </c>
      <c r="B41" s="68" t="s">
        <v>586</v>
      </c>
      <c r="C41" s="68"/>
      <c r="D41" s="70">
        <v>1</v>
      </c>
      <c r="E41" s="94" t="s">
        <v>73</v>
      </c>
      <c r="F41" s="75" t="s">
        <v>73</v>
      </c>
      <c r="G41" s="75" t="s">
        <v>73</v>
      </c>
      <c r="H41" s="75" t="s">
        <v>322</v>
      </c>
      <c r="I41" s="75" t="s">
        <v>323</v>
      </c>
      <c r="J41" s="75" t="s">
        <v>73</v>
      </c>
      <c r="K41" s="75" t="s">
        <v>73</v>
      </c>
      <c r="L41" s="77" t="s">
        <v>73</v>
      </c>
      <c r="M41" s="77" t="s">
        <v>73</v>
      </c>
      <c r="N41" s="75" t="s">
        <v>73</v>
      </c>
      <c r="O41" s="77" t="s">
        <v>73</v>
      </c>
      <c r="P41" s="75" t="s">
        <v>73</v>
      </c>
      <c r="Q41" s="85"/>
    </row>
    <row r="42" spans="1:48" s="145" customFormat="1" ht="6.75" x14ac:dyDescent="0.15">
      <c r="A42" s="145" t="s">
        <v>68</v>
      </c>
      <c r="B42" s="145" t="s">
        <v>455</v>
      </c>
      <c r="C42" s="145" t="s">
        <v>443</v>
      </c>
      <c r="D42" s="145" t="s">
        <v>444</v>
      </c>
      <c r="E42" s="145" t="s">
        <v>493</v>
      </c>
      <c r="F42" s="145" t="s">
        <v>591</v>
      </c>
      <c r="G42" s="145" t="s">
        <v>593</v>
      </c>
      <c r="H42" s="145" t="s">
        <v>592</v>
      </c>
      <c r="I42" s="145" t="s">
        <v>302</v>
      </c>
      <c r="J42" s="145" t="s">
        <v>304</v>
      </c>
      <c r="K42" s="145" t="s">
        <v>475</v>
      </c>
      <c r="L42" s="148" t="s">
        <v>491</v>
      </c>
    </row>
    <row r="43" spans="1:48" s="78" customFormat="1" ht="11.25" x14ac:dyDescent="0.2">
      <c r="A43" s="68" t="s">
        <v>71</v>
      </c>
      <c r="B43" s="68" t="s">
        <v>642</v>
      </c>
      <c r="C43" s="69" t="s">
        <v>77</v>
      </c>
      <c r="D43" s="70">
        <v>1</v>
      </c>
      <c r="E43" s="94" t="s">
        <v>73</v>
      </c>
      <c r="F43" s="78" t="s">
        <v>303</v>
      </c>
      <c r="G43" s="78" t="s">
        <v>65</v>
      </c>
      <c r="H43" s="78" t="s">
        <v>53</v>
      </c>
      <c r="I43" s="55"/>
      <c r="J43" s="78" t="s">
        <v>77</v>
      </c>
      <c r="K43" s="48">
        <f ca="1">(INDIRECT("'Data'!CD"&amp;($C$1)))</f>
        <v>0</v>
      </c>
      <c r="L43" s="85"/>
    </row>
    <row r="44" spans="1:48" s="145" customFormat="1" ht="6.75" x14ac:dyDescent="0.15">
      <c r="A44" s="145" t="s">
        <v>68</v>
      </c>
      <c r="B44" s="145" t="s">
        <v>455</v>
      </c>
      <c r="C44" s="145" t="s">
        <v>443</v>
      </c>
      <c r="D44" s="145" t="s">
        <v>444</v>
      </c>
      <c r="E44" s="145" t="s">
        <v>493</v>
      </c>
      <c r="F44" s="145" t="s">
        <v>475</v>
      </c>
      <c r="G44" s="145" t="s">
        <v>789</v>
      </c>
      <c r="H44" s="145" t="s">
        <v>790</v>
      </c>
      <c r="I44" s="145" t="s">
        <v>791</v>
      </c>
      <c r="J44" s="145" t="s">
        <v>793</v>
      </c>
      <c r="K44" s="145" t="s">
        <v>794</v>
      </c>
      <c r="L44" s="145" t="s">
        <v>795</v>
      </c>
      <c r="M44" s="145" t="s">
        <v>796</v>
      </c>
      <c r="N44" s="145" t="s">
        <v>650</v>
      </c>
      <c r="O44" s="145" t="s">
        <v>651</v>
      </c>
      <c r="P44" s="148" t="s">
        <v>491</v>
      </c>
    </row>
    <row r="45" spans="1:48" s="78" customFormat="1" ht="11.25" x14ac:dyDescent="0.2">
      <c r="A45" s="68" t="s">
        <v>71</v>
      </c>
      <c r="B45" s="68" t="s">
        <v>594</v>
      </c>
      <c r="C45" s="69" t="s">
        <v>77</v>
      </c>
      <c r="D45" s="70">
        <v>1</v>
      </c>
      <c r="E45" s="94" t="s">
        <v>73</v>
      </c>
      <c r="F45" s="48">
        <f ca="1">(INDIRECT("'Data'!CD"&amp;($C$1)))</f>
        <v>0</v>
      </c>
      <c r="G45" s="77" t="s">
        <v>73</v>
      </c>
      <c r="H45" s="77" t="s">
        <v>308</v>
      </c>
      <c r="I45" s="77" t="s">
        <v>317</v>
      </c>
      <c r="J45" s="75">
        <v>11</v>
      </c>
      <c r="K45" s="77" t="s">
        <v>231</v>
      </c>
      <c r="L45" s="77" t="s">
        <v>757</v>
      </c>
      <c r="M45" s="77" t="s">
        <v>313</v>
      </c>
      <c r="N45" s="78" t="s">
        <v>315</v>
      </c>
      <c r="O45" s="78" t="s">
        <v>65</v>
      </c>
      <c r="P45" s="85"/>
    </row>
    <row r="46" spans="1:48" s="145" customFormat="1" ht="6.75" x14ac:dyDescent="0.15">
      <c r="A46" s="145" t="s">
        <v>68</v>
      </c>
      <c r="B46" s="145" t="s">
        <v>455</v>
      </c>
      <c r="C46" s="145" t="s">
        <v>443</v>
      </c>
      <c r="D46" s="145" t="s">
        <v>444</v>
      </c>
      <c r="E46" s="145" t="s">
        <v>493</v>
      </c>
      <c r="F46" s="145" t="s">
        <v>235</v>
      </c>
      <c r="G46" s="145" t="s">
        <v>238</v>
      </c>
      <c r="H46" s="145" t="s">
        <v>595</v>
      </c>
      <c r="I46" s="145" t="s">
        <v>596</v>
      </c>
      <c r="J46" s="145" t="s">
        <v>599</v>
      </c>
      <c r="K46" s="145" t="s">
        <v>237</v>
      </c>
      <c r="L46" s="145" t="s">
        <v>597</v>
      </c>
      <c r="M46" s="145" t="s">
        <v>236</v>
      </c>
      <c r="N46" s="148" t="s">
        <v>491</v>
      </c>
    </row>
    <row r="47" spans="1:48" s="78" customFormat="1" ht="11.25" x14ac:dyDescent="0.2">
      <c r="A47" s="68" t="s">
        <v>71</v>
      </c>
      <c r="B47" s="68" t="s">
        <v>598</v>
      </c>
      <c r="C47" s="69"/>
      <c r="D47" s="70">
        <v>1</v>
      </c>
      <c r="E47" s="94" t="s">
        <v>73</v>
      </c>
      <c r="F47" s="55" t="s">
        <v>73</v>
      </c>
      <c r="G47" s="55" t="s">
        <v>238</v>
      </c>
      <c r="H47" s="55" t="s">
        <v>109</v>
      </c>
      <c r="I47" s="55" t="s">
        <v>168</v>
      </c>
      <c r="J47" s="55" t="s">
        <v>73</v>
      </c>
      <c r="K47" s="55" t="s">
        <v>237</v>
      </c>
      <c r="L47" s="55" t="s">
        <v>109</v>
      </c>
      <c r="M47" s="55" t="s">
        <v>236</v>
      </c>
      <c r="N47" s="85"/>
    </row>
    <row r="48" spans="1:48" s="145" customFormat="1" ht="6.75" x14ac:dyDescent="0.15">
      <c r="A48" s="145" t="s">
        <v>68</v>
      </c>
      <c r="B48" s="145" t="s">
        <v>455</v>
      </c>
      <c r="C48" s="145" t="s">
        <v>443</v>
      </c>
      <c r="D48" s="145" t="s">
        <v>444</v>
      </c>
      <c r="E48" s="145" t="s">
        <v>493</v>
      </c>
      <c r="F48" s="148" t="s">
        <v>491</v>
      </c>
    </row>
    <row r="49" spans="1:59" s="78" customFormat="1" ht="11.25" x14ac:dyDescent="0.2">
      <c r="A49" s="68" t="s">
        <v>71</v>
      </c>
      <c r="B49" s="68" t="s">
        <v>600</v>
      </c>
      <c r="C49" s="69"/>
      <c r="D49" s="70">
        <v>1</v>
      </c>
      <c r="E49" s="94" t="s">
        <v>73</v>
      </c>
      <c r="F49" s="85"/>
    </row>
    <row r="50" spans="1:59" s="145" customFormat="1" ht="6.75" x14ac:dyDescent="0.15">
      <c r="A50" s="145" t="s">
        <v>68</v>
      </c>
      <c r="B50" s="145" t="s">
        <v>455</v>
      </c>
      <c r="C50" s="145" t="s">
        <v>443</v>
      </c>
      <c r="D50" s="145" t="s">
        <v>444</v>
      </c>
      <c r="E50" s="145" t="s">
        <v>493</v>
      </c>
      <c r="F50" s="145" t="s">
        <v>485</v>
      </c>
      <c r="G50" s="145" t="s">
        <v>484</v>
      </c>
      <c r="H50" s="145" t="s">
        <v>486</v>
      </c>
      <c r="I50" s="145" t="s">
        <v>487</v>
      </c>
      <c r="J50" s="145" t="s">
        <v>488</v>
      </c>
      <c r="K50" s="145" t="s">
        <v>489</v>
      </c>
      <c r="L50" s="145" t="s">
        <v>490</v>
      </c>
      <c r="M50" s="145" t="s">
        <v>528</v>
      </c>
      <c r="N50" s="145" t="s">
        <v>126</v>
      </c>
      <c r="O50" s="145" t="s">
        <v>127</v>
      </c>
      <c r="P50" s="145" t="s">
        <v>128</v>
      </c>
      <c r="Q50" s="145" t="s">
        <v>129</v>
      </c>
      <c r="R50" s="145" t="s">
        <v>130</v>
      </c>
      <c r="S50" s="145" t="s">
        <v>131</v>
      </c>
      <c r="T50" s="145" t="s">
        <v>132</v>
      </c>
      <c r="U50" s="145" t="s">
        <v>491</v>
      </c>
      <c r="V50" s="145" t="s">
        <v>517</v>
      </c>
      <c r="W50" s="145" t="s">
        <v>107</v>
      </c>
      <c r="X50" s="145" t="s">
        <v>103</v>
      </c>
      <c r="Y50" s="145" t="s">
        <v>104</v>
      </c>
      <c r="Z50" s="145" t="s">
        <v>105</v>
      </c>
      <c r="AA50" s="145" t="s">
        <v>106</v>
      </c>
      <c r="AB50" s="145" t="s">
        <v>760</v>
      </c>
      <c r="AC50" s="145" t="s">
        <v>272</v>
      </c>
      <c r="AD50" s="145" t="s">
        <v>273</v>
      </c>
      <c r="AE50" s="145" t="s">
        <v>274</v>
      </c>
      <c r="AF50" s="145" t="s">
        <v>271</v>
      </c>
      <c r="AG50" s="148" t="s">
        <v>491</v>
      </c>
    </row>
    <row r="51" spans="1:59" s="57" customFormat="1" ht="11.25" customHeight="1" x14ac:dyDescent="0.2">
      <c r="A51" s="68" t="s">
        <v>71</v>
      </c>
      <c r="B51" s="68" t="s">
        <v>500</v>
      </c>
      <c r="C51" s="69" t="s">
        <v>77</v>
      </c>
      <c r="D51" s="70">
        <v>1</v>
      </c>
      <c r="E51" s="94" t="s">
        <v>73</v>
      </c>
      <c r="F51" s="60" t="s">
        <v>135</v>
      </c>
      <c r="G51" s="60"/>
      <c r="H51" s="60" t="s">
        <v>134</v>
      </c>
      <c r="I51" s="60"/>
      <c r="J51" s="60"/>
      <c r="K51" s="60" t="s">
        <v>134</v>
      </c>
      <c r="L51" s="46"/>
      <c r="M51" s="60"/>
      <c r="N51" s="60" t="s">
        <v>134</v>
      </c>
      <c r="O51" s="60"/>
      <c r="P51" s="60"/>
      <c r="Q51" s="60" t="s">
        <v>134</v>
      </c>
      <c r="R51" s="60"/>
      <c r="S51" s="60"/>
      <c r="T51" s="60" t="s">
        <v>73</v>
      </c>
      <c r="U51" s="60"/>
      <c r="V51" s="60"/>
      <c r="W51" s="143"/>
      <c r="X51" s="143"/>
      <c r="Y51" s="143"/>
      <c r="Z51" s="143"/>
      <c r="AA51" s="143"/>
      <c r="AB51" s="143"/>
      <c r="AC51" s="144"/>
      <c r="AD51" s="144"/>
      <c r="AE51" s="144"/>
      <c r="AF51" s="144"/>
      <c r="AG51" s="85"/>
    </row>
    <row r="52" spans="1:59" s="145" customFormat="1" ht="6.75" x14ac:dyDescent="0.15">
      <c r="A52" s="145" t="s">
        <v>68</v>
      </c>
      <c r="B52" s="145" t="s">
        <v>455</v>
      </c>
      <c r="C52" s="145" t="s">
        <v>443</v>
      </c>
      <c r="D52" s="145" t="s">
        <v>444</v>
      </c>
      <c r="E52" s="145" t="s">
        <v>493</v>
      </c>
      <c r="F52" s="145" t="s">
        <v>136</v>
      </c>
      <c r="G52" s="145" t="s">
        <v>137</v>
      </c>
      <c r="H52" s="145" t="s">
        <v>225</v>
      </c>
      <c r="I52" s="145" t="s">
        <v>226</v>
      </c>
      <c r="J52" s="145" t="s">
        <v>222</v>
      </c>
      <c r="K52" s="145" t="s">
        <v>223</v>
      </c>
      <c r="L52" s="145" t="s">
        <v>83</v>
      </c>
      <c r="M52" s="145" t="s">
        <v>101</v>
      </c>
      <c r="N52" s="145" t="s">
        <v>224</v>
      </c>
      <c r="O52" s="145" t="s">
        <v>138</v>
      </c>
      <c r="P52" s="145" t="s">
        <v>139</v>
      </c>
      <c r="Q52" s="145" t="s">
        <v>141</v>
      </c>
      <c r="R52" s="145" t="s">
        <v>227</v>
      </c>
      <c r="S52" s="145" t="s">
        <v>228</v>
      </c>
      <c r="T52" s="145" t="s">
        <v>229</v>
      </c>
      <c r="U52" s="145" t="s">
        <v>142</v>
      </c>
      <c r="V52" s="145" t="s">
        <v>143</v>
      </c>
      <c r="W52" s="145" t="s">
        <v>230</v>
      </c>
      <c r="X52" s="145" t="s">
        <v>491</v>
      </c>
    </row>
    <row r="53" spans="1:59" s="159" customFormat="1" ht="11.25" x14ac:dyDescent="0.2">
      <c r="A53" s="154" t="s">
        <v>68</v>
      </c>
      <c r="B53" s="154" t="s">
        <v>601</v>
      </c>
      <c r="C53" s="155"/>
      <c r="D53" s="156">
        <v>1</v>
      </c>
      <c r="E53" s="157" t="s">
        <v>73</v>
      </c>
      <c r="F53" s="158" t="s">
        <v>73</v>
      </c>
      <c r="G53" s="158" t="str">
        <f ca="1">(INDIRECT("'Data'!S"&amp;($C$1))) &amp; " Smart Notes"</f>
        <v>Prev_RA-3520 Smart Notes</v>
      </c>
      <c r="H53" s="158"/>
      <c r="I53" s="158" t="s">
        <v>73</v>
      </c>
      <c r="J53" s="158" t="s">
        <v>75</v>
      </c>
      <c r="K53" s="158"/>
      <c r="L53" s="158"/>
      <c r="M53" s="158" t="s">
        <v>77</v>
      </c>
      <c r="N53" s="158" t="s">
        <v>77</v>
      </c>
      <c r="O53" s="158" t="s">
        <v>77</v>
      </c>
      <c r="P53" s="158" t="s">
        <v>77</v>
      </c>
      <c r="Q53" s="158"/>
      <c r="R53" s="158"/>
      <c r="S53" s="158"/>
      <c r="T53" s="158"/>
      <c r="U53" s="158"/>
      <c r="X53" s="158"/>
    </row>
    <row r="54" spans="1:59" s="148" customFormat="1" ht="6.75" x14ac:dyDescent="0.15">
      <c r="A54" s="148" t="s">
        <v>68</v>
      </c>
      <c r="B54" s="148" t="s">
        <v>455</v>
      </c>
      <c r="C54" s="145" t="s">
        <v>443</v>
      </c>
      <c r="D54" s="145" t="s">
        <v>444</v>
      </c>
      <c r="E54" s="148" t="s">
        <v>493</v>
      </c>
      <c r="F54" s="148" t="s">
        <v>491</v>
      </c>
    </row>
    <row r="55" spans="1:59" s="165" customFormat="1" ht="10.5" customHeight="1" x14ac:dyDescent="0.2">
      <c r="A55" s="166" t="s">
        <v>71</v>
      </c>
      <c r="B55" s="166" t="s">
        <v>761</v>
      </c>
      <c r="C55" s="161"/>
      <c r="D55" s="156">
        <v>1</v>
      </c>
      <c r="E55" s="162" t="s">
        <v>73</v>
      </c>
      <c r="F55" s="163"/>
      <c r="G55" s="163"/>
      <c r="H55" s="163"/>
      <c r="I55" s="163"/>
      <c r="J55" s="163"/>
      <c r="K55" s="163"/>
      <c r="L55" s="163"/>
      <c r="M55" s="163"/>
      <c r="N55" s="163"/>
      <c r="O55" s="163"/>
      <c r="P55" s="163"/>
      <c r="Q55" s="163"/>
      <c r="R55" s="163"/>
      <c r="S55" s="163"/>
      <c r="T55" s="163"/>
      <c r="U55" s="163"/>
      <c r="V55" s="163"/>
      <c r="W55" s="163"/>
      <c r="X55" s="164"/>
      <c r="Y55" s="163"/>
      <c r="Z55" s="163"/>
      <c r="AG55" s="163"/>
      <c r="AI55" s="163"/>
    </row>
    <row r="56" spans="1:59" s="148" customFormat="1" ht="6.75" x14ac:dyDescent="0.15">
      <c r="A56" s="148" t="s">
        <v>68</v>
      </c>
      <c r="B56" s="148" t="s">
        <v>455</v>
      </c>
      <c r="C56" s="145" t="s">
        <v>443</v>
      </c>
      <c r="D56" s="145" t="s">
        <v>444</v>
      </c>
      <c r="E56" s="148" t="s">
        <v>493</v>
      </c>
      <c r="F56" s="107" t="s">
        <v>823</v>
      </c>
      <c r="G56" s="107" t="s">
        <v>824</v>
      </c>
      <c r="H56" s="107" t="s">
        <v>223</v>
      </c>
      <c r="I56" s="107" t="s">
        <v>825</v>
      </c>
      <c r="J56" s="142" t="s">
        <v>491</v>
      </c>
    </row>
    <row r="57" spans="1:59" s="165" customFormat="1" ht="10.5" customHeight="1" x14ac:dyDescent="0.2">
      <c r="A57" s="166" t="s">
        <v>71</v>
      </c>
      <c r="B57" s="166" t="s">
        <v>762</v>
      </c>
      <c r="C57" s="161"/>
      <c r="D57" s="156">
        <v>1</v>
      </c>
      <c r="E57" s="162" t="s">
        <v>73</v>
      </c>
      <c r="F57" s="163" t="s">
        <v>73</v>
      </c>
      <c r="G57" s="163" t="s">
        <v>75</v>
      </c>
      <c r="H57" s="163"/>
      <c r="I57" s="163"/>
      <c r="J57" s="163"/>
      <c r="K57" s="163"/>
      <c r="L57" s="163"/>
      <c r="M57" s="163"/>
      <c r="N57" s="163"/>
      <c r="O57" s="163"/>
      <c r="P57" s="163"/>
      <c r="Q57" s="163"/>
      <c r="R57" s="163"/>
      <c r="S57" s="163"/>
      <c r="T57" s="163"/>
      <c r="U57" s="163"/>
      <c r="V57" s="163"/>
      <c r="W57" s="163"/>
      <c r="X57" s="164"/>
      <c r="Y57" s="163"/>
      <c r="Z57" s="163"/>
      <c r="AG57" s="163"/>
      <c r="AI57" s="163"/>
    </row>
    <row r="58" spans="1:59" s="145" customFormat="1" ht="6.75" x14ac:dyDescent="0.15">
      <c r="A58" s="145" t="s">
        <v>68</v>
      </c>
      <c r="B58" s="145" t="s">
        <v>455</v>
      </c>
      <c r="C58" s="145" t="s">
        <v>443</v>
      </c>
      <c r="D58" s="145" t="s">
        <v>444</v>
      </c>
      <c r="E58" s="145" t="s">
        <v>493</v>
      </c>
      <c r="F58" s="145" t="s">
        <v>569</v>
      </c>
      <c r="G58" s="145" t="s">
        <v>116</v>
      </c>
      <c r="H58" s="145" t="s">
        <v>117</v>
      </c>
      <c r="I58" s="145" t="s">
        <v>118</v>
      </c>
      <c r="J58" s="145" t="s">
        <v>123</v>
      </c>
      <c r="K58" s="145" t="s">
        <v>119</v>
      </c>
      <c r="L58" s="145" t="s">
        <v>221</v>
      </c>
      <c r="M58" s="145" t="s">
        <v>232</v>
      </c>
      <c r="N58" s="145" t="s">
        <v>603</v>
      </c>
      <c r="O58" s="145" t="s">
        <v>177</v>
      </c>
      <c r="P58" s="145" t="s">
        <v>169</v>
      </c>
      <c r="Q58" s="145" t="s">
        <v>170</v>
      </c>
      <c r="R58" s="145" t="s">
        <v>327</v>
      </c>
      <c r="S58" s="145" t="s">
        <v>328</v>
      </c>
      <c r="T58" s="145" t="s">
        <v>329</v>
      </c>
      <c r="U58" s="145" t="s">
        <v>329</v>
      </c>
      <c r="V58" s="145" t="s">
        <v>173</v>
      </c>
      <c r="W58" s="145" t="s">
        <v>174</v>
      </c>
      <c r="X58" s="145" t="s">
        <v>175</v>
      </c>
      <c r="Y58" s="145" t="s">
        <v>176</v>
      </c>
      <c r="Z58" s="145" t="s">
        <v>605</v>
      </c>
      <c r="AA58" s="145" t="s">
        <v>606</v>
      </c>
      <c r="AB58" s="145" t="s">
        <v>609</v>
      </c>
      <c r="AC58" s="145" t="s">
        <v>181</v>
      </c>
      <c r="AD58" s="145" t="s">
        <v>182</v>
      </c>
      <c r="AE58" s="145" t="s">
        <v>183</v>
      </c>
      <c r="AF58" s="145" t="s">
        <v>184</v>
      </c>
      <c r="AG58" s="145" t="s">
        <v>185</v>
      </c>
      <c r="AH58" s="145" t="s">
        <v>604</v>
      </c>
      <c r="AI58" s="145" t="s">
        <v>187</v>
      </c>
      <c r="AJ58" s="145" t="s">
        <v>607</v>
      </c>
      <c r="AK58" s="145" t="s">
        <v>608</v>
      </c>
      <c r="AL58" s="145" t="s">
        <v>198</v>
      </c>
      <c r="AM58" s="145" t="s">
        <v>199</v>
      </c>
      <c r="AN58" s="145" t="s">
        <v>200</v>
      </c>
      <c r="AO58" s="145" t="s">
        <v>610</v>
      </c>
      <c r="AP58" s="145" t="s">
        <v>611</v>
      </c>
      <c r="AQ58" s="145" t="s">
        <v>612</v>
      </c>
      <c r="AR58" s="145" t="s">
        <v>613</v>
      </c>
      <c r="AS58" s="145" t="s">
        <v>194</v>
      </c>
      <c r="AT58" s="145" t="s">
        <v>195</v>
      </c>
      <c r="AU58" s="145" t="s">
        <v>196</v>
      </c>
      <c r="AV58" s="145" t="s">
        <v>197</v>
      </c>
      <c r="AW58" s="145" t="s">
        <v>107</v>
      </c>
      <c r="AX58" s="145" t="s">
        <v>103</v>
      </c>
      <c r="AY58" s="145" t="s">
        <v>104</v>
      </c>
      <c r="AZ58" s="145" t="s">
        <v>105</v>
      </c>
      <c r="BA58" s="145" t="s">
        <v>106</v>
      </c>
      <c r="BB58" s="145" t="s">
        <v>266</v>
      </c>
      <c r="BC58" s="145" t="s">
        <v>272</v>
      </c>
      <c r="BD58" s="145" t="s">
        <v>273</v>
      </c>
      <c r="BE58" s="145" t="s">
        <v>274</v>
      </c>
      <c r="BF58" s="145" t="s">
        <v>271</v>
      </c>
      <c r="BG58" s="148" t="s">
        <v>491</v>
      </c>
    </row>
    <row r="59" spans="1:59" s="57" customFormat="1" ht="11.25" x14ac:dyDescent="0.2">
      <c r="A59" s="68" t="s">
        <v>71</v>
      </c>
      <c r="B59" s="68" t="s">
        <v>602</v>
      </c>
      <c r="C59" s="69"/>
      <c r="D59" s="70">
        <v>1</v>
      </c>
      <c r="E59" s="96" t="s">
        <v>73</v>
      </c>
      <c r="F59" s="89" t="s">
        <v>73</v>
      </c>
      <c r="G59" s="90" t="s">
        <v>75</v>
      </c>
      <c r="H59" s="90" t="s">
        <v>77</v>
      </c>
      <c r="I59" s="90" t="s">
        <v>77</v>
      </c>
      <c r="J59" s="90" t="s">
        <v>73</v>
      </c>
      <c r="K59" s="90" t="s">
        <v>120</v>
      </c>
      <c r="L59" s="90">
        <v>1</v>
      </c>
      <c r="M59" s="90" t="s">
        <v>233</v>
      </c>
      <c r="N59" s="90" t="str">
        <f ca="1">(INDIRECT("'Data'!AZ"&amp;($C$1)))</f>
        <v>LU4 9RY</v>
      </c>
      <c r="O59" s="90" t="str">
        <f ca="1">(INDIRECT("'Data'!CL"&amp;($C$1)))</f>
        <v>false</v>
      </c>
      <c r="P59" s="90">
        <f ca="1">(INDIRECT("'Data'!AS"&amp;($C$1)))</f>
        <v>0</v>
      </c>
      <c r="Q59" s="90">
        <f ca="1">(INDIRECT("'Data'!AR"&amp;($C$1)))</f>
        <v>0</v>
      </c>
      <c r="R59" s="60" t="str">
        <f ca="1">(INDIRECT("'Data'!CM"&amp;($C$1)))</f>
        <v>true</v>
      </c>
      <c r="S59" s="90" t="s">
        <v>77</v>
      </c>
      <c r="T59" s="90"/>
      <c r="U59" s="90"/>
      <c r="V59" s="90" t="str">
        <f ca="1">(INDIRECT("'Data'!CN"&amp;($C$1)))</f>
        <v>EXCHANGE GAS METER TO SECURE SMART CREDIT</v>
      </c>
      <c r="W59" s="90"/>
      <c r="X59" s="90"/>
      <c r="Y59" s="90"/>
      <c r="Z59" s="60">
        <v>12345</v>
      </c>
      <c r="AA59" s="60" t="s">
        <v>164</v>
      </c>
      <c r="AB59" s="60" t="s">
        <v>234</v>
      </c>
      <c r="AC59" s="90" t="s">
        <v>77</v>
      </c>
      <c r="AD59" s="90">
        <v>1</v>
      </c>
      <c r="AE59" s="90"/>
      <c r="AF59" s="90"/>
      <c r="AG59" s="90"/>
      <c r="AH59" s="57" t="s">
        <v>163</v>
      </c>
      <c r="AI59" s="89"/>
      <c r="AJ59" s="57" t="s">
        <v>75</v>
      </c>
      <c r="AL59" s="89"/>
      <c r="AM59" s="89"/>
      <c r="AN59" s="89"/>
      <c r="AS59" s="89"/>
      <c r="AT59" s="89"/>
      <c r="AU59" s="89"/>
      <c r="AV59" s="89" t="s">
        <v>73</v>
      </c>
      <c r="AW59" s="89"/>
      <c r="AX59" s="89"/>
      <c r="AY59" s="89"/>
      <c r="AZ59" s="89"/>
      <c r="BA59" s="89"/>
      <c r="BB59" s="90" t="str">
        <f ca="1">(INDIRECT("'Data'!CO"&amp;($C$1)))</f>
        <v>GAS_JOB_ID-3520</v>
      </c>
      <c r="BC59" s="89" t="s">
        <v>73</v>
      </c>
      <c r="BD59" s="89" t="s">
        <v>270</v>
      </c>
      <c r="BE59" s="89" t="s">
        <v>73</v>
      </c>
      <c r="BF59" s="89" t="s">
        <v>73</v>
      </c>
      <c r="BG59" s="85"/>
    </row>
    <row r="60" spans="1:59" s="145" customFormat="1" ht="6.75" x14ac:dyDescent="0.15">
      <c r="A60" s="145" t="s">
        <v>68</v>
      </c>
      <c r="B60" s="145" t="s">
        <v>455</v>
      </c>
      <c r="C60" s="145" t="s">
        <v>443</v>
      </c>
      <c r="D60" s="145" t="s">
        <v>444</v>
      </c>
      <c r="E60" s="145" t="s">
        <v>493</v>
      </c>
      <c r="F60" s="145" t="s">
        <v>616</v>
      </c>
      <c r="G60" s="145" t="s">
        <v>617</v>
      </c>
      <c r="H60" s="145" t="s">
        <v>619</v>
      </c>
      <c r="I60" s="145" t="s">
        <v>622</v>
      </c>
      <c r="J60" s="145" t="s">
        <v>618</v>
      </c>
      <c r="K60" s="145" t="s">
        <v>239</v>
      </c>
      <c r="L60" s="145" t="s">
        <v>615</v>
      </c>
      <c r="M60" s="145" t="s">
        <v>491</v>
      </c>
    </row>
    <row r="61" spans="1:59" s="57" customFormat="1" ht="11.25" customHeight="1" x14ac:dyDescent="0.2">
      <c r="A61" s="68" t="s">
        <v>71</v>
      </c>
      <c r="B61" s="68" t="s">
        <v>614</v>
      </c>
      <c r="C61" s="69"/>
      <c r="D61" s="91">
        <v>1</v>
      </c>
      <c r="E61" s="94" t="s">
        <v>73</v>
      </c>
      <c r="F61" s="48" t="str">
        <f ca="1">(INDIRECT("'Data'!CQ"&amp;($C$1)))</f>
        <v>100003520</v>
      </c>
      <c r="G61" s="48" t="str">
        <f ca="1">(INDIRECT("'Data'!CT"&amp;($C$1)))</f>
        <v>GMETER3520</v>
      </c>
      <c r="H61" s="48" t="str">
        <f ca="1">(INDIRECT("'Data'!DB"&amp;($C$1)))</f>
        <v>GAS_INST_ID-3520</v>
      </c>
      <c r="I61" s="48" t="str">
        <f ca="1">(INDIRECT("'Data'!DC"&amp;($C$1)))</f>
        <v>H</v>
      </c>
      <c r="J61" s="57" t="s">
        <v>704</v>
      </c>
      <c r="K61" s="57" t="s">
        <v>73</v>
      </c>
      <c r="L61" s="57" t="s">
        <v>623</v>
      </c>
      <c r="M61" s="55" t="s">
        <v>492</v>
      </c>
    </row>
    <row r="62" spans="1:59" s="145" customFormat="1" ht="6.75" x14ac:dyDescent="0.15">
      <c r="A62" s="145" t="s">
        <v>68</v>
      </c>
      <c r="B62" s="145" t="s">
        <v>69</v>
      </c>
      <c r="C62" s="145" t="s">
        <v>70</v>
      </c>
      <c r="D62" s="145" t="s">
        <v>444</v>
      </c>
      <c r="E62" s="145" t="s">
        <v>493</v>
      </c>
      <c r="F62" s="145" t="s">
        <v>633</v>
      </c>
      <c r="G62" s="145" t="s">
        <v>634</v>
      </c>
      <c r="H62" s="148" t="s">
        <v>491</v>
      </c>
      <c r="I62" s="145" t="s">
        <v>77</v>
      </c>
      <c r="J62" s="145" t="s">
        <v>77</v>
      </c>
      <c r="K62" s="145" t="s">
        <v>77</v>
      </c>
      <c r="L62" s="145" t="s">
        <v>77</v>
      </c>
      <c r="M62" s="145" t="s">
        <v>77</v>
      </c>
      <c r="N62" s="145" t="s">
        <v>77</v>
      </c>
    </row>
    <row r="63" spans="1:59" s="57" customFormat="1" ht="11.25" customHeight="1" x14ac:dyDescent="0.2">
      <c r="A63" s="118" t="s">
        <v>71</v>
      </c>
      <c r="B63" s="118" t="s">
        <v>621</v>
      </c>
      <c r="C63" s="119"/>
      <c r="D63" s="82">
        <v>1</v>
      </c>
      <c r="E63" s="94" t="s">
        <v>73</v>
      </c>
      <c r="F63" s="57" t="s">
        <v>120</v>
      </c>
      <c r="G63" s="59" t="s">
        <v>73</v>
      </c>
      <c r="H63" s="85"/>
      <c r="I63" s="60" t="s">
        <v>77</v>
      </c>
      <c r="J63" s="57" t="s">
        <v>77</v>
      </c>
      <c r="K63" s="57" t="s">
        <v>77</v>
      </c>
      <c r="L63" s="57" t="s">
        <v>77</v>
      </c>
      <c r="M63" s="57" t="s">
        <v>77</v>
      </c>
      <c r="N63" s="57" t="s">
        <v>77</v>
      </c>
    </row>
    <row r="64" spans="1:59" s="145" customFormat="1" ht="6.75" x14ac:dyDescent="0.15">
      <c r="A64" s="145" t="s">
        <v>68</v>
      </c>
      <c r="B64" s="145" t="s">
        <v>69</v>
      </c>
      <c r="C64" s="145" t="s">
        <v>70</v>
      </c>
      <c r="D64" s="145" t="s">
        <v>444</v>
      </c>
      <c r="E64" s="145" t="s">
        <v>493</v>
      </c>
      <c r="F64" s="145" t="s">
        <v>636</v>
      </c>
      <c r="G64" s="145" t="s">
        <v>245</v>
      </c>
      <c r="H64" s="145" t="s">
        <v>243</v>
      </c>
      <c r="I64" s="145" t="s">
        <v>244</v>
      </c>
      <c r="J64" s="148" t="s">
        <v>491</v>
      </c>
    </row>
    <row r="65" spans="1:32" s="57" customFormat="1" ht="11.25" customHeight="1" x14ac:dyDescent="0.2">
      <c r="A65" s="118" t="s">
        <v>71</v>
      </c>
      <c r="B65" s="118" t="s">
        <v>635</v>
      </c>
      <c r="C65" s="119" t="s">
        <v>77</v>
      </c>
      <c r="D65" s="82">
        <v>1</v>
      </c>
      <c r="E65" s="94" t="s">
        <v>73</v>
      </c>
      <c r="F65" s="60">
        <v>888888</v>
      </c>
      <c r="G65" s="60"/>
      <c r="H65" s="60"/>
      <c r="I65" s="60"/>
      <c r="J65" s="85"/>
      <c r="K65" s="60"/>
      <c r="L65" s="60"/>
      <c r="M65" s="59"/>
    </row>
    <row r="66" spans="1:32" s="111" customFormat="1" ht="6.75" x14ac:dyDescent="0.15">
      <c r="A66" s="92" t="s">
        <v>68</v>
      </c>
      <c r="B66" s="92" t="s">
        <v>69</v>
      </c>
      <c r="C66" s="92" t="s">
        <v>70</v>
      </c>
      <c r="D66" s="92" t="s">
        <v>444</v>
      </c>
      <c r="E66" s="100" t="s">
        <v>493</v>
      </c>
      <c r="F66" s="111" t="s">
        <v>638</v>
      </c>
      <c r="G66" s="111" t="s">
        <v>639</v>
      </c>
      <c r="H66" s="111" t="s">
        <v>640</v>
      </c>
      <c r="I66" s="111" t="s">
        <v>576</v>
      </c>
      <c r="J66" s="107" t="s">
        <v>491</v>
      </c>
    </row>
    <row r="67" spans="1:32" s="57" customFormat="1" ht="11.25" customHeight="1" x14ac:dyDescent="0.2">
      <c r="A67" s="118" t="s">
        <v>71</v>
      </c>
      <c r="B67" s="118" t="s">
        <v>637</v>
      </c>
      <c r="C67" s="119"/>
      <c r="D67" s="117">
        <v>1</v>
      </c>
      <c r="E67" s="94" t="s">
        <v>73</v>
      </c>
      <c r="F67" s="60" t="str">
        <f ca="1">("G00G"&amp;RIGHT(F11,6))</f>
        <v>G00G0</v>
      </c>
      <c r="G67" s="60" t="s">
        <v>763</v>
      </c>
      <c r="H67" s="60" t="s">
        <v>813</v>
      </c>
      <c r="I67" s="60" t="s">
        <v>324</v>
      </c>
      <c r="J67" s="85"/>
    </row>
    <row r="68" spans="1:32" s="111" customFormat="1" ht="6.75" x14ac:dyDescent="0.15">
      <c r="A68" s="92" t="s">
        <v>68</v>
      </c>
      <c r="B68" s="92" t="s">
        <v>69</v>
      </c>
      <c r="C68" s="92" t="s">
        <v>70</v>
      </c>
      <c r="D68" s="92" t="s">
        <v>444</v>
      </c>
      <c r="E68" s="100" t="s">
        <v>493</v>
      </c>
      <c r="F68" s="111" t="s">
        <v>644</v>
      </c>
      <c r="G68" s="111" t="s">
        <v>645</v>
      </c>
      <c r="H68" s="111" t="s">
        <v>646</v>
      </c>
      <c r="I68" s="107" t="s">
        <v>491</v>
      </c>
    </row>
    <row r="69" spans="1:32" s="57" customFormat="1" ht="11.25" customHeight="1" x14ac:dyDescent="0.2">
      <c r="A69" s="118" t="s">
        <v>71</v>
      </c>
      <c r="B69" s="118" t="s">
        <v>641</v>
      </c>
      <c r="C69" s="119"/>
      <c r="D69" s="82">
        <v>1</v>
      </c>
      <c r="E69" s="94" t="s">
        <v>73</v>
      </c>
      <c r="F69" s="57" t="s">
        <v>705</v>
      </c>
      <c r="I69" s="85"/>
    </row>
    <row r="70" spans="1:32" s="111" customFormat="1" ht="6.75" x14ac:dyDescent="0.15">
      <c r="A70" s="92" t="s">
        <v>68</v>
      </c>
      <c r="B70" s="92" t="s">
        <v>69</v>
      </c>
      <c r="C70" s="92" t="s">
        <v>70</v>
      </c>
      <c r="D70" s="92" t="s">
        <v>444</v>
      </c>
      <c r="E70" s="100" t="s">
        <v>493</v>
      </c>
      <c r="F70" s="111" t="s">
        <v>649</v>
      </c>
      <c r="G70" s="111" t="s">
        <v>650</v>
      </c>
      <c r="H70" s="111" t="s">
        <v>651</v>
      </c>
      <c r="I70" s="107" t="s">
        <v>491</v>
      </c>
    </row>
    <row r="71" spans="1:32" s="57" customFormat="1" ht="11.25" customHeight="1" x14ac:dyDescent="0.2">
      <c r="A71" s="118" t="s">
        <v>71</v>
      </c>
      <c r="B71" s="118" t="s">
        <v>648</v>
      </c>
      <c r="C71" s="119" t="s">
        <v>325</v>
      </c>
      <c r="D71" s="82">
        <v>1</v>
      </c>
      <c r="E71" s="94" t="s">
        <v>73</v>
      </c>
      <c r="F71" s="57" t="s">
        <v>73</v>
      </c>
      <c r="G71" s="57" t="s">
        <v>653</v>
      </c>
      <c r="H71" s="57" t="s">
        <v>65</v>
      </c>
      <c r="I71" s="85"/>
    </row>
    <row r="72" spans="1:32" s="111" customFormat="1" ht="6.75" x14ac:dyDescent="0.15">
      <c r="A72" s="92" t="s">
        <v>68</v>
      </c>
      <c r="B72" s="92" t="s">
        <v>69</v>
      </c>
      <c r="C72" s="92" t="s">
        <v>70</v>
      </c>
      <c r="D72" s="92" t="s">
        <v>444</v>
      </c>
      <c r="E72" s="100" t="s">
        <v>493</v>
      </c>
      <c r="F72" s="111" t="s">
        <v>249</v>
      </c>
      <c r="G72" s="111" t="s">
        <v>250</v>
      </c>
      <c r="H72" s="111" t="s">
        <v>251</v>
      </c>
      <c r="I72" s="111" t="s">
        <v>252</v>
      </c>
      <c r="J72" s="111" t="s">
        <v>654</v>
      </c>
      <c r="K72" s="111" t="s">
        <v>655</v>
      </c>
      <c r="L72" s="111" t="s">
        <v>656</v>
      </c>
      <c r="M72" s="111" t="s">
        <v>553</v>
      </c>
      <c r="N72" s="111" t="s">
        <v>657</v>
      </c>
      <c r="O72" s="111" t="s">
        <v>658</v>
      </c>
      <c r="P72" s="111" t="s">
        <v>659</v>
      </c>
      <c r="Q72" s="111" t="s">
        <v>661</v>
      </c>
      <c r="R72" s="111" t="s">
        <v>662</v>
      </c>
      <c r="S72" s="111" t="s">
        <v>663</v>
      </c>
      <c r="T72" s="111" t="s">
        <v>664</v>
      </c>
      <c r="U72" s="111" t="s">
        <v>223</v>
      </c>
      <c r="V72" s="111" t="s">
        <v>640</v>
      </c>
      <c r="W72" s="111" t="s">
        <v>665</v>
      </c>
      <c r="X72" s="111" t="s">
        <v>666</v>
      </c>
      <c r="Y72" s="111" t="s">
        <v>667</v>
      </c>
      <c r="Z72" s="111" t="s">
        <v>668</v>
      </c>
      <c r="AA72" s="111" t="s">
        <v>669</v>
      </c>
      <c r="AB72" s="111" t="s">
        <v>670</v>
      </c>
      <c r="AC72" s="111" t="s">
        <v>671</v>
      </c>
      <c r="AD72" s="111" t="s">
        <v>672</v>
      </c>
      <c r="AE72" s="111" t="s">
        <v>660</v>
      </c>
      <c r="AF72" s="112" t="s">
        <v>491</v>
      </c>
    </row>
    <row r="73" spans="1:32" s="57" customFormat="1" ht="11.25" x14ac:dyDescent="0.2">
      <c r="A73" s="118" t="s">
        <v>71</v>
      </c>
      <c r="B73" s="118" t="s">
        <v>652</v>
      </c>
      <c r="C73" s="119" t="s">
        <v>77</v>
      </c>
      <c r="D73" s="117">
        <v>1</v>
      </c>
      <c r="E73" s="94" t="s">
        <v>73</v>
      </c>
      <c r="F73" s="60" t="s">
        <v>75</v>
      </c>
      <c r="G73" s="60"/>
      <c r="H73" s="60"/>
      <c r="I73" s="60" t="s">
        <v>253</v>
      </c>
      <c r="J73" s="59" t="s">
        <v>75</v>
      </c>
      <c r="K73" s="59"/>
      <c r="L73" s="59"/>
      <c r="M73" s="59"/>
      <c r="N73" s="59"/>
      <c r="O73" s="59"/>
      <c r="P73" s="60" t="s">
        <v>75</v>
      </c>
      <c r="Q73" s="60"/>
      <c r="R73" s="60"/>
      <c r="S73" s="60" t="s">
        <v>73</v>
      </c>
      <c r="T73" s="60"/>
      <c r="U73" s="60"/>
      <c r="V73" s="60"/>
      <c r="W73" s="60" t="s">
        <v>73</v>
      </c>
      <c r="X73" s="60" t="s">
        <v>259</v>
      </c>
      <c r="Y73" s="60"/>
      <c r="Z73" s="60"/>
      <c r="AA73" s="60"/>
      <c r="AB73" s="60"/>
      <c r="AC73" s="60"/>
      <c r="AD73" s="60"/>
      <c r="AE73" s="60"/>
      <c r="AF73" s="55"/>
    </row>
    <row r="74" spans="1:32" s="111" customFormat="1" ht="6.75" x14ac:dyDescent="0.15">
      <c r="A74" s="92" t="s">
        <v>68</v>
      </c>
      <c r="B74" s="92" t="s">
        <v>69</v>
      </c>
      <c r="C74" s="92" t="s">
        <v>70</v>
      </c>
      <c r="D74" s="92" t="s">
        <v>444</v>
      </c>
      <c r="E74" s="100" t="s">
        <v>493</v>
      </c>
      <c r="F74" s="111" t="s">
        <v>683</v>
      </c>
      <c r="G74" s="111" t="s">
        <v>684</v>
      </c>
      <c r="H74" s="111" t="s">
        <v>685</v>
      </c>
      <c r="I74" s="111" t="s">
        <v>1</v>
      </c>
      <c r="J74" s="111" t="s">
        <v>2</v>
      </c>
      <c r="K74" s="111" t="s">
        <v>3</v>
      </c>
      <c r="L74" s="111" t="s">
        <v>688</v>
      </c>
      <c r="M74" s="111" t="s">
        <v>687</v>
      </c>
      <c r="N74" s="111" t="s">
        <v>686</v>
      </c>
      <c r="O74" s="111" t="s">
        <v>676</v>
      </c>
      <c r="P74" s="111" t="s">
        <v>689</v>
      </c>
      <c r="Q74" s="111" t="s">
        <v>691</v>
      </c>
      <c r="R74" s="111" t="s">
        <v>692</v>
      </c>
      <c r="S74" s="111" t="s">
        <v>693</v>
      </c>
      <c r="T74" s="111" t="s">
        <v>694</v>
      </c>
      <c r="U74" s="111" t="s">
        <v>695</v>
      </c>
      <c r="V74" s="111" t="s">
        <v>696</v>
      </c>
      <c r="W74" s="111" t="s">
        <v>682</v>
      </c>
      <c r="X74" s="111" t="s">
        <v>677</v>
      </c>
      <c r="Y74" s="107" t="s">
        <v>491</v>
      </c>
    </row>
    <row r="75" spans="1:32" s="57" customFormat="1" ht="11.25" customHeight="1" x14ac:dyDescent="0.2">
      <c r="A75" s="118" t="s">
        <v>71</v>
      </c>
      <c r="B75" s="118" t="s">
        <v>675</v>
      </c>
      <c r="C75" s="119"/>
      <c r="D75" s="82">
        <v>1</v>
      </c>
      <c r="E75" s="94" t="s">
        <v>73</v>
      </c>
      <c r="F75" s="57" t="s">
        <v>73</v>
      </c>
      <c r="G75" s="57" t="s">
        <v>75</v>
      </c>
      <c r="O75" s="57" t="s">
        <v>73</v>
      </c>
      <c r="P75" s="57" t="s">
        <v>690</v>
      </c>
      <c r="Q75" s="57" t="s">
        <v>73</v>
      </c>
      <c r="R75" s="57" t="s">
        <v>73</v>
      </c>
      <c r="S75" s="57" t="s">
        <v>254</v>
      </c>
      <c r="T75" s="57" t="s">
        <v>108</v>
      </c>
      <c r="U75" s="57" t="s">
        <v>764</v>
      </c>
      <c r="V75" s="57" t="s">
        <v>73</v>
      </c>
      <c r="W75" s="57" t="s">
        <v>73</v>
      </c>
      <c r="X75" s="57" t="s">
        <v>73</v>
      </c>
      <c r="Y75" s="85"/>
    </row>
    <row r="76" spans="1:32" s="145" customFormat="1" ht="6.75" x14ac:dyDescent="0.15">
      <c r="A76" s="145" t="s">
        <v>68</v>
      </c>
      <c r="B76" s="145" t="s">
        <v>455</v>
      </c>
      <c r="C76" s="145" t="s">
        <v>443</v>
      </c>
      <c r="D76" s="145" t="s">
        <v>444</v>
      </c>
      <c r="E76" s="145" t="s">
        <v>493</v>
      </c>
      <c r="F76" s="145" t="s">
        <v>797</v>
      </c>
      <c r="G76" s="145" t="s">
        <v>800</v>
      </c>
      <c r="H76" s="145" t="s">
        <v>798</v>
      </c>
      <c r="I76" s="145" t="s">
        <v>815</v>
      </c>
      <c r="J76" s="145" t="s">
        <v>814</v>
      </c>
      <c r="K76" s="148" t="s">
        <v>491</v>
      </c>
    </row>
    <row r="77" spans="1:32" s="78" customFormat="1" ht="11.25" x14ac:dyDescent="0.2">
      <c r="A77" s="68" t="s">
        <v>71</v>
      </c>
      <c r="B77" s="68" t="s">
        <v>799</v>
      </c>
      <c r="C77" s="69"/>
      <c r="D77" s="70">
        <v>1</v>
      </c>
      <c r="E77" s="94" t="s">
        <v>73</v>
      </c>
      <c r="F77" s="78" t="s">
        <v>73</v>
      </c>
      <c r="H77" s="78" t="s">
        <v>73</v>
      </c>
      <c r="I77" s="78" t="s">
        <v>73</v>
      </c>
      <c r="J77" s="78" t="s">
        <v>73</v>
      </c>
      <c r="K77" s="85"/>
    </row>
    <row r="78" spans="1:32" s="145" customFormat="1" ht="6.75" x14ac:dyDescent="0.15">
      <c r="A78" s="145" t="s">
        <v>68</v>
      </c>
      <c r="B78" s="145" t="s">
        <v>455</v>
      </c>
      <c r="C78" s="145" t="s">
        <v>443</v>
      </c>
      <c r="D78" s="145" t="s">
        <v>444</v>
      </c>
      <c r="E78" s="145" t="s">
        <v>493</v>
      </c>
      <c r="F78" s="145" t="s">
        <v>801</v>
      </c>
      <c r="G78" s="148" t="s">
        <v>491</v>
      </c>
    </row>
    <row r="79" spans="1:32" s="78" customFormat="1" ht="11.25" x14ac:dyDescent="0.2">
      <c r="A79" s="68" t="s">
        <v>71</v>
      </c>
      <c r="B79" s="68" t="s">
        <v>804</v>
      </c>
      <c r="C79" s="69"/>
      <c r="D79" s="70">
        <v>1</v>
      </c>
      <c r="E79" s="94" t="s">
        <v>73</v>
      </c>
      <c r="F79" s="78" t="s">
        <v>758</v>
      </c>
      <c r="G79" s="85"/>
    </row>
    <row r="80" spans="1:32" s="145" customFormat="1" ht="6.75" x14ac:dyDescent="0.15">
      <c r="A80" s="145" t="s">
        <v>68</v>
      </c>
      <c r="B80" s="145" t="s">
        <v>455</v>
      </c>
      <c r="C80" s="145" t="s">
        <v>443</v>
      </c>
      <c r="D80" s="145" t="s">
        <v>444</v>
      </c>
      <c r="E80" s="145" t="s">
        <v>493</v>
      </c>
      <c r="F80" s="145" t="s">
        <v>802</v>
      </c>
      <c r="G80" s="145" t="s">
        <v>803</v>
      </c>
      <c r="H80" s="148" t="s">
        <v>491</v>
      </c>
    </row>
    <row r="81" spans="1:45" s="57" customFormat="1" ht="11.25" x14ac:dyDescent="0.2">
      <c r="A81" s="68" t="s">
        <v>71</v>
      </c>
      <c r="B81" s="68" t="s">
        <v>805</v>
      </c>
      <c r="C81" s="69"/>
      <c r="D81" s="70">
        <v>1</v>
      </c>
      <c r="E81" s="94" t="s">
        <v>73</v>
      </c>
      <c r="F81" s="78" t="s">
        <v>73</v>
      </c>
      <c r="G81" s="78" t="s">
        <v>73</v>
      </c>
      <c r="H81" s="85"/>
      <c r="I81" s="78"/>
      <c r="J81" s="78"/>
      <c r="K81" s="78"/>
      <c r="L81" s="78"/>
      <c r="M81" s="78"/>
      <c r="N81" s="78"/>
      <c r="O81" s="78"/>
      <c r="P81" s="78"/>
      <c r="Q81" s="78"/>
      <c r="R81" s="78"/>
      <c r="S81" s="78"/>
      <c r="T81" s="78"/>
      <c r="U81" s="78"/>
      <c r="V81" s="78"/>
      <c r="W81" s="78"/>
      <c r="X81" s="78"/>
      <c r="Y81" s="78"/>
      <c r="Z81" s="78"/>
      <c r="AA81" s="78"/>
      <c r="AB81" s="78"/>
      <c r="AC81" s="78"/>
      <c r="AD81" s="78"/>
      <c r="AE81" s="78"/>
      <c r="AF81" s="78"/>
      <c r="AG81" s="78"/>
      <c r="AH81" s="78"/>
      <c r="AI81" s="78"/>
      <c r="AJ81" s="78"/>
      <c r="AK81" s="78"/>
      <c r="AL81" s="78"/>
      <c r="AM81" s="78"/>
      <c r="AN81" s="78"/>
      <c r="AO81" s="78"/>
      <c r="AP81" s="78"/>
      <c r="AQ81" s="78"/>
      <c r="AR81" s="78"/>
      <c r="AS81" s="78"/>
    </row>
    <row r="82" spans="1:45" s="111" customFormat="1" ht="7.5" customHeight="1" x14ac:dyDescent="0.15">
      <c r="A82" s="92" t="s">
        <v>68</v>
      </c>
      <c r="B82" s="92" t="s">
        <v>69</v>
      </c>
      <c r="C82" s="92" t="s">
        <v>70</v>
      </c>
      <c r="D82" s="92" t="s">
        <v>444</v>
      </c>
      <c r="E82" s="100" t="s">
        <v>493</v>
      </c>
      <c r="F82" s="111" t="s">
        <v>697</v>
      </c>
      <c r="G82" s="111" t="s">
        <v>698</v>
      </c>
      <c r="H82" s="111" t="s">
        <v>699</v>
      </c>
      <c r="I82" s="111" t="s">
        <v>700</v>
      </c>
      <c r="J82" s="111" t="s">
        <v>701</v>
      </c>
      <c r="K82" s="206" t="s">
        <v>838</v>
      </c>
      <c r="L82" s="145" t="s">
        <v>839</v>
      </c>
      <c r="M82" s="111" t="s">
        <v>471</v>
      </c>
      <c r="N82" s="102" t="s">
        <v>475</v>
      </c>
      <c r="O82" s="107" t="s">
        <v>491</v>
      </c>
    </row>
    <row r="83" spans="1:45" s="57" customFormat="1" ht="11.25" customHeight="1" x14ac:dyDescent="0.2">
      <c r="A83" s="118" t="s">
        <v>71</v>
      </c>
      <c r="B83" s="118" t="s">
        <v>144</v>
      </c>
      <c r="C83" s="118"/>
      <c r="D83" s="82">
        <v>1</v>
      </c>
      <c r="E83" s="94" t="s">
        <v>73</v>
      </c>
      <c r="F83" s="60" t="s">
        <v>759</v>
      </c>
      <c r="G83" s="60" t="s">
        <v>765</v>
      </c>
      <c r="H83" s="60" t="s">
        <v>73</v>
      </c>
      <c r="I83" s="60" t="s">
        <v>73</v>
      </c>
      <c r="J83" s="60" t="s">
        <v>73</v>
      </c>
      <c r="K83" s="207"/>
      <c r="L83" s="60" t="s">
        <v>73</v>
      </c>
      <c r="M83" s="60" t="s">
        <v>702</v>
      </c>
      <c r="N83" s="48">
        <f ca="1">(INDIRECT("'Data'!CD"&amp;($C$1)))</f>
        <v>0</v>
      </c>
      <c r="O83" s="85"/>
      <c r="P83" s="60"/>
      <c r="Q83" s="60"/>
      <c r="R83" s="60"/>
      <c r="S83" s="60"/>
      <c r="T83" s="60"/>
    </row>
    <row r="84" spans="1:45" s="145" customFormat="1" ht="6" customHeight="1" x14ac:dyDescent="0.15">
      <c r="A84" s="145" t="s">
        <v>68</v>
      </c>
      <c r="B84" s="145" t="s">
        <v>455</v>
      </c>
      <c r="C84" s="145" t="s">
        <v>443</v>
      </c>
      <c r="D84" s="145" t="s">
        <v>444</v>
      </c>
      <c r="E84" s="145" t="s">
        <v>493</v>
      </c>
      <c r="F84" s="145" t="s">
        <v>807</v>
      </c>
      <c r="G84" s="145" t="s">
        <v>808</v>
      </c>
      <c r="H84" s="148" t="s">
        <v>471</v>
      </c>
      <c r="I84" s="148" t="s">
        <v>491</v>
      </c>
    </row>
    <row r="85" spans="1:45" s="57" customFormat="1" ht="11.25" customHeight="1" x14ac:dyDescent="0.2">
      <c r="A85" s="68" t="s">
        <v>71</v>
      </c>
      <c r="B85" s="68" t="s">
        <v>806</v>
      </c>
      <c r="C85" s="69"/>
      <c r="D85" s="70">
        <v>1</v>
      </c>
      <c r="E85" s="94" t="s">
        <v>73</v>
      </c>
      <c r="F85" s="78" t="s">
        <v>73</v>
      </c>
      <c r="G85" s="78" t="s">
        <v>73</v>
      </c>
      <c r="H85" s="85" t="s">
        <v>809</v>
      </c>
      <c r="I85" s="78"/>
      <c r="J85" s="78"/>
      <c r="K85" s="78"/>
      <c r="L85" s="78"/>
      <c r="M85" s="78"/>
      <c r="N85" s="78"/>
      <c r="O85" s="78"/>
      <c r="P85" s="78"/>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row>
    <row r="86" spans="1:45" s="101" customFormat="1" ht="6.75" x14ac:dyDescent="0.15">
      <c r="A86" s="101" t="s">
        <v>68</v>
      </c>
      <c r="B86" s="101" t="s">
        <v>69</v>
      </c>
      <c r="C86" s="101" t="s">
        <v>70</v>
      </c>
      <c r="D86" s="101" t="s">
        <v>444</v>
      </c>
      <c r="E86" s="101" t="s">
        <v>493</v>
      </c>
      <c r="F86" s="101" t="s">
        <v>475</v>
      </c>
      <c r="G86" s="101" t="s">
        <v>84</v>
      </c>
      <c r="H86" s="101" t="s">
        <v>82</v>
      </c>
      <c r="I86" s="101" t="s">
        <v>145</v>
      </c>
      <c r="J86" s="101" t="s">
        <v>146</v>
      </c>
      <c r="K86" s="101" t="s">
        <v>147</v>
      </c>
      <c r="L86" s="101" t="s">
        <v>148</v>
      </c>
      <c r="M86" s="101" t="s">
        <v>326</v>
      </c>
      <c r="N86" s="101" t="s">
        <v>149</v>
      </c>
      <c r="O86" s="101" t="s">
        <v>150</v>
      </c>
      <c r="P86" s="101" t="s">
        <v>151</v>
      </c>
      <c r="Q86" s="101" t="s">
        <v>152</v>
      </c>
      <c r="R86" s="101" t="s">
        <v>330</v>
      </c>
      <c r="S86" s="101" t="s">
        <v>153</v>
      </c>
      <c r="T86" s="145" t="s">
        <v>840</v>
      </c>
      <c r="U86" s="145" t="s">
        <v>841</v>
      </c>
      <c r="V86" s="142" t="s">
        <v>491</v>
      </c>
    </row>
    <row r="87" spans="1:45" s="57" customFormat="1" ht="11.25" customHeight="1" x14ac:dyDescent="0.2">
      <c r="A87" s="78" t="s">
        <v>71</v>
      </c>
      <c r="B87" s="78" t="s">
        <v>156</v>
      </c>
      <c r="C87" s="78"/>
      <c r="D87" s="81">
        <v>1</v>
      </c>
      <c r="E87" s="94" t="s">
        <v>73</v>
      </c>
      <c r="F87" s="48">
        <f ca="1">(INDIRECT("'Data'!CD"&amp;($C$1)))</f>
        <v>0</v>
      </c>
      <c r="G87" s="130" t="str">
        <f ca="1">(INDIRECT("'Data'!F"&amp;($C$1)))</f>
        <v>EXCHANGE GAS METER TO SECURE SMART CREDIT</v>
      </c>
      <c r="H87" s="130" t="str">
        <f ca="1">(INDIRECT("'Data'!AW"&amp;($C$1)))</f>
        <v>EXCH1 ROAD</v>
      </c>
      <c r="I87" s="49" t="str">
        <f ca="1">(INDIRECT("'Data'!X"&amp;($C$1)))</f>
        <v>FRST</v>
      </c>
      <c r="J87" s="49">
        <f ca="1">(INDIRECT("'Data'!BG"&amp;($C$1)))</f>
        <v>0</v>
      </c>
      <c r="K87" s="49">
        <f ca="1">(INDIRECT("'Data'!BL"&amp;($C$1)))</f>
        <v>0</v>
      </c>
      <c r="L87" s="49">
        <f ca="1">(INDIRECT("'Data'!BZ"&amp;($C$1)))</f>
        <v>0</v>
      </c>
      <c r="M87" s="58" t="str">
        <f>F39</f>
        <v>Z89K12398</v>
      </c>
      <c r="N87" s="60" t="str">
        <f>M47</f>
        <v>Test Witness name</v>
      </c>
      <c r="O87" s="49" t="str">
        <f ca="1">(INDIRECT("'Data'!CN"&amp;($C$1)))</f>
        <v>EXCHANGE GAS METER TO SECURE SMART CREDIT</v>
      </c>
      <c r="P87" s="49" t="str">
        <f ca="1">(INDIRECT("'Data'!CQ"&amp;($C$1)))</f>
        <v>100003520</v>
      </c>
      <c r="Q87" s="137" t="str">
        <f>J61</f>
        <v>54321</v>
      </c>
      <c r="R87" s="60" t="str">
        <f ca="1">F67</f>
        <v>G00G0</v>
      </c>
      <c r="S87" s="59" t="str">
        <f>F69</f>
        <v>00005</v>
      </c>
      <c r="T87" s="60" t="s">
        <v>73</v>
      </c>
      <c r="U87" s="59" t="s">
        <v>73</v>
      </c>
      <c r="V87" s="85"/>
    </row>
    <row r="88" spans="1:45" s="101" customFormat="1" ht="6.75" x14ac:dyDescent="0.15">
      <c r="A88" s="101" t="s">
        <v>68</v>
      </c>
      <c r="B88" s="101" t="s">
        <v>69</v>
      </c>
      <c r="C88" s="101" t="s">
        <v>70</v>
      </c>
      <c r="D88" s="101" t="s">
        <v>444</v>
      </c>
      <c r="E88" s="101" t="s">
        <v>493</v>
      </c>
      <c r="F88" s="101" t="s">
        <v>707</v>
      </c>
      <c r="G88" s="101" t="s">
        <v>708</v>
      </c>
      <c r="H88" s="101" t="s">
        <v>709</v>
      </c>
      <c r="I88" s="101" t="s">
        <v>710</v>
      </c>
      <c r="J88" s="101" t="s">
        <v>711</v>
      </c>
      <c r="K88" s="101" t="s">
        <v>712</v>
      </c>
      <c r="L88" s="101" t="s">
        <v>713</v>
      </c>
      <c r="M88" s="101" t="s">
        <v>475</v>
      </c>
      <c r="N88" s="142" t="s">
        <v>491</v>
      </c>
    </row>
    <row r="89" spans="1:45" s="57" customFormat="1" ht="11.25" customHeight="1" x14ac:dyDescent="0.2">
      <c r="A89" s="57" t="s">
        <v>71</v>
      </c>
      <c r="B89" s="57" t="s">
        <v>706</v>
      </c>
      <c r="D89" s="55">
        <v>1</v>
      </c>
      <c r="E89" s="94" t="s">
        <v>73</v>
      </c>
      <c r="F89" s="60" t="s">
        <v>73</v>
      </c>
      <c r="G89" s="60" t="s">
        <v>75</v>
      </c>
      <c r="H89" s="60" t="s">
        <v>714</v>
      </c>
      <c r="I89" s="60" t="s">
        <v>155</v>
      </c>
      <c r="J89" s="60" t="s">
        <v>75</v>
      </c>
      <c r="K89" s="60" t="s">
        <v>643</v>
      </c>
      <c r="L89" s="60" t="s">
        <v>75</v>
      </c>
      <c r="M89" s="48">
        <f ca="1">(INDIRECT("'Data'!CD"&amp;($C$1)))</f>
        <v>0</v>
      </c>
      <c r="N89" s="85"/>
      <c r="O89" s="60"/>
      <c r="P89" s="60"/>
      <c r="Q89" s="60"/>
      <c r="R89" s="60"/>
      <c r="S89" s="60"/>
    </row>
    <row r="90" spans="1:45" s="101" customFormat="1" ht="6.75" x14ac:dyDescent="0.15">
      <c r="A90" s="101" t="s">
        <v>68</v>
      </c>
      <c r="B90" s="101" t="s">
        <v>69</v>
      </c>
      <c r="C90" s="101" t="s">
        <v>70</v>
      </c>
      <c r="D90" s="101" t="s">
        <v>444</v>
      </c>
      <c r="E90" s="101" t="s">
        <v>493</v>
      </c>
      <c r="F90" s="101" t="s">
        <v>85</v>
      </c>
      <c r="G90" s="142" t="s">
        <v>491</v>
      </c>
    </row>
    <row r="91" spans="1:45" s="57" customFormat="1" ht="11.25" customHeight="1" x14ac:dyDescent="0.2">
      <c r="A91" s="57" t="s">
        <v>71</v>
      </c>
      <c r="B91" s="57" t="s">
        <v>76</v>
      </c>
      <c r="D91" s="81">
        <v>1</v>
      </c>
      <c r="E91" s="94" t="s">
        <v>73</v>
      </c>
      <c r="F91" s="60" t="s">
        <v>86</v>
      </c>
      <c r="G91" s="85"/>
      <c r="J91" s="131"/>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xr:uid="{00000000-0002-0000-0600-000000000000}"/>
    <dataValidation allowBlank="1" showInputMessage="1" showErrorMessage="1" prompt="(L)ow or (M)edium" sqref="F50" xr:uid="{00000000-0002-0000-0600-00000100000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xr:uid="{00000000-0002-0000-0600-000002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600-000003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600-000004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600-000005000000}"/>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9" tint="-0.499984740745262"/>
  </sheetPr>
  <dimension ref="A1:BG95"/>
  <sheetViews>
    <sheetView zoomScale="130" zoomScaleNormal="130" workbookViewId="0">
      <selection activeCell="K88" sqref="K88"/>
    </sheetView>
  </sheetViews>
  <sheetFormatPr defaultRowHeight="12.75" x14ac:dyDescent="0.2"/>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2" customFormat="1" ht="6.75" x14ac:dyDescent="0.15">
      <c r="A1" s="102" t="s">
        <v>494</v>
      </c>
      <c r="B1" s="102" t="s">
        <v>95</v>
      </c>
      <c r="C1" s="102" t="s">
        <v>413</v>
      </c>
      <c r="D1" s="102" t="s">
        <v>49</v>
      </c>
      <c r="E1" s="100"/>
      <c r="G1" s="141"/>
      <c r="I1" s="104"/>
    </row>
    <row r="2" spans="1:27" s="102" customFormat="1" ht="6.75" x14ac:dyDescent="0.15">
      <c r="A2" s="102" t="s">
        <v>68</v>
      </c>
      <c r="B2" s="102" t="s">
        <v>455</v>
      </c>
      <c r="C2" s="102" t="s">
        <v>443</v>
      </c>
      <c r="D2" s="102" t="s">
        <v>444</v>
      </c>
      <c r="E2" s="100" t="s">
        <v>493</v>
      </c>
      <c r="F2" s="102" t="s">
        <v>445</v>
      </c>
      <c r="G2" s="102" t="s">
        <v>115</v>
      </c>
      <c r="H2" s="102" t="s">
        <v>436</v>
      </c>
      <c r="I2" s="102" t="s">
        <v>446</v>
      </c>
    </row>
    <row r="3" spans="1:27" s="44" customFormat="1" ht="11.25"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46"/>
      <c r="K3" s="46"/>
      <c r="L3" s="46"/>
      <c r="M3" s="46"/>
      <c r="N3" s="46"/>
      <c r="O3" s="46"/>
      <c r="P3" s="46"/>
      <c r="Q3" s="46"/>
      <c r="R3" s="47"/>
      <c r="S3" s="46"/>
      <c r="T3" s="46"/>
      <c r="U3" s="46"/>
    </row>
    <row r="4" spans="1:27" s="101" customFormat="1" ht="6.75" x14ac:dyDescent="0.15">
      <c r="A4" s="101" t="s">
        <v>68</v>
      </c>
      <c r="B4" s="101" t="s">
        <v>455</v>
      </c>
      <c r="C4" s="101" t="s">
        <v>443</v>
      </c>
      <c r="D4" s="101" t="s">
        <v>444</v>
      </c>
      <c r="E4" s="101" t="s">
        <v>493</v>
      </c>
      <c r="F4" s="101" t="s">
        <v>454</v>
      </c>
      <c r="G4" s="101" t="s">
        <v>453</v>
      </c>
      <c r="H4" s="101" t="s">
        <v>447</v>
      </c>
      <c r="I4" s="101" t="s">
        <v>448</v>
      </c>
      <c r="J4" s="101" t="s">
        <v>450</v>
      </c>
      <c r="K4" s="101" t="s">
        <v>451</v>
      </c>
      <c r="L4" s="101" t="s">
        <v>452</v>
      </c>
      <c r="M4" s="101" t="s">
        <v>442</v>
      </c>
      <c r="N4" s="101" t="s">
        <v>37</v>
      </c>
      <c r="O4" s="101" t="s">
        <v>441</v>
      </c>
      <c r="P4" s="142" t="s">
        <v>491</v>
      </c>
    </row>
    <row r="5" spans="1:27" s="44" customFormat="1" ht="11.25" customHeight="1" x14ac:dyDescent="0.2">
      <c r="A5" s="64" t="s">
        <v>71</v>
      </c>
      <c r="B5" s="64" t="s">
        <v>495</v>
      </c>
      <c r="C5" s="64"/>
      <c r="D5" s="65">
        <v>1</v>
      </c>
      <c r="E5" s="93" t="s">
        <v>73</v>
      </c>
      <c r="F5" s="49" t="str">
        <f ca="1">(INDIRECT("'Data'!C"&amp;($C$1)))</f>
        <v>Automation</v>
      </c>
      <c r="G5" s="48"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3521</v>
      </c>
      <c r="N5" s="48" t="str">
        <f ca="1">(INDIRECT("'Data'!AW"&amp;($C$1)))</f>
        <v>EXCH1 ROAD</v>
      </c>
      <c r="O5" s="49" t="str">
        <f ca="1">CONCATENATE(RIGHT((INDIRECT("'Data'!X"&amp;($C$1))),5),"-",RIGHT(S7&amp;(INDIRECT("'Data'!Y"&amp;($C$1))),5))</f>
        <v>SPRK--3521</v>
      </c>
      <c r="P5" s="85"/>
      <c r="Q5" s="46"/>
      <c r="R5" s="46"/>
      <c r="S5" s="46"/>
    </row>
    <row r="6" spans="1:27" s="102" customFormat="1" ht="6.75" x14ac:dyDescent="0.15">
      <c r="A6" s="102" t="s">
        <v>68</v>
      </c>
      <c r="B6" s="102" t="s">
        <v>455</v>
      </c>
      <c r="C6" s="102" t="s">
        <v>443</v>
      </c>
      <c r="D6" s="102" t="s">
        <v>444</v>
      </c>
      <c r="E6" s="100" t="s">
        <v>493</v>
      </c>
      <c r="F6" s="102" t="s">
        <v>447</v>
      </c>
      <c r="G6" s="102" t="s">
        <v>450</v>
      </c>
      <c r="H6" s="102" t="s">
        <v>451</v>
      </c>
      <c r="I6" s="102" t="s">
        <v>452</v>
      </c>
      <c r="J6" s="102" t="s">
        <v>442</v>
      </c>
      <c r="K6" s="102" t="s">
        <v>37</v>
      </c>
      <c r="L6" s="102" t="s">
        <v>448</v>
      </c>
      <c r="M6" s="102" t="s">
        <v>449</v>
      </c>
      <c r="N6" s="102" t="s">
        <v>439</v>
      </c>
      <c r="O6" s="102" t="s">
        <v>440</v>
      </c>
      <c r="P6" s="102" t="s">
        <v>78</v>
      </c>
      <c r="Q6" s="102" t="s">
        <v>79</v>
      </c>
      <c r="R6" s="102" t="s">
        <v>87</v>
      </c>
      <c r="S6" s="102" t="s">
        <v>80</v>
      </c>
      <c r="T6" s="102" t="s">
        <v>110</v>
      </c>
      <c r="U6" s="102" t="s">
        <v>114</v>
      </c>
      <c r="V6" s="102" t="s">
        <v>90</v>
      </c>
      <c r="W6" s="102" t="s">
        <v>81</v>
      </c>
      <c r="X6" s="102" t="s">
        <v>88</v>
      </c>
      <c r="Y6" s="102" t="s">
        <v>276</v>
      </c>
      <c r="Z6" s="102" t="s">
        <v>457</v>
      </c>
      <c r="AA6" s="142" t="s">
        <v>491</v>
      </c>
    </row>
    <row r="7" spans="1:27" s="44" customFormat="1" ht="11.25" customHeigh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3521</v>
      </c>
      <c r="K7" s="48" t="str">
        <f ca="1">(INDIRECT("'Data'!AW"&amp;($C$1)))</f>
        <v>EXCH1 ROAD</v>
      </c>
      <c r="L7" s="48" t="str">
        <f ca="1">(INDIRECT("'Data'!E"&amp;($C$1)))</f>
        <v>S</v>
      </c>
      <c r="M7" s="48" t="str">
        <f ca="1">(INDIRECT("'Data'!AI"&amp;($C$1)))</f>
        <v>2019-04-26 08:00</v>
      </c>
      <c r="N7" s="49">
        <f ca="1">(INDIRECT("'Data'!BG"&amp;($C$1)))</f>
        <v>0</v>
      </c>
      <c r="O7" s="49" t="str">
        <f ca="1">(INDIRECT("'Data'!CN"&amp;($C$1)))</f>
        <v>EXCHANGE GAS METER TO SECURE SMART CREDIT</v>
      </c>
      <c r="P7" s="49" t="str">
        <f ca="1">(INDIRECT("'Data'!AH"&amp;($C$1)))</f>
        <v>Site_Contact_3521</v>
      </c>
      <c r="Q7" s="48" t="str">
        <f ca="1">(INDIRECT("'Data'!AE"&amp;($C$1)))</f>
        <v>LAST_METER-3521</v>
      </c>
      <c r="R7" s="48" t="str">
        <f ca="1">(INDIRECT("'Data'!DK"&amp;($C$1)))</f>
        <v>G</v>
      </c>
      <c r="S7" s="48">
        <f ca="1">(INDIRECT("'Data'!D"&amp;($C$1)))</f>
        <v>3521</v>
      </c>
      <c r="T7" s="48" t="str">
        <f ca="1">INDIRECT("'Data'!M"&amp;($C$1))</f>
        <v>Q</v>
      </c>
      <c r="U7" s="48" t="str">
        <f ca="1">INDIRECT("'Data'!AM"&amp;($C$1))</f>
        <v>01153521</v>
      </c>
      <c r="V7" s="48" t="str">
        <f ca="1">(INDIRECT("'Data'!N"&amp;($C$1)))</f>
        <v>UK_1_F</v>
      </c>
      <c r="W7" s="48">
        <f ca="1">(INDIRECT("'Data'!O"&amp;($C$1)))</f>
        <v>0</v>
      </c>
      <c r="X7" s="48" t="str">
        <f ca="1">(INDIRECT("'Data'!P"&amp;($C$1)))</f>
        <v>SN-3521</v>
      </c>
      <c r="Y7" s="48" t="str">
        <f ca="1">(INDIRECT("'Data'!C"&amp;($C$1)))</f>
        <v>Automation</v>
      </c>
      <c r="Z7" s="48" t="str">
        <f ca="1">(INDIRECT("'Data'!Q"&amp;($C$1)))</f>
        <v>SI-3521</v>
      </c>
      <c r="AA7" s="85"/>
    </row>
    <row r="8" spans="1:27" s="102" customFormat="1" ht="6.75" x14ac:dyDescent="0.15">
      <c r="A8" s="102" t="s">
        <v>68</v>
      </c>
      <c r="B8" s="102" t="s">
        <v>455</v>
      </c>
      <c r="C8" s="102" t="s">
        <v>443</v>
      </c>
      <c r="D8" s="102" t="s">
        <v>444</v>
      </c>
      <c r="E8" s="100" t="s">
        <v>493</v>
      </c>
      <c r="F8" s="102" t="s">
        <v>447</v>
      </c>
      <c r="G8" s="102" t="s">
        <v>37</v>
      </c>
      <c r="H8" s="102" t="s">
        <v>461</v>
      </c>
      <c r="I8" s="102" t="s">
        <v>260</v>
      </c>
      <c r="J8" s="102" t="s">
        <v>456</v>
      </c>
      <c r="K8" s="102" t="s">
        <v>458</v>
      </c>
      <c r="L8" s="102" t="s">
        <v>459</v>
      </c>
      <c r="M8" s="102" t="s">
        <v>261</v>
      </c>
      <c r="N8" s="102" t="s">
        <v>460</v>
      </c>
      <c r="O8" s="142" t="s">
        <v>491</v>
      </c>
    </row>
    <row r="9" spans="1:27" s="44" customFormat="1" ht="11.25" customHeight="1" x14ac:dyDescent="0.2">
      <c r="A9" s="64" t="s">
        <v>71</v>
      </c>
      <c r="B9" s="64" t="s">
        <v>497</v>
      </c>
      <c r="C9" s="64"/>
      <c r="D9" s="66">
        <v>1</v>
      </c>
      <c r="E9" s="93" t="s">
        <v>73</v>
      </c>
      <c r="F9" s="49" t="str">
        <f ca="1">(INDIRECT("'Data'!F"&amp;($C$1)))</f>
        <v>EXCHANGE GAS METER TO SECURE SMART CREDIT</v>
      </c>
      <c r="G9" s="48" t="str">
        <f ca="1">(INDIRECT("'Data'!AW"&amp;($C$1)))</f>
        <v>EXCH1 ROAD</v>
      </c>
      <c r="H9" s="49" t="str">
        <f ca="1">(INDIRECT("'Data'!CQ"&amp;($C$1)))</f>
        <v>100003521</v>
      </c>
      <c r="I9" s="49" t="str">
        <f ca="1">(INDIRECT("'Data'!CO"&amp;($C$1)))</f>
        <v>GAS_JOB_ID-3521</v>
      </c>
      <c r="J9" s="49" t="str">
        <f ca="1">(INDIRECT("'Data'!CR"&amp;($C$1)))</f>
        <v>C</v>
      </c>
      <c r="K9" s="49">
        <f ca="1">(INDIRECT("'Data'!BL"&amp;($C$1)))</f>
        <v>0</v>
      </c>
      <c r="L9" s="49">
        <f ca="1">(INDIRECT("'Data'!BJ"&amp;($C$1)))</f>
        <v>0</v>
      </c>
      <c r="M9" s="49">
        <f ca="1">(INDIRECT("'Data'!BX"&amp;($C$1)))</f>
        <v>0</v>
      </c>
      <c r="N9" s="49">
        <f ca="1">(INDIRECT("'Data'!BO"&amp;($C$1)))</f>
        <v>0</v>
      </c>
      <c r="O9" s="85"/>
    </row>
    <row r="10" spans="1:27" s="102" customFormat="1" ht="6.75" x14ac:dyDescent="0.15">
      <c r="A10" s="102" t="s">
        <v>68</v>
      </c>
      <c r="B10" s="102" t="s">
        <v>455</v>
      </c>
      <c r="C10" s="102" t="s">
        <v>443</v>
      </c>
      <c r="D10" s="102" t="s">
        <v>444</v>
      </c>
      <c r="E10" s="100" t="s">
        <v>493</v>
      </c>
      <c r="F10" s="102" t="s">
        <v>262</v>
      </c>
      <c r="G10" s="102" t="s">
        <v>263</v>
      </c>
      <c r="H10" s="102" t="s">
        <v>447</v>
      </c>
      <c r="I10" s="102" t="s">
        <v>37</v>
      </c>
      <c r="J10" s="102" t="s">
        <v>43</v>
      </c>
      <c r="K10" s="102" t="s">
        <v>462</v>
      </c>
      <c r="L10" s="102" t="s">
        <v>465</v>
      </c>
      <c r="M10" s="102" t="s">
        <v>460</v>
      </c>
      <c r="N10" s="102" t="s">
        <v>463</v>
      </c>
      <c r="O10" s="102" t="s">
        <v>466</v>
      </c>
      <c r="P10" s="102" t="s">
        <v>464</v>
      </c>
      <c r="Q10" s="142" t="s">
        <v>491</v>
      </c>
    </row>
    <row r="11" spans="1:27" s="44" customFormat="1" ht="11.25" customHeight="1" x14ac:dyDescent="0.2">
      <c r="A11" s="64" t="s">
        <v>71</v>
      </c>
      <c r="B11" s="64" t="s">
        <v>498</v>
      </c>
      <c r="C11" s="64"/>
      <c r="D11" s="65">
        <v>1</v>
      </c>
      <c r="E11" s="94"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Site_Contact_3521</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5"/>
    </row>
    <row r="12" spans="1:27" s="102" customFormat="1" ht="6.75" x14ac:dyDescent="0.15">
      <c r="A12" s="102" t="s">
        <v>68</v>
      </c>
      <c r="B12" s="102" t="s">
        <v>455</v>
      </c>
      <c r="C12" s="102" t="s">
        <v>443</v>
      </c>
      <c r="D12" s="102" t="s">
        <v>444</v>
      </c>
      <c r="E12" s="100" t="s">
        <v>493</v>
      </c>
      <c r="F12" s="145" t="s">
        <v>475</v>
      </c>
      <c r="G12" s="102" t="s">
        <v>439</v>
      </c>
      <c r="H12" s="102" t="s">
        <v>440</v>
      </c>
      <c r="I12" s="102" t="s">
        <v>43</v>
      </c>
      <c r="J12" s="102" t="s">
        <v>447</v>
      </c>
      <c r="K12" s="102" t="s">
        <v>450</v>
      </c>
      <c r="L12" s="102" t="s">
        <v>451</v>
      </c>
      <c r="M12" s="102" t="s">
        <v>452</v>
      </c>
      <c r="N12" s="102" t="s">
        <v>442</v>
      </c>
      <c r="O12" s="102" t="s">
        <v>37</v>
      </c>
      <c r="P12" s="102" t="s">
        <v>468</v>
      </c>
      <c r="Q12" s="103" t="s">
        <v>469</v>
      </c>
      <c r="R12" s="103" t="s">
        <v>471</v>
      </c>
      <c r="S12" s="102" t="s">
        <v>473</v>
      </c>
      <c r="T12" s="103" t="s">
        <v>470</v>
      </c>
      <c r="U12" s="102" t="s">
        <v>472</v>
      </c>
      <c r="V12" s="142" t="s">
        <v>491</v>
      </c>
    </row>
    <row r="13" spans="1:27" s="57" customFormat="1" ht="11.25" customHeight="1" x14ac:dyDescent="0.2">
      <c r="A13" s="64" t="s">
        <v>71</v>
      </c>
      <c r="B13" s="64" t="s">
        <v>467</v>
      </c>
      <c r="C13" s="64"/>
      <c r="D13" s="66">
        <v>1</v>
      </c>
      <c r="E13" s="94" t="s">
        <v>73</v>
      </c>
      <c r="F13" s="48">
        <f ca="1">(INDIRECT("'Data'!CD"&amp;($C$1)))</f>
        <v>0</v>
      </c>
      <c r="G13" s="49">
        <f ca="1">(INDIRECT("'Data'!BG"&amp;($C$1)))</f>
        <v>0</v>
      </c>
      <c r="H13" s="49" t="str">
        <f ca="1">(INDIRECT("'Data'!CN"&amp;($C$1)))</f>
        <v>EXCHANGE GAS METER TO SECURE SMART CREDIT</v>
      </c>
      <c r="I13" s="49" t="str">
        <f ca="1">(INDIRECT("'Data'!AH"&amp;($C$1)))</f>
        <v>Site_Contact_3521</v>
      </c>
      <c r="J13" s="49" t="str">
        <f ca="1">(INDIRECT("'Data'!F"&amp;($C$1)))</f>
        <v>EXCHANGE GAS METER TO SECURE SMART CREDIT</v>
      </c>
      <c r="K13" s="48">
        <f ca="1">(INDIRECT("'Data'!AS"&amp;($C$1)))</f>
        <v>0</v>
      </c>
      <c r="L13" s="48" t="str">
        <f ca="1">(INDIRECT("'Data'!AT"&amp;($C$1)))</f>
        <v>TPJR00530</v>
      </c>
      <c r="M13" s="48">
        <f ca="1">(INDIRECT("'Data'!AU"&amp;($C$1)))</f>
        <v>0</v>
      </c>
      <c r="N13" s="48">
        <f ca="1">(INDIRECT("'Data'!AV"&amp;($C$1)))</f>
        <v>3521</v>
      </c>
      <c r="O13" s="48" t="str">
        <f ca="1">(INDIRECT("'Data'!AW"&amp;($C$1)))</f>
        <v>EXCH1 ROAD</v>
      </c>
      <c r="P13" s="57" t="s">
        <v>73</v>
      </c>
      <c r="Q13" s="58" t="s">
        <v>73</v>
      </c>
      <c r="R13" s="58" t="s">
        <v>265</v>
      </c>
      <c r="S13" s="59" t="s">
        <v>73</v>
      </c>
      <c r="T13" s="58" t="s">
        <v>75</v>
      </c>
      <c r="U13" s="60" t="s">
        <v>100</v>
      </c>
      <c r="V13" s="85"/>
    </row>
    <row r="14" spans="1:27" s="102" customFormat="1" ht="6.75" x14ac:dyDescent="0.15">
      <c r="A14" s="102" t="s">
        <v>68</v>
      </c>
      <c r="B14" s="102" t="s">
        <v>455</v>
      </c>
      <c r="C14" s="102" t="s">
        <v>443</v>
      </c>
      <c r="D14" s="102" t="s">
        <v>444</v>
      </c>
      <c r="E14" s="100" t="s">
        <v>493</v>
      </c>
      <c r="F14" s="145" t="s">
        <v>475</v>
      </c>
      <c r="G14" s="102" t="s">
        <v>439</v>
      </c>
      <c r="H14" s="102" t="s">
        <v>440</v>
      </c>
      <c r="I14" s="102" t="s">
        <v>447</v>
      </c>
      <c r="J14" s="102" t="s">
        <v>37</v>
      </c>
      <c r="K14" s="102" t="s">
        <v>94</v>
      </c>
      <c r="L14" s="142" t="s">
        <v>491</v>
      </c>
      <c r="M14" s="103" t="s">
        <v>77</v>
      </c>
      <c r="N14" s="103" t="s">
        <v>77</v>
      </c>
      <c r="O14" s="104" t="s">
        <v>77</v>
      </c>
      <c r="P14" s="103"/>
      <c r="Q14" s="103"/>
      <c r="S14" s="103"/>
    </row>
    <row r="15" spans="1:27" s="44" customFormat="1" ht="11.25" customHeight="1" x14ac:dyDescent="0.2">
      <c r="A15" s="64" t="s">
        <v>71</v>
      </c>
      <c r="B15" s="64" t="s">
        <v>474</v>
      </c>
      <c r="C15" s="64"/>
      <c r="D15" s="66">
        <v>1</v>
      </c>
      <c r="E15" s="93"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5"/>
      <c r="M15" s="61"/>
      <c r="N15" s="61"/>
      <c r="O15" s="62"/>
      <c r="P15" s="61"/>
      <c r="Q15" s="61"/>
      <c r="R15" s="47"/>
      <c r="S15" s="61"/>
    </row>
    <row r="16" spans="1:27" s="102" customFormat="1" ht="6.75" x14ac:dyDescent="0.15">
      <c r="A16" s="92" t="s">
        <v>68</v>
      </c>
      <c r="B16" s="92" t="s">
        <v>455</v>
      </c>
      <c r="C16" s="92" t="s">
        <v>443</v>
      </c>
      <c r="D16" s="92" t="s">
        <v>444</v>
      </c>
      <c r="E16" s="100" t="s">
        <v>493</v>
      </c>
      <c r="F16" s="102" t="s">
        <v>477</v>
      </c>
      <c r="G16" s="102" t="s">
        <v>478</v>
      </c>
      <c r="H16" s="103" t="s">
        <v>480</v>
      </c>
      <c r="I16" s="102" t="s">
        <v>96</v>
      </c>
      <c r="J16" s="103" t="s">
        <v>481</v>
      </c>
      <c r="K16" s="103" t="s">
        <v>482</v>
      </c>
      <c r="L16" s="102" t="s">
        <v>475</v>
      </c>
      <c r="M16" s="102" t="s">
        <v>817</v>
      </c>
      <c r="N16" s="102" t="s">
        <v>479</v>
      </c>
      <c r="O16" s="102" t="s">
        <v>483</v>
      </c>
      <c r="P16" s="142" t="s">
        <v>491</v>
      </c>
    </row>
    <row r="17" spans="1:46"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c r="N17" s="72"/>
      <c r="O17" s="74"/>
      <c r="P17" s="85"/>
    </row>
    <row r="18" spans="1:46" s="107" customFormat="1" ht="6.75" x14ac:dyDescent="0.15">
      <c r="A18" s="105" t="s">
        <v>68</v>
      </c>
      <c r="B18" s="105" t="s">
        <v>455</v>
      </c>
      <c r="C18" s="92" t="s">
        <v>443</v>
      </c>
      <c r="D18" s="92" t="s">
        <v>444</v>
      </c>
      <c r="E18" s="106" t="s">
        <v>493</v>
      </c>
      <c r="F18" s="107" t="s">
        <v>501</v>
      </c>
      <c r="G18" s="107" t="s">
        <v>507</v>
      </c>
      <c r="H18" s="107" t="s">
        <v>506</v>
      </c>
      <c r="I18" s="107" t="s">
        <v>724</v>
      </c>
      <c r="J18" s="107" t="s">
        <v>508</v>
      </c>
      <c r="K18" s="107" t="s">
        <v>504</v>
      </c>
      <c r="L18" s="107" t="s">
        <v>722</v>
      </c>
      <c r="M18" s="142" t="s">
        <v>491</v>
      </c>
    </row>
    <row r="19" spans="1:46" s="87" customFormat="1" ht="10.5" customHeight="1" x14ac:dyDescent="0.2">
      <c r="A19" s="132" t="s">
        <v>71</v>
      </c>
      <c r="B19" s="132" t="s">
        <v>720</v>
      </c>
      <c r="C19" s="129"/>
      <c r="D19" s="82">
        <v>1</v>
      </c>
      <c r="E19" s="95" t="s">
        <v>73</v>
      </c>
      <c r="F19" s="85" t="s">
        <v>75</v>
      </c>
      <c r="G19" s="85"/>
      <c r="H19" s="85"/>
      <c r="I19" s="85"/>
      <c r="J19" s="85"/>
      <c r="K19" s="85"/>
      <c r="L19" s="85"/>
      <c r="M19" s="85"/>
      <c r="N19" s="85"/>
      <c r="O19" s="85"/>
      <c r="P19" s="85"/>
      <c r="Q19" s="85"/>
      <c r="R19" s="85"/>
      <c r="S19" s="85"/>
      <c r="T19" s="85"/>
      <c r="U19" s="85"/>
      <c r="V19" s="72"/>
      <c r="W19" s="85"/>
      <c r="X19" s="85"/>
      <c r="AE19" s="85"/>
      <c r="AG19" s="85"/>
    </row>
    <row r="20" spans="1:46" s="107" customFormat="1" ht="6.75" x14ac:dyDescent="0.15">
      <c r="A20" s="105" t="s">
        <v>68</v>
      </c>
      <c r="B20" s="105" t="s">
        <v>455</v>
      </c>
      <c r="C20" s="92" t="s">
        <v>443</v>
      </c>
      <c r="D20" s="92" t="s">
        <v>444</v>
      </c>
      <c r="E20" s="106" t="s">
        <v>493</v>
      </c>
      <c r="F20" s="107" t="s">
        <v>725</v>
      </c>
      <c r="G20" s="107" t="s">
        <v>520</v>
      </c>
      <c r="H20" s="107" t="s">
        <v>726</v>
      </c>
      <c r="I20" s="107" t="s">
        <v>728</v>
      </c>
      <c r="J20" s="107" t="s">
        <v>553</v>
      </c>
      <c r="K20" s="107" t="s">
        <v>729</v>
      </c>
      <c r="L20" s="107" t="s">
        <v>516</v>
      </c>
      <c r="M20" s="107" t="s">
        <v>730</v>
      </c>
      <c r="N20" s="107" t="s">
        <v>524</v>
      </c>
      <c r="O20" s="142" t="s">
        <v>491</v>
      </c>
    </row>
    <row r="21" spans="1:46" s="87" customFormat="1" ht="10.5" customHeight="1" x14ac:dyDescent="0.2">
      <c r="A21" s="83" t="s">
        <v>71</v>
      </c>
      <c r="B21" s="83" t="s">
        <v>723</v>
      </c>
      <c r="C21" s="84"/>
      <c r="D21" s="70">
        <v>1</v>
      </c>
      <c r="E21" s="95" t="s">
        <v>73</v>
      </c>
      <c r="F21" s="85"/>
      <c r="G21" s="85" t="s">
        <v>73</v>
      </c>
      <c r="H21" s="85" t="s">
        <v>727</v>
      </c>
      <c r="I21" s="85"/>
      <c r="J21" s="85"/>
      <c r="K21" s="85"/>
      <c r="L21" s="85"/>
      <c r="M21" s="85"/>
      <c r="N21" s="85"/>
      <c r="O21" s="85"/>
    </row>
    <row r="22" spans="1:46" s="105" customFormat="1" ht="6.75" x14ac:dyDescent="0.15">
      <c r="A22" s="105" t="s">
        <v>68</v>
      </c>
      <c r="B22" s="105" t="s">
        <v>455</v>
      </c>
      <c r="C22" s="92" t="s">
        <v>443</v>
      </c>
      <c r="D22" s="92" t="s">
        <v>444</v>
      </c>
      <c r="E22" s="105" t="s">
        <v>493</v>
      </c>
      <c r="F22" s="105" t="s">
        <v>819</v>
      </c>
      <c r="G22" s="105" t="s">
        <v>491</v>
      </c>
    </row>
    <row r="23" spans="1:46" s="132" customFormat="1" ht="10.5" customHeight="1" x14ac:dyDescent="0.2">
      <c r="A23" s="132" t="s">
        <v>71</v>
      </c>
      <c r="B23" s="132" t="s">
        <v>818</v>
      </c>
      <c r="C23" s="129"/>
      <c r="D23" s="82">
        <v>1</v>
      </c>
      <c r="E23" s="153" t="s">
        <v>73</v>
      </c>
      <c r="F23" s="153" t="s">
        <v>73</v>
      </c>
      <c r="G23" s="153"/>
      <c r="H23" s="153"/>
      <c r="I23" s="153"/>
      <c r="J23" s="153"/>
      <c r="K23" s="153"/>
      <c r="L23" s="153"/>
      <c r="M23" s="153"/>
      <c r="N23" s="153"/>
      <c r="O23" s="153"/>
      <c r="P23" s="153"/>
      <c r="Q23" s="153"/>
      <c r="R23" s="153"/>
      <c r="S23" s="153"/>
      <c r="T23" s="153"/>
      <c r="U23" s="153"/>
      <c r="V23" s="117"/>
      <c r="W23" s="153"/>
      <c r="X23" s="153"/>
      <c r="AE23" s="153"/>
      <c r="AG23" s="153"/>
    </row>
    <row r="24" spans="1:46" s="142" customFormat="1" ht="6.75" x14ac:dyDescent="0.15">
      <c r="A24" s="142" t="s">
        <v>68</v>
      </c>
      <c r="B24" s="142" t="s">
        <v>455</v>
      </c>
      <c r="C24" s="101" t="s">
        <v>443</v>
      </c>
      <c r="D24" s="101" t="s">
        <v>444</v>
      </c>
      <c r="E24" s="142" t="s">
        <v>493</v>
      </c>
      <c r="F24" s="142" t="s">
        <v>526</v>
      </c>
      <c r="G24" s="148" t="s">
        <v>811</v>
      </c>
      <c r="H24" s="148" t="s">
        <v>842</v>
      </c>
      <c r="I24" s="142" t="s">
        <v>471</v>
      </c>
      <c r="J24" s="142" t="s">
        <v>491</v>
      </c>
    </row>
    <row r="25" spans="1:46" s="87" customFormat="1" ht="10.5" customHeight="1" x14ac:dyDescent="0.2">
      <c r="A25" s="132" t="s">
        <v>71</v>
      </c>
      <c r="B25" s="132" t="s">
        <v>810</v>
      </c>
      <c r="C25" s="129"/>
      <c r="D25" s="82">
        <v>1</v>
      </c>
      <c r="E25" s="95" t="s">
        <v>73</v>
      </c>
      <c r="F25" s="85" t="s">
        <v>73</v>
      </c>
      <c r="G25" s="85"/>
      <c r="H25" s="85" t="s">
        <v>843</v>
      </c>
      <c r="I25" s="85" t="s">
        <v>812</v>
      </c>
      <c r="J25" s="85"/>
      <c r="K25" s="85"/>
      <c r="L25" s="85"/>
      <c r="M25" s="85"/>
      <c r="N25" s="85"/>
      <c r="O25" s="85"/>
      <c r="P25" s="85"/>
      <c r="Q25" s="85"/>
      <c r="R25" s="85"/>
      <c r="S25" s="85"/>
      <c r="T25" s="85"/>
      <c r="U25" s="85"/>
      <c r="V25" s="85"/>
      <c r="W25" s="85"/>
      <c r="X25" s="85"/>
      <c r="Y25" s="85"/>
      <c r="Z25" s="72"/>
      <c r="AA25" s="85"/>
      <c r="AB25" s="85"/>
      <c r="AI25" s="85"/>
      <c r="AK25" s="85"/>
    </row>
    <row r="26" spans="1:46" s="107" customFormat="1" ht="6.75" x14ac:dyDescent="0.15">
      <c r="A26" s="105" t="s">
        <v>68</v>
      </c>
      <c r="B26" s="105" t="s">
        <v>455</v>
      </c>
      <c r="C26" s="92" t="s">
        <v>443</v>
      </c>
      <c r="D26" s="92" t="s">
        <v>444</v>
      </c>
      <c r="E26" s="106" t="s">
        <v>493</v>
      </c>
      <c r="F26" s="142" t="s">
        <v>491</v>
      </c>
    </row>
    <row r="27" spans="1:46" s="87" customFormat="1" ht="10.5" customHeight="1" x14ac:dyDescent="0.2">
      <c r="A27" s="132" t="s">
        <v>71</v>
      </c>
      <c r="B27" s="132" t="s">
        <v>721</v>
      </c>
      <c r="C27" s="129"/>
      <c r="D27" s="82">
        <v>1</v>
      </c>
      <c r="E27" s="95" t="s">
        <v>73</v>
      </c>
      <c r="F27" s="85"/>
      <c r="G27" s="85"/>
      <c r="H27" s="85"/>
      <c r="I27" s="85"/>
      <c r="J27" s="85"/>
      <c r="K27" s="85"/>
      <c r="L27" s="85"/>
      <c r="M27" s="85"/>
      <c r="N27" s="85"/>
      <c r="O27" s="85"/>
      <c r="P27" s="85"/>
      <c r="Q27" s="85"/>
      <c r="R27" s="85"/>
      <c r="S27" s="85"/>
      <c r="T27" s="85"/>
      <c r="U27" s="85"/>
      <c r="V27" s="85"/>
      <c r="W27" s="85"/>
      <c r="X27" s="72"/>
      <c r="Y27" s="85"/>
      <c r="Z27" s="85"/>
      <c r="AG27" s="85"/>
      <c r="AI27" s="85"/>
    </row>
    <row r="28" spans="1:46" s="145" customFormat="1" ht="6.75" x14ac:dyDescent="0.15">
      <c r="A28" s="145" t="s">
        <v>68</v>
      </c>
      <c r="B28" s="145" t="s">
        <v>455</v>
      </c>
      <c r="C28" s="145" t="s">
        <v>443</v>
      </c>
      <c r="D28" s="145" t="s">
        <v>444</v>
      </c>
      <c r="E28" s="145" t="s">
        <v>493</v>
      </c>
      <c r="F28" s="145" t="s">
        <v>733</v>
      </c>
      <c r="G28" s="145" t="s">
        <v>566</v>
      </c>
      <c r="H28" s="145" t="s">
        <v>538</v>
      </c>
      <c r="I28" s="145" t="s">
        <v>539</v>
      </c>
      <c r="J28" s="145" t="s">
        <v>540</v>
      </c>
      <c r="K28" s="145" t="s">
        <v>734</v>
      </c>
      <c r="L28" s="145" t="s">
        <v>491</v>
      </c>
    </row>
    <row r="29" spans="1:46" s="57" customFormat="1" ht="11.25" x14ac:dyDescent="0.2">
      <c r="A29" s="68" t="s">
        <v>71</v>
      </c>
      <c r="B29" s="68" t="s">
        <v>731</v>
      </c>
      <c r="C29" s="69"/>
      <c r="D29" s="70">
        <v>1</v>
      </c>
      <c r="E29" s="94" t="s">
        <v>73</v>
      </c>
      <c r="F29" s="94" t="s">
        <v>73</v>
      </c>
      <c r="G29" s="94" t="s">
        <v>109</v>
      </c>
      <c r="H29" s="94" t="s">
        <v>108</v>
      </c>
      <c r="I29" s="94" t="s">
        <v>75</v>
      </c>
      <c r="J29" s="94"/>
    </row>
    <row r="30" spans="1:46" s="145" customFormat="1" ht="6.75" x14ac:dyDescent="0.15">
      <c r="A30" s="145" t="s">
        <v>68</v>
      </c>
      <c r="B30" s="145" t="s">
        <v>455</v>
      </c>
      <c r="C30" s="145" t="s">
        <v>443</v>
      </c>
      <c r="D30" s="145" t="s">
        <v>444</v>
      </c>
      <c r="E30" s="145" t="s">
        <v>493</v>
      </c>
      <c r="F30" s="145" t="s">
        <v>547</v>
      </c>
      <c r="G30" s="145" t="s">
        <v>549</v>
      </c>
      <c r="H30" s="145" t="s">
        <v>546</v>
      </c>
      <c r="I30" s="145" t="s">
        <v>735</v>
      </c>
      <c r="J30" s="145" t="s">
        <v>567</v>
      </c>
      <c r="K30" s="145" t="s">
        <v>736</v>
      </c>
      <c r="L30" s="145" t="s">
        <v>737</v>
      </c>
      <c r="M30" s="145" t="s">
        <v>553</v>
      </c>
      <c r="N30" s="145" t="s">
        <v>729</v>
      </c>
      <c r="O30" s="145" t="s">
        <v>516</v>
      </c>
      <c r="P30" s="145" t="s">
        <v>491</v>
      </c>
    </row>
    <row r="31" spans="1:46" s="57" customFormat="1" ht="11.25" x14ac:dyDescent="0.2">
      <c r="A31" s="68" t="s">
        <v>71</v>
      </c>
      <c r="B31" s="68" t="s">
        <v>732</v>
      </c>
      <c r="C31" s="69"/>
      <c r="D31" s="70">
        <v>1</v>
      </c>
      <c r="E31" s="94" t="s">
        <v>73</v>
      </c>
      <c r="F31" s="57" t="s">
        <v>73</v>
      </c>
      <c r="H31" s="57" t="s">
        <v>73</v>
      </c>
    </row>
    <row r="32" spans="1:46" s="110" customFormat="1" ht="6.75" x14ac:dyDescent="0.15">
      <c r="A32" s="108" t="s">
        <v>68</v>
      </c>
      <c r="B32" s="92" t="s">
        <v>455</v>
      </c>
      <c r="C32" s="92" t="s">
        <v>443</v>
      </c>
      <c r="D32" s="92" t="s">
        <v>444</v>
      </c>
      <c r="E32" s="109" t="s">
        <v>493</v>
      </c>
      <c r="F32" s="110" t="s">
        <v>750</v>
      </c>
      <c r="G32" s="110" t="s">
        <v>116</v>
      </c>
      <c r="H32" s="110" t="s">
        <v>117</v>
      </c>
      <c r="I32" s="110" t="s">
        <v>118</v>
      </c>
      <c r="J32" s="110" t="s">
        <v>123</v>
      </c>
      <c r="K32" s="110" t="s">
        <v>119</v>
      </c>
      <c r="L32" s="110" t="s">
        <v>221</v>
      </c>
      <c r="M32" s="110" t="s">
        <v>171</v>
      </c>
      <c r="N32" s="110" t="s">
        <v>172</v>
      </c>
      <c r="O32" s="110" t="s">
        <v>177</v>
      </c>
      <c r="P32" s="110" t="s">
        <v>169</v>
      </c>
      <c r="Q32" s="110" t="s">
        <v>170</v>
      </c>
      <c r="R32" s="110" t="s">
        <v>268</v>
      </c>
      <c r="S32" s="110" t="s">
        <v>173</v>
      </c>
      <c r="T32" s="110" t="s">
        <v>174</v>
      </c>
      <c r="U32" s="110" t="s">
        <v>175</v>
      </c>
      <c r="V32" s="110" t="s">
        <v>176</v>
      </c>
      <c r="W32" s="110" t="s">
        <v>178</v>
      </c>
      <c r="X32" s="110" t="s">
        <v>179</v>
      </c>
      <c r="Y32" s="110" t="s">
        <v>180</v>
      </c>
      <c r="Z32" s="110" t="s">
        <v>181</v>
      </c>
      <c r="AA32" s="110" t="s">
        <v>182</v>
      </c>
      <c r="AB32" s="110" t="s">
        <v>282</v>
      </c>
      <c r="AC32" s="110" t="s">
        <v>281</v>
      </c>
      <c r="AD32" s="110" t="s">
        <v>281</v>
      </c>
      <c r="AE32" s="110" t="s">
        <v>186</v>
      </c>
      <c r="AF32" s="110" t="s">
        <v>187</v>
      </c>
      <c r="AG32" s="110" t="s">
        <v>192</v>
      </c>
      <c r="AH32" s="110" t="s">
        <v>188</v>
      </c>
      <c r="AI32" s="110" t="s">
        <v>198</v>
      </c>
      <c r="AJ32" s="110" t="s">
        <v>199</v>
      </c>
      <c r="AK32" s="110" t="s">
        <v>200</v>
      </c>
      <c r="AL32" s="110" t="s">
        <v>189</v>
      </c>
      <c r="AM32" s="110" t="s">
        <v>190</v>
      </c>
      <c r="AN32" s="110" t="s">
        <v>191</v>
      </c>
      <c r="AO32" s="110" t="s">
        <v>193</v>
      </c>
      <c r="AP32" s="110" t="s">
        <v>194</v>
      </c>
      <c r="AQ32" s="110" t="s">
        <v>195</v>
      </c>
      <c r="AR32" s="110" t="s">
        <v>196</v>
      </c>
      <c r="AS32" s="110" t="s">
        <v>197</v>
      </c>
      <c r="AT32" s="142" t="s">
        <v>491</v>
      </c>
    </row>
    <row r="33" spans="1:46" s="57" customFormat="1" ht="11.25" x14ac:dyDescent="0.2">
      <c r="A33" s="68" t="s">
        <v>71</v>
      </c>
      <c r="B33" s="68" t="s">
        <v>568</v>
      </c>
      <c r="C33" s="69"/>
      <c r="D33" s="70">
        <v>1</v>
      </c>
      <c r="E33" s="96" t="s">
        <v>73</v>
      </c>
      <c r="F33" s="57" t="s">
        <v>73</v>
      </c>
      <c r="G33" s="60"/>
      <c r="H33" s="60" t="s">
        <v>77</v>
      </c>
      <c r="I33" s="60" t="s">
        <v>77</v>
      </c>
      <c r="J33" s="60"/>
      <c r="K33" s="60"/>
      <c r="L33" s="60"/>
      <c r="M33" s="60">
        <f ca="1">(INDIRECT("'Data'!BQ"&amp;($C$1)))</f>
        <v>0</v>
      </c>
      <c r="N33" s="60"/>
      <c r="O33" s="60">
        <f ca="1">(INDIRECT("'Data'!CI"&amp;($C$1)))</f>
        <v>1</v>
      </c>
      <c r="P33" s="60">
        <f ca="1">(INDIRECT("'Data'!BX"&amp;($C$1)))</f>
        <v>0</v>
      </c>
      <c r="Q33" s="60">
        <f ca="1">(INDIRECT("'Data'!BW"&amp;($C$1)))</f>
        <v>0</v>
      </c>
      <c r="R33" s="60" t="str">
        <f ca="1">(INDIRECT("'Data'!CJ"&amp;($C$1)))</f>
        <v>GAS_ENQ_NO-3521</v>
      </c>
      <c r="S33" s="60" t="str">
        <f ca="1">(INDIRECT("'Data'!CK"&amp;($C$1)))</f>
        <v>G4</v>
      </c>
      <c r="T33" s="60"/>
      <c r="U33" s="60"/>
      <c r="V33" s="60"/>
      <c r="W33" s="60"/>
      <c r="X33" s="60"/>
      <c r="Y33" s="60"/>
      <c r="Z33" s="59"/>
      <c r="AA33" s="60"/>
      <c r="AB33" s="60"/>
      <c r="AC33" s="60"/>
      <c r="AD33" s="60"/>
      <c r="AT33" s="85"/>
    </row>
    <row r="34" spans="1:46" s="101" customFormat="1" ht="6.75" x14ac:dyDescent="0.15">
      <c r="A34" s="92" t="s">
        <v>68</v>
      </c>
      <c r="B34" s="92" t="s">
        <v>455</v>
      </c>
      <c r="C34" s="92" t="s">
        <v>443</v>
      </c>
      <c r="D34" s="92" t="s">
        <v>444</v>
      </c>
      <c r="E34" s="100" t="s">
        <v>493</v>
      </c>
      <c r="F34" s="101" t="s">
        <v>203</v>
      </c>
      <c r="G34" s="101" t="s">
        <v>204</v>
      </c>
      <c r="H34" s="101" t="s">
        <v>205</v>
      </c>
      <c r="I34" s="101" t="s">
        <v>284</v>
      </c>
      <c r="J34" s="101" t="s">
        <v>206</v>
      </c>
      <c r="K34" s="101" t="s">
        <v>207</v>
      </c>
      <c r="L34" s="101" t="s">
        <v>208</v>
      </c>
      <c r="M34" s="101" t="s">
        <v>209</v>
      </c>
      <c r="N34" s="101" t="s">
        <v>210</v>
      </c>
      <c r="O34" s="101" t="s">
        <v>211</v>
      </c>
      <c r="P34" s="101" t="s">
        <v>212</v>
      </c>
      <c r="Q34" s="101" t="s">
        <v>213</v>
      </c>
      <c r="R34" s="101" t="s">
        <v>214</v>
      </c>
      <c r="S34" s="101" t="s">
        <v>215</v>
      </c>
      <c r="T34" s="101" t="s">
        <v>216</v>
      </c>
      <c r="U34" s="101" t="s">
        <v>217</v>
      </c>
      <c r="V34" s="142" t="s">
        <v>491</v>
      </c>
    </row>
    <row r="35" spans="1:46" s="57" customFormat="1" ht="11.25" x14ac:dyDescent="0.2">
      <c r="A35" s="68" t="s">
        <v>71</v>
      </c>
      <c r="B35" s="68" t="s">
        <v>570</v>
      </c>
      <c r="C35" s="69"/>
      <c r="D35" s="70">
        <v>1</v>
      </c>
      <c r="E35" s="94" t="s">
        <v>73</v>
      </c>
      <c r="F35" s="49">
        <f ca="1">(INDIRECT("'Data'!BL"&amp;($C$1)))</f>
        <v>0</v>
      </c>
      <c r="G35" s="49">
        <f ca="1">(INDIRECT("'Data'!BX"&amp;($C$1)))</f>
        <v>0</v>
      </c>
      <c r="H35" s="57" t="s">
        <v>280</v>
      </c>
      <c r="I35" s="60">
        <v>1</v>
      </c>
      <c r="N35" s="57" t="s">
        <v>218</v>
      </c>
      <c r="O35" s="57" t="s">
        <v>285</v>
      </c>
      <c r="P35" s="57" t="s">
        <v>286</v>
      </c>
      <c r="Q35" s="57" t="s">
        <v>287</v>
      </c>
      <c r="R35" s="57" t="s">
        <v>75</v>
      </c>
      <c r="S35" s="57" t="s">
        <v>219</v>
      </c>
      <c r="T35" s="57" t="s">
        <v>120</v>
      </c>
      <c r="U35" s="57" t="s">
        <v>73</v>
      </c>
      <c r="V35" s="85"/>
    </row>
    <row r="36" spans="1:46" s="111" customFormat="1" ht="6.75" x14ac:dyDescent="0.15">
      <c r="A36" s="92" t="s">
        <v>68</v>
      </c>
      <c r="B36" s="92" t="s">
        <v>455</v>
      </c>
      <c r="C36" s="92" t="s">
        <v>443</v>
      </c>
      <c r="D36" s="92" t="s">
        <v>444</v>
      </c>
      <c r="E36" s="100" t="s">
        <v>493</v>
      </c>
      <c r="F36" s="101" t="s">
        <v>574</v>
      </c>
      <c r="G36" s="101" t="s">
        <v>575</v>
      </c>
      <c r="H36" s="142" t="s">
        <v>491</v>
      </c>
    </row>
    <row r="37" spans="1:46" s="57" customFormat="1" ht="11.25" x14ac:dyDescent="0.2">
      <c r="A37" s="68" t="s">
        <v>71</v>
      </c>
      <c r="B37" s="68" t="s">
        <v>578</v>
      </c>
      <c r="C37" s="69"/>
      <c r="D37" s="70">
        <v>1</v>
      </c>
      <c r="E37" s="94" t="s">
        <v>73</v>
      </c>
      <c r="F37" s="57" t="s">
        <v>120</v>
      </c>
      <c r="G37" s="59" t="s">
        <v>73</v>
      </c>
      <c r="H37" s="85"/>
    </row>
    <row r="38" spans="1:46" s="111" customFormat="1" ht="6.75" x14ac:dyDescent="0.15">
      <c r="A38" s="92" t="s">
        <v>68</v>
      </c>
      <c r="B38" s="92" t="s">
        <v>455</v>
      </c>
      <c r="C38" s="92" t="s">
        <v>443</v>
      </c>
      <c r="D38" s="92" t="s">
        <v>444</v>
      </c>
      <c r="E38" s="100" t="s">
        <v>493</v>
      </c>
      <c r="F38" s="101" t="s">
        <v>579</v>
      </c>
      <c r="G38" s="101" t="s">
        <v>577</v>
      </c>
      <c r="H38" s="101" t="s">
        <v>83</v>
      </c>
      <c r="I38" s="101" t="s">
        <v>584</v>
      </c>
      <c r="J38" s="101" t="s">
        <v>576</v>
      </c>
      <c r="K38" s="101" t="s">
        <v>220</v>
      </c>
      <c r="L38" s="142" t="s">
        <v>491</v>
      </c>
    </row>
    <row r="39" spans="1:46" s="57" customFormat="1" ht="11.25" x14ac:dyDescent="0.2">
      <c r="A39" s="68" t="s">
        <v>71</v>
      </c>
      <c r="B39" s="68" t="s">
        <v>580</v>
      </c>
      <c r="C39" s="69" t="s">
        <v>77</v>
      </c>
      <c r="D39" s="70">
        <v>1</v>
      </c>
      <c r="E39" s="94" t="s">
        <v>73</v>
      </c>
      <c r="F39" s="73" t="s">
        <v>754</v>
      </c>
      <c r="G39" s="73" t="s">
        <v>755</v>
      </c>
      <c r="H39" s="73" t="s">
        <v>756</v>
      </c>
      <c r="I39" s="88"/>
      <c r="J39" s="73" t="s">
        <v>124</v>
      </c>
      <c r="K39" s="74" t="s">
        <v>585</v>
      </c>
      <c r="L39" s="85"/>
    </row>
    <row r="40" spans="1:46" s="101" customFormat="1" ht="6.75" x14ac:dyDescent="0.15">
      <c r="A40" s="92" t="s">
        <v>68</v>
      </c>
      <c r="B40" s="92" t="s">
        <v>455</v>
      </c>
      <c r="C40" s="92" t="s">
        <v>443</v>
      </c>
      <c r="D40" s="92" t="s">
        <v>444</v>
      </c>
      <c r="E40" s="100" t="s">
        <v>493</v>
      </c>
      <c r="F40" s="101" t="s">
        <v>318</v>
      </c>
      <c r="G40" s="101" t="s">
        <v>587</v>
      </c>
      <c r="H40" s="101" t="s">
        <v>319</v>
      </c>
      <c r="I40" s="101" t="s">
        <v>125</v>
      </c>
      <c r="J40" s="101" t="s">
        <v>588</v>
      </c>
      <c r="K40" s="101" t="s">
        <v>589</v>
      </c>
      <c r="L40" s="101" t="s">
        <v>320</v>
      </c>
      <c r="M40" s="101" t="s">
        <v>321</v>
      </c>
      <c r="N40" s="101" t="s">
        <v>89</v>
      </c>
      <c r="O40" s="101" t="s">
        <v>590</v>
      </c>
      <c r="P40" s="101" t="s">
        <v>419</v>
      </c>
      <c r="Q40" s="142" t="s">
        <v>491</v>
      </c>
    </row>
    <row r="41" spans="1:46" s="77" customFormat="1" ht="11.25" customHeight="1" x14ac:dyDescent="0.2">
      <c r="A41" s="68" t="s">
        <v>71</v>
      </c>
      <c r="B41" s="68" t="s">
        <v>586</v>
      </c>
      <c r="C41" s="68"/>
      <c r="D41" s="70">
        <v>1</v>
      </c>
      <c r="E41" s="94" t="s">
        <v>73</v>
      </c>
      <c r="F41" s="75" t="s">
        <v>73</v>
      </c>
      <c r="G41" s="75" t="s">
        <v>73</v>
      </c>
      <c r="H41" s="75" t="s">
        <v>322</v>
      </c>
      <c r="I41" s="75" t="s">
        <v>323</v>
      </c>
      <c r="J41" s="75" t="s">
        <v>73</v>
      </c>
      <c r="K41" s="75" t="s">
        <v>73</v>
      </c>
      <c r="L41" s="77" t="s">
        <v>73</v>
      </c>
      <c r="M41" s="77" t="s">
        <v>73</v>
      </c>
      <c r="N41" s="75" t="s">
        <v>73</v>
      </c>
      <c r="O41" s="77" t="s">
        <v>73</v>
      </c>
      <c r="P41" s="75" t="s">
        <v>73</v>
      </c>
      <c r="Q41" s="85"/>
    </row>
    <row r="42" spans="1:46" s="101" customFormat="1" ht="6.75" x14ac:dyDescent="0.15">
      <c r="A42" s="92" t="s">
        <v>68</v>
      </c>
      <c r="B42" s="92" t="s">
        <v>455</v>
      </c>
      <c r="C42" s="92" t="s">
        <v>443</v>
      </c>
      <c r="D42" s="92" t="s">
        <v>444</v>
      </c>
      <c r="E42" s="100" t="s">
        <v>493</v>
      </c>
      <c r="F42" s="101" t="s">
        <v>591</v>
      </c>
      <c r="G42" s="101" t="s">
        <v>593</v>
      </c>
      <c r="H42" s="101" t="s">
        <v>592</v>
      </c>
      <c r="I42" s="101" t="s">
        <v>302</v>
      </c>
      <c r="J42" s="101" t="s">
        <v>304</v>
      </c>
      <c r="K42" s="102" t="s">
        <v>475</v>
      </c>
      <c r="L42" s="142" t="s">
        <v>491</v>
      </c>
    </row>
    <row r="43" spans="1:46" s="78" customFormat="1" ht="11.25" x14ac:dyDescent="0.2">
      <c r="A43" s="68" t="s">
        <v>71</v>
      </c>
      <c r="B43" s="68" t="s">
        <v>642</v>
      </c>
      <c r="C43" s="69" t="s">
        <v>77</v>
      </c>
      <c r="D43" s="70">
        <v>1</v>
      </c>
      <c r="E43" s="94" t="s">
        <v>73</v>
      </c>
      <c r="F43" s="78" t="s">
        <v>303</v>
      </c>
      <c r="G43" s="78" t="s">
        <v>65</v>
      </c>
      <c r="H43" s="78" t="s">
        <v>53</v>
      </c>
      <c r="I43" s="55"/>
      <c r="J43" s="78" t="s">
        <v>77</v>
      </c>
      <c r="K43" s="48">
        <f ca="1">(INDIRECT("'Data'!CD"&amp;($C$1)))</f>
        <v>0</v>
      </c>
      <c r="L43" s="85"/>
    </row>
    <row r="44" spans="1:46" s="145" customFormat="1" ht="6.75" x14ac:dyDescent="0.15">
      <c r="A44" s="145" t="s">
        <v>68</v>
      </c>
      <c r="B44" s="145" t="s">
        <v>455</v>
      </c>
      <c r="C44" s="145" t="s">
        <v>443</v>
      </c>
      <c r="D44" s="145" t="s">
        <v>444</v>
      </c>
      <c r="E44" s="145" t="s">
        <v>493</v>
      </c>
      <c r="F44" s="145" t="s">
        <v>475</v>
      </c>
      <c r="G44" s="145" t="s">
        <v>789</v>
      </c>
      <c r="H44" s="145" t="s">
        <v>790</v>
      </c>
      <c r="I44" s="145" t="s">
        <v>791</v>
      </c>
      <c r="J44" s="145" t="s">
        <v>793</v>
      </c>
      <c r="K44" s="145" t="s">
        <v>794</v>
      </c>
      <c r="L44" s="145" t="s">
        <v>795</v>
      </c>
      <c r="M44" s="145" t="s">
        <v>796</v>
      </c>
      <c r="N44" s="145" t="s">
        <v>650</v>
      </c>
      <c r="O44" s="145" t="s">
        <v>651</v>
      </c>
      <c r="P44" s="148" t="s">
        <v>491</v>
      </c>
    </row>
    <row r="45" spans="1:46" s="78" customFormat="1" ht="11.25" x14ac:dyDescent="0.2">
      <c r="A45" s="68" t="s">
        <v>71</v>
      </c>
      <c r="B45" s="68" t="s">
        <v>594</v>
      </c>
      <c r="C45" s="69" t="s">
        <v>77</v>
      </c>
      <c r="D45" s="70">
        <v>1</v>
      </c>
      <c r="E45" s="94" t="s">
        <v>73</v>
      </c>
      <c r="F45" s="48">
        <f ca="1">(INDIRECT("'Data'!CD"&amp;($C$1)))</f>
        <v>0</v>
      </c>
      <c r="G45" s="77" t="s">
        <v>73</v>
      </c>
      <c r="H45" s="77" t="s">
        <v>308</v>
      </c>
      <c r="I45" s="77" t="s">
        <v>317</v>
      </c>
      <c r="J45" s="75">
        <v>11</v>
      </c>
      <c r="K45" s="77" t="s">
        <v>231</v>
      </c>
      <c r="L45" s="77" t="s">
        <v>757</v>
      </c>
      <c r="M45" s="77" t="s">
        <v>313</v>
      </c>
      <c r="N45" s="78" t="s">
        <v>315</v>
      </c>
      <c r="O45" s="78" t="s">
        <v>65</v>
      </c>
      <c r="P45" s="85"/>
    </row>
    <row r="46" spans="1:46" s="101" customFormat="1" ht="6.75" x14ac:dyDescent="0.15">
      <c r="A46" s="92" t="s">
        <v>68</v>
      </c>
      <c r="B46" s="92" t="s">
        <v>455</v>
      </c>
      <c r="C46" s="92" t="s">
        <v>443</v>
      </c>
      <c r="D46" s="92" t="s">
        <v>444</v>
      </c>
      <c r="E46" s="100" t="s">
        <v>493</v>
      </c>
      <c r="F46" s="101" t="s">
        <v>235</v>
      </c>
      <c r="G46" s="101" t="s">
        <v>238</v>
      </c>
      <c r="H46" s="101" t="s">
        <v>595</v>
      </c>
      <c r="I46" s="101" t="s">
        <v>596</v>
      </c>
      <c r="J46" s="101" t="s">
        <v>599</v>
      </c>
      <c r="K46" s="101" t="s">
        <v>237</v>
      </c>
      <c r="L46" s="101" t="s">
        <v>597</v>
      </c>
      <c r="M46" s="101" t="s">
        <v>236</v>
      </c>
      <c r="N46" s="142" t="s">
        <v>491</v>
      </c>
    </row>
    <row r="47" spans="1:46" s="78" customFormat="1" ht="11.25" x14ac:dyDescent="0.2">
      <c r="A47" s="68" t="s">
        <v>71</v>
      </c>
      <c r="B47" s="68" t="s">
        <v>598</v>
      </c>
      <c r="C47" s="69"/>
      <c r="D47" s="70">
        <v>1</v>
      </c>
      <c r="E47" s="94" t="s">
        <v>73</v>
      </c>
      <c r="F47" s="55" t="s">
        <v>73</v>
      </c>
      <c r="G47" s="55" t="s">
        <v>238</v>
      </c>
      <c r="H47" s="55" t="s">
        <v>109</v>
      </c>
      <c r="I47" s="55" t="s">
        <v>168</v>
      </c>
      <c r="J47" s="55" t="s">
        <v>73</v>
      </c>
      <c r="K47" s="55" t="s">
        <v>237</v>
      </c>
      <c r="L47" s="55" t="s">
        <v>109</v>
      </c>
      <c r="M47" s="55" t="s">
        <v>236</v>
      </c>
      <c r="N47" s="85"/>
    </row>
    <row r="48" spans="1:46" s="101" customFormat="1" ht="6.75" x14ac:dyDescent="0.15">
      <c r="A48" s="92" t="s">
        <v>68</v>
      </c>
      <c r="B48" s="92" t="s">
        <v>455</v>
      </c>
      <c r="C48" s="92" t="s">
        <v>443</v>
      </c>
      <c r="D48" s="92" t="s">
        <v>444</v>
      </c>
      <c r="E48" s="100" t="s">
        <v>493</v>
      </c>
      <c r="F48" s="142" t="s">
        <v>491</v>
      </c>
    </row>
    <row r="49" spans="1:59" s="78" customFormat="1" ht="11.25" x14ac:dyDescent="0.2">
      <c r="A49" s="68" t="s">
        <v>71</v>
      </c>
      <c r="B49" s="68" t="s">
        <v>600</v>
      </c>
      <c r="C49" s="69"/>
      <c r="D49" s="70">
        <v>1</v>
      </c>
      <c r="E49" s="94" t="s">
        <v>73</v>
      </c>
      <c r="F49" s="85"/>
    </row>
    <row r="50" spans="1:59" s="102" customFormat="1" ht="6.75" x14ac:dyDescent="0.15">
      <c r="A50" s="92" t="s">
        <v>68</v>
      </c>
      <c r="B50" s="92" t="s">
        <v>455</v>
      </c>
      <c r="C50" s="92" t="s">
        <v>443</v>
      </c>
      <c r="D50" s="92" t="s">
        <v>444</v>
      </c>
      <c r="E50" s="100" t="s">
        <v>493</v>
      </c>
      <c r="F50" s="102" t="s">
        <v>485</v>
      </c>
      <c r="G50" s="102" t="s">
        <v>484</v>
      </c>
      <c r="H50" s="102" t="s">
        <v>486</v>
      </c>
      <c r="I50" s="102" t="s">
        <v>487</v>
      </c>
      <c r="J50" s="102" t="s">
        <v>488</v>
      </c>
      <c r="K50" s="102" t="s">
        <v>489</v>
      </c>
      <c r="L50" s="102" t="s">
        <v>490</v>
      </c>
      <c r="M50" s="102" t="s">
        <v>528</v>
      </c>
      <c r="N50" s="102" t="s">
        <v>126</v>
      </c>
      <c r="O50" s="102" t="s">
        <v>127</v>
      </c>
      <c r="P50" s="102" t="s">
        <v>128</v>
      </c>
      <c r="Q50" s="102" t="s">
        <v>129</v>
      </c>
      <c r="R50" s="102" t="s">
        <v>130</v>
      </c>
      <c r="S50" s="102" t="s">
        <v>131</v>
      </c>
      <c r="T50" s="102" t="s">
        <v>132</v>
      </c>
      <c r="U50" s="102" t="s">
        <v>491</v>
      </c>
      <c r="V50" s="102" t="s">
        <v>517</v>
      </c>
      <c r="W50" s="102" t="s">
        <v>107</v>
      </c>
      <c r="X50" s="102" t="s">
        <v>103</v>
      </c>
      <c r="Y50" s="102" t="s">
        <v>104</v>
      </c>
      <c r="Z50" s="102" t="s">
        <v>105</v>
      </c>
      <c r="AA50" s="102" t="s">
        <v>106</v>
      </c>
      <c r="AB50" s="102" t="s">
        <v>760</v>
      </c>
      <c r="AC50" s="102" t="s">
        <v>272</v>
      </c>
      <c r="AD50" s="102" t="s">
        <v>273</v>
      </c>
      <c r="AE50" s="102" t="s">
        <v>274</v>
      </c>
      <c r="AF50" s="102" t="s">
        <v>271</v>
      </c>
      <c r="AG50" s="142" t="s">
        <v>491</v>
      </c>
    </row>
    <row r="51" spans="1:59" s="57" customFormat="1" ht="11.25" customHeight="1" x14ac:dyDescent="0.2">
      <c r="A51" s="68" t="s">
        <v>71</v>
      </c>
      <c r="B51" s="68" t="s">
        <v>500</v>
      </c>
      <c r="C51" s="69" t="s">
        <v>77</v>
      </c>
      <c r="D51" s="70">
        <v>1</v>
      </c>
      <c r="E51" s="94" t="s">
        <v>73</v>
      </c>
      <c r="F51" s="60" t="s">
        <v>135</v>
      </c>
      <c r="G51" s="60"/>
      <c r="H51" s="60" t="s">
        <v>134</v>
      </c>
      <c r="I51" s="60"/>
      <c r="J51" s="60"/>
      <c r="K51" s="60" t="s">
        <v>134</v>
      </c>
      <c r="L51" s="46"/>
      <c r="M51" s="60"/>
      <c r="N51" s="60" t="s">
        <v>134</v>
      </c>
      <c r="O51" s="60"/>
      <c r="P51" s="60"/>
      <c r="Q51" s="60" t="s">
        <v>134</v>
      </c>
      <c r="R51" s="60"/>
      <c r="S51" s="60"/>
      <c r="T51" s="60" t="s">
        <v>73</v>
      </c>
      <c r="U51" s="60"/>
      <c r="V51" s="60"/>
      <c r="W51" s="143"/>
      <c r="X51" s="143"/>
      <c r="Y51" s="143"/>
      <c r="Z51" s="143"/>
      <c r="AA51" s="143"/>
      <c r="AB51" s="143"/>
      <c r="AC51" s="144"/>
      <c r="AD51" s="144"/>
      <c r="AE51" s="144"/>
      <c r="AF51" s="144"/>
      <c r="AG51" s="85"/>
    </row>
    <row r="52" spans="1:59" s="107" customFormat="1" ht="6.75" x14ac:dyDescent="0.15">
      <c r="A52" s="105" t="s">
        <v>68</v>
      </c>
      <c r="B52" s="105" t="s">
        <v>455</v>
      </c>
      <c r="C52" s="92" t="s">
        <v>443</v>
      </c>
      <c r="D52" s="92" t="s">
        <v>444</v>
      </c>
      <c r="E52" s="106" t="s">
        <v>493</v>
      </c>
      <c r="F52" s="107" t="s">
        <v>819</v>
      </c>
      <c r="G52" s="107" t="s">
        <v>821</v>
      </c>
      <c r="H52" s="142" t="s">
        <v>491</v>
      </c>
    </row>
    <row r="53" spans="1:59" s="87" customFormat="1" ht="10.5" customHeight="1" x14ac:dyDescent="0.2">
      <c r="A53" s="132" t="s">
        <v>71</v>
      </c>
      <c r="B53" s="132" t="s">
        <v>820</v>
      </c>
      <c r="C53" s="129"/>
      <c r="D53" s="82">
        <v>1</v>
      </c>
      <c r="E53" s="95" t="s">
        <v>73</v>
      </c>
      <c r="F53" s="85" t="s">
        <v>73</v>
      </c>
      <c r="G53" s="85" t="s">
        <v>73</v>
      </c>
      <c r="H53" s="85"/>
      <c r="I53" s="85"/>
      <c r="J53" s="85"/>
      <c r="K53" s="85"/>
      <c r="L53" s="85"/>
      <c r="M53" s="85"/>
      <c r="N53" s="85"/>
      <c r="O53" s="85"/>
      <c r="P53" s="85"/>
      <c r="Q53" s="85"/>
      <c r="R53" s="85"/>
      <c r="S53" s="85"/>
      <c r="T53" s="85"/>
      <c r="U53" s="85"/>
      <c r="V53" s="72"/>
      <c r="W53" s="85"/>
      <c r="X53" s="85"/>
      <c r="AE53" s="85"/>
      <c r="AG53" s="85"/>
    </row>
    <row r="54" spans="1:59" s="142" customFormat="1" ht="6.75" x14ac:dyDescent="0.15">
      <c r="A54" s="142" t="s">
        <v>68</v>
      </c>
      <c r="B54" s="142" t="s">
        <v>455</v>
      </c>
      <c r="C54" s="101" t="s">
        <v>443</v>
      </c>
      <c r="D54" s="101" t="s">
        <v>444</v>
      </c>
      <c r="E54" s="142" t="s">
        <v>493</v>
      </c>
      <c r="F54" s="142" t="s">
        <v>526</v>
      </c>
      <c r="G54" s="148" t="s">
        <v>811</v>
      </c>
      <c r="H54" s="148" t="s">
        <v>842</v>
      </c>
      <c r="I54" s="142" t="s">
        <v>471</v>
      </c>
      <c r="J54" s="142" t="s">
        <v>491</v>
      </c>
    </row>
    <row r="55" spans="1:59" s="87" customFormat="1" ht="10.5" customHeight="1" x14ac:dyDescent="0.2">
      <c r="A55" s="132" t="s">
        <v>71</v>
      </c>
      <c r="B55" s="132" t="s">
        <v>822</v>
      </c>
      <c r="C55" s="129"/>
      <c r="D55" s="82">
        <v>1</v>
      </c>
      <c r="E55" s="95" t="s">
        <v>73</v>
      </c>
      <c r="F55" s="85" t="s">
        <v>73</v>
      </c>
      <c r="G55" s="85"/>
      <c r="H55" s="85" t="s">
        <v>843</v>
      </c>
      <c r="I55" s="85" t="s">
        <v>812</v>
      </c>
      <c r="J55" s="85"/>
      <c r="K55" s="85"/>
      <c r="L55" s="85"/>
      <c r="M55" s="85"/>
      <c r="N55" s="85"/>
      <c r="O55" s="85"/>
      <c r="P55" s="85"/>
      <c r="Q55" s="85"/>
      <c r="R55" s="85"/>
      <c r="S55" s="85"/>
      <c r="T55" s="85"/>
      <c r="U55" s="85"/>
      <c r="V55" s="85"/>
      <c r="W55" s="85"/>
      <c r="X55" s="85"/>
      <c r="Y55" s="85"/>
      <c r="Z55" s="72"/>
      <c r="AA55" s="85"/>
      <c r="AB55" s="85"/>
      <c r="AI55" s="85"/>
      <c r="AK55" s="85"/>
    </row>
    <row r="56" spans="1:59" s="101" customFormat="1" ht="6.75" x14ac:dyDescent="0.15">
      <c r="A56" s="92" t="s">
        <v>68</v>
      </c>
      <c r="B56" s="92" t="s">
        <v>455</v>
      </c>
      <c r="C56" s="92" t="s">
        <v>443</v>
      </c>
      <c r="D56" s="92" t="s">
        <v>444</v>
      </c>
      <c r="E56" s="100" t="s">
        <v>493</v>
      </c>
      <c r="F56" s="101" t="s">
        <v>136</v>
      </c>
      <c r="G56" s="101" t="s">
        <v>137</v>
      </c>
      <c r="H56" s="101" t="s">
        <v>225</v>
      </c>
      <c r="I56" s="101" t="s">
        <v>226</v>
      </c>
      <c r="J56" s="101" t="s">
        <v>222</v>
      </c>
      <c r="K56" s="101" t="s">
        <v>223</v>
      </c>
      <c r="L56" s="101" t="s">
        <v>83</v>
      </c>
      <c r="M56" s="101" t="s">
        <v>101</v>
      </c>
      <c r="N56" s="101" t="s">
        <v>224</v>
      </c>
      <c r="O56" s="101" t="s">
        <v>138</v>
      </c>
      <c r="P56" s="101" t="s">
        <v>139</v>
      </c>
      <c r="Q56" s="101" t="s">
        <v>141</v>
      </c>
      <c r="R56" s="101" t="s">
        <v>227</v>
      </c>
      <c r="S56" s="101" t="s">
        <v>228</v>
      </c>
      <c r="T56" s="101" t="s">
        <v>229</v>
      </c>
      <c r="U56" s="101" t="s">
        <v>142</v>
      </c>
      <c r="V56" s="101" t="s">
        <v>143</v>
      </c>
      <c r="W56" s="101" t="s">
        <v>230</v>
      </c>
      <c r="X56" s="102" t="s">
        <v>491</v>
      </c>
    </row>
    <row r="57" spans="1:59" s="159" customFormat="1" ht="11.25" x14ac:dyDescent="0.2">
      <c r="A57" s="154" t="s">
        <v>68</v>
      </c>
      <c r="B57" s="154" t="s">
        <v>601</v>
      </c>
      <c r="C57" s="155"/>
      <c r="D57" s="156">
        <v>1</v>
      </c>
      <c r="E57" s="157" t="s">
        <v>73</v>
      </c>
      <c r="F57" s="158" t="s">
        <v>73</v>
      </c>
      <c r="G57" s="158" t="str">
        <f ca="1">(INDIRECT("'Data'!S"&amp;($C$1))) &amp; " Smart Notes"</f>
        <v>Prev_RA-3521 Smart Notes</v>
      </c>
      <c r="H57" s="158"/>
      <c r="I57" s="158"/>
      <c r="J57" s="158"/>
      <c r="K57" s="158"/>
      <c r="L57" s="158"/>
      <c r="M57" s="158" t="s">
        <v>77</v>
      </c>
      <c r="N57" s="158" t="s">
        <v>77</v>
      </c>
      <c r="O57" s="158" t="s">
        <v>77</v>
      </c>
      <c r="P57" s="158" t="s">
        <v>77</v>
      </c>
      <c r="Q57" s="158"/>
      <c r="R57" s="158"/>
      <c r="S57" s="158"/>
      <c r="T57" s="158"/>
      <c r="U57" s="158"/>
      <c r="X57" s="158"/>
    </row>
    <row r="58" spans="1:59" s="107" customFormat="1" ht="6.75" x14ac:dyDescent="0.15">
      <c r="A58" s="140" t="s">
        <v>68</v>
      </c>
      <c r="B58" s="140" t="s">
        <v>455</v>
      </c>
      <c r="C58" s="92" t="s">
        <v>443</v>
      </c>
      <c r="D58" s="92" t="s">
        <v>444</v>
      </c>
      <c r="E58" s="106" t="s">
        <v>493</v>
      </c>
      <c r="F58" s="142" t="s">
        <v>491</v>
      </c>
    </row>
    <row r="59" spans="1:59" s="165" customFormat="1" ht="10.5" customHeight="1" x14ac:dyDescent="0.2">
      <c r="A59" s="160" t="s">
        <v>71</v>
      </c>
      <c r="B59" s="160" t="s">
        <v>761</v>
      </c>
      <c r="C59" s="161"/>
      <c r="D59" s="156">
        <v>1</v>
      </c>
      <c r="E59" s="162" t="s">
        <v>73</v>
      </c>
      <c r="F59" s="163"/>
      <c r="G59" s="163"/>
      <c r="H59" s="163"/>
      <c r="I59" s="163"/>
      <c r="J59" s="163"/>
      <c r="K59" s="163"/>
      <c r="L59" s="163"/>
      <c r="M59" s="163"/>
      <c r="N59" s="163"/>
      <c r="O59" s="163"/>
      <c r="P59" s="163"/>
      <c r="Q59" s="163"/>
      <c r="R59" s="163"/>
      <c r="S59" s="163"/>
      <c r="T59" s="163"/>
      <c r="U59" s="163"/>
      <c r="V59" s="163"/>
      <c r="W59" s="163"/>
      <c r="X59" s="164"/>
      <c r="Y59" s="163"/>
      <c r="Z59" s="163"/>
      <c r="AG59" s="163"/>
      <c r="AI59" s="163"/>
    </row>
    <row r="60" spans="1:59" s="107" customFormat="1" ht="6.75" x14ac:dyDescent="0.15">
      <c r="A60" s="140" t="s">
        <v>68</v>
      </c>
      <c r="B60" s="140" t="s">
        <v>455</v>
      </c>
      <c r="C60" s="92" t="s">
        <v>443</v>
      </c>
      <c r="D60" s="92" t="s">
        <v>444</v>
      </c>
      <c r="E60" s="106" t="s">
        <v>493</v>
      </c>
      <c r="F60" s="107" t="s">
        <v>823</v>
      </c>
      <c r="G60" s="107" t="s">
        <v>824</v>
      </c>
      <c r="H60" s="107" t="s">
        <v>223</v>
      </c>
      <c r="I60" s="107" t="s">
        <v>825</v>
      </c>
      <c r="J60" s="142" t="s">
        <v>491</v>
      </c>
    </row>
    <row r="61" spans="1:59" s="165" customFormat="1" ht="10.5" customHeight="1" x14ac:dyDescent="0.2">
      <c r="A61" s="160" t="s">
        <v>71</v>
      </c>
      <c r="B61" s="160" t="s">
        <v>762</v>
      </c>
      <c r="C61" s="161"/>
      <c r="D61" s="156">
        <v>1</v>
      </c>
      <c r="E61" s="162" t="s">
        <v>73</v>
      </c>
      <c r="F61" s="163" t="s">
        <v>73</v>
      </c>
      <c r="G61" s="163" t="s">
        <v>75</v>
      </c>
      <c r="H61" s="163"/>
      <c r="I61" s="163"/>
      <c r="J61" s="163"/>
      <c r="K61" s="163"/>
      <c r="L61" s="163"/>
      <c r="M61" s="163"/>
      <c r="N61" s="163"/>
      <c r="O61" s="163"/>
      <c r="P61" s="163"/>
      <c r="Q61" s="163"/>
      <c r="R61" s="163"/>
      <c r="S61" s="163"/>
      <c r="T61" s="163"/>
      <c r="U61" s="163"/>
      <c r="V61" s="163"/>
      <c r="W61" s="163"/>
      <c r="X61" s="163"/>
      <c r="Y61" s="163"/>
      <c r="Z61" s="164"/>
      <c r="AA61" s="163"/>
      <c r="AB61" s="163"/>
      <c r="AI61" s="163"/>
      <c r="AK61" s="163"/>
    </row>
    <row r="62" spans="1:59" s="111" customFormat="1" ht="6.75" x14ac:dyDescent="0.15">
      <c r="A62" s="92" t="s">
        <v>68</v>
      </c>
      <c r="B62" s="92" t="s">
        <v>455</v>
      </c>
      <c r="C62" s="92" t="s">
        <v>443</v>
      </c>
      <c r="D62" s="92" t="s">
        <v>444</v>
      </c>
      <c r="E62" s="100" t="s">
        <v>493</v>
      </c>
      <c r="F62" s="111" t="s">
        <v>569</v>
      </c>
      <c r="G62" s="111" t="s">
        <v>116</v>
      </c>
      <c r="H62" s="111" t="s">
        <v>117</v>
      </c>
      <c r="I62" s="111" t="s">
        <v>118</v>
      </c>
      <c r="J62" s="111" t="s">
        <v>123</v>
      </c>
      <c r="K62" s="111" t="s">
        <v>119</v>
      </c>
      <c r="L62" s="111" t="s">
        <v>221</v>
      </c>
      <c r="M62" s="111" t="s">
        <v>232</v>
      </c>
      <c r="N62" s="111" t="s">
        <v>603</v>
      </c>
      <c r="O62" s="111" t="s">
        <v>177</v>
      </c>
      <c r="P62" s="111" t="s">
        <v>169</v>
      </c>
      <c r="Q62" s="111" t="s">
        <v>170</v>
      </c>
      <c r="R62" s="111" t="s">
        <v>327</v>
      </c>
      <c r="S62" s="111" t="s">
        <v>328</v>
      </c>
      <c r="T62" s="111" t="s">
        <v>329</v>
      </c>
      <c r="U62" s="111" t="s">
        <v>329</v>
      </c>
      <c r="V62" s="111" t="s">
        <v>173</v>
      </c>
      <c r="W62" s="111" t="s">
        <v>174</v>
      </c>
      <c r="X62" s="111" t="s">
        <v>175</v>
      </c>
      <c r="Y62" s="111" t="s">
        <v>176</v>
      </c>
      <c r="Z62" s="111" t="s">
        <v>605</v>
      </c>
      <c r="AA62" s="111" t="s">
        <v>606</v>
      </c>
      <c r="AB62" s="111" t="s">
        <v>609</v>
      </c>
      <c r="AC62" s="111" t="s">
        <v>181</v>
      </c>
      <c r="AD62" s="111" t="s">
        <v>182</v>
      </c>
      <c r="AE62" s="111" t="s">
        <v>183</v>
      </c>
      <c r="AF62" s="111" t="s">
        <v>184</v>
      </c>
      <c r="AG62" s="111" t="s">
        <v>185</v>
      </c>
      <c r="AH62" s="111" t="s">
        <v>604</v>
      </c>
      <c r="AI62" s="111" t="s">
        <v>187</v>
      </c>
      <c r="AJ62" s="111" t="s">
        <v>607</v>
      </c>
      <c r="AK62" s="111" t="s">
        <v>608</v>
      </c>
      <c r="AL62" s="111" t="s">
        <v>198</v>
      </c>
      <c r="AM62" s="111" t="s">
        <v>199</v>
      </c>
      <c r="AN62" s="111" t="s">
        <v>200</v>
      </c>
      <c r="AO62" s="111" t="s">
        <v>610</v>
      </c>
      <c r="AP62" s="111" t="s">
        <v>611</v>
      </c>
      <c r="AQ62" s="111" t="s">
        <v>612</v>
      </c>
      <c r="AR62" s="111" t="s">
        <v>613</v>
      </c>
      <c r="AS62" s="111" t="s">
        <v>194</v>
      </c>
      <c r="AT62" s="111" t="s">
        <v>195</v>
      </c>
      <c r="AU62" s="111" t="s">
        <v>196</v>
      </c>
      <c r="AV62" s="111" t="s">
        <v>197</v>
      </c>
      <c r="AW62" s="111" t="s">
        <v>107</v>
      </c>
      <c r="AX62" s="111" t="s">
        <v>103</v>
      </c>
      <c r="AY62" s="111" t="s">
        <v>104</v>
      </c>
      <c r="AZ62" s="111" t="s">
        <v>105</v>
      </c>
      <c r="BA62" s="111" t="s">
        <v>106</v>
      </c>
      <c r="BB62" s="111" t="s">
        <v>266</v>
      </c>
      <c r="BC62" s="111" t="s">
        <v>272</v>
      </c>
      <c r="BD62" s="111" t="s">
        <v>273</v>
      </c>
      <c r="BE62" s="111" t="s">
        <v>274</v>
      </c>
      <c r="BF62" s="111" t="s">
        <v>271</v>
      </c>
      <c r="BG62" s="142" t="s">
        <v>491</v>
      </c>
    </row>
    <row r="63" spans="1:59" s="57" customFormat="1" ht="11.25" x14ac:dyDescent="0.2">
      <c r="A63" s="68" t="s">
        <v>71</v>
      </c>
      <c r="B63" s="68" t="s">
        <v>602</v>
      </c>
      <c r="C63" s="69"/>
      <c r="D63" s="70">
        <v>1</v>
      </c>
      <c r="E63" s="96" t="s">
        <v>73</v>
      </c>
      <c r="F63" s="89" t="s">
        <v>73</v>
      </c>
      <c r="G63" s="90" t="s">
        <v>75</v>
      </c>
      <c r="H63" s="90" t="s">
        <v>77</v>
      </c>
      <c r="I63" s="90" t="s">
        <v>77</v>
      </c>
      <c r="J63" s="90" t="s">
        <v>73</v>
      </c>
      <c r="K63" s="90" t="s">
        <v>120</v>
      </c>
      <c r="L63" s="90">
        <v>1</v>
      </c>
      <c r="M63" s="90" t="s">
        <v>233</v>
      </c>
      <c r="N63" s="90" t="str">
        <f ca="1">(INDIRECT("'Data'!AZ"&amp;($C$1)))</f>
        <v>LU4 9RY</v>
      </c>
      <c r="O63" s="90" t="str">
        <f ca="1">(INDIRECT("'Data'!CL"&amp;($C$1)))</f>
        <v>false</v>
      </c>
      <c r="P63" s="90">
        <f ca="1">(INDIRECT("'Data'!AS"&amp;($C$1)))</f>
        <v>0</v>
      </c>
      <c r="Q63" s="90">
        <f ca="1">(INDIRECT("'Data'!AR"&amp;($C$1)))</f>
        <v>0</v>
      </c>
      <c r="R63" s="60" t="str">
        <f ca="1">(INDIRECT("'Data'!CM"&amp;($C$1)))</f>
        <v>true</v>
      </c>
      <c r="S63" s="90" t="s">
        <v>77</v>
      </c>
      <c r="T63" s="90"/>
      <c r="U63" s="90"/>
      <c r="V63" s="90" t="str">
        <f ca="1">(INDIRECT("'Data'!CN"&amp;($C$1)))</f>
        <v>EXCHANGE GAS METER TO SECURE SMART CREDIT</v>
      </c>
      <c r="W63" s="90"/>
      <c r="X63" s="90"/>
      <c r="Y63" s="90"/>
      <c r="Z63" s="60">
        <v>12345</v>
      </c>
      <c r="AA63" s="60" t="s">
        <v>164</v>
      </c>
      <c r="AB63" s="60" t="s">
        <v>234</v>
      </c>
      <c r="AC63" s="90" t="s">
        <v>77</v>
      </c>
      <c r="AD63" s="90">
        <v>1</v>
      </c>
      <c r="AE63" s="90"/>
      <c r="AF63" s="90"/>
      <c r="AG63" s="90"/>
      <c r="AH63" s="57" t="s">
        <v>163</v>
      </c>
      <c r="AI63" s="89"/>
      <c r="AJ63" s="57" t="s">
        <v>75</v>
      </c>
      <c r="AL63" s="89"/>
      <c r="AM63" s="89"/>
      <c r="AN63" s="89"/>
      <c r="AS63" s="89"/>
      <c r="AT63" s="89"/>
      <c r="AU63" s="89"/>
      <c r="AV63" s="89" t="s">
        <v>73</v>
      </c>
      <c r="AW63" s="89"/>
      <c r="AX63" s="89"/>
      <c r="AY63" s="89"/>
      <c r="AZ63" s="89"/>
      <c r="BA63" s="89"/>
      <c r="BB63" s="90" t="str">
        <f ca="1">(INDIRECT("'Data'!CO"&amp;($C$1)))</f>
        <v>GAS_JOB_ID-3521</v>
      </c>
      <c r="BC63" s="89" t="s">
        <v>73</v>
      </c>
      <c r="BD63" s="89" t="s">
        <v>270</v>
      </c>
      <c r="BE63" s="89" t="s">
        <v>73</v>
      </c>
      <c r="BF63" s="89" t="s">
        <v>73</v>
      </c>
      <c r="BG63" s="85"/>
    </row>
    <row r="64" spans="1:59" s="111" customFormat="1" ht="6.75" x14ac:dyDescent="0.15">
      <c r="A64" s="92" t="s">
        <v>68</v>
      </c>
      <c r="B64" s="92" t="s">
        <v>455</v>
      </c>
      <c r="C64" s="92" t="s">
        <v>443</v>
      </c>
      <c r="D64" s="92" t="s">
        <v>444</v>
      </c>
      <c r="E64" s="100" t="s">
        <v>493</v>
      </c>
      <c r="F64" s="111" t="s">
        <v>616</v>
      </c>
      <c r="G64" s="111" t="s">
        <v>617</v>
      </c>
      <c r="H64" s="111" t="s">
        <v>619</v>
      </c>
      <c r="I64" s="111" t="s">
        <v>622</v>
      </c>
      <c r="J64" s="111" t="s">
        <v>618</v>
      </c>
      <c r="K64" s="111" t="s">
        <v>239</v>
      </c>
      <c r="L64" s="111" t="s">
        <v>615</v>
      </c>
      <c r="M64" s="112" t="s">
        <v>491</v>
      </c>
    </row>
    <row r="65" spans="1:32" s="57" customFormat="1" ht="11.25" customHeight="1" x14ac:dyDescent="0.2">
      <c r="A65" s="68" t="s">
        <v>71</v>
      </c>
      <c r="B65" s="68" t="s">
        <v>614</v>
      </c>
      <c r="C65" s="69"/>
      <c r="D65" s="91">
        <v>1</v>
      </c>
      <c r="E65" s="94" t="s">
        <v>73</v>
      </c>
      <c r="F65" s="48" t="str">
        <f ca="1">(INDIRECT("'Data'!CQ"&amp;($C$1)))</f>
        <v>100003521</v>
      </c>
      <c r="G65" s="48" t="str">
        <f ca="1">(INDIRECT("'Data'!CT"&amp;($C$1)))</f>
        <v>GMETER3521</v>
      </c>
      <c r="H65" s="48" t="str">
        <f ca="1">(INDIRECT("'Data'!DB"&amp;($C$1)))</f>
        <v>GAS_INST_ID-3521</v>
      </c>
      <c r="I65" s="48" t="str">
        <f ca="1">(INDIRECT("'Data'!DC"&amp;($C$1)))</f>
        <v>H</v>
      </c>
      <c r="J65" s="57" t="s">
        <v>704</v>
      </c>
      <c r="K65" s="57" t="s">
        <v>73</v>
      </c>
      <c r="L65" s="57" t="s">
        <v>623</v>
      </c>
      <c r="M65" s="55" t="s">
        <v>492</v>
      </c>
    </row>
    <row r="66" spans="1:32" s="111" customFormat="1" ht="6.75" x14ac:dyDescent="0.15">
      <c r="A66" s="92" t="s">
        <v>68</v>
      </c>
      <c r="B66" s="92" t="s">
        <v>69</v>
      </c>
      <c r="C66" s="92" t="s">
        <v>70</v>
      </c>
      <c r="D66" s="92" t="s">
        <v>444</v>
      </c>
      <c r="E66" s="100" t="s">
        <v>493</v>
      </c>
      <c r="F66" s="111" t="s">
        <v>633</v>
      </c>
      <c r="G66" s="111" t="s">
        <v>634</v>
      </c>
      <c r="H66" s="142" t="s">
        <v>491</v>
      </c>
      <c r="I66" s="111" t="s">
        <v>77</v>
      </c>
      <c r="J66" s="111" t="s">
        <v>77</v>
      </c>
      <c r="K66" s="111" t="s">
        <v>77</v>
      </c>
      <c r="L66" s="111" t="s">
        <v>77</v>
      </c>
      <c r="M66" s="111" t="s">
        <v>77</v>
      </c>
      <c r="N66" s="111" t="s">
        <v>77</v>
      </c>
    </row>
    <row r="67" spans="1:32" s="57" customFormat="1" ht="11.25" customHeight="1" x14ac:dyDescent="0.2">
      <c r="A67" s="118" t="s">
        <v>71</v>
      </c>
      <c r="B67" s="118" t="s">
        <v>621</v>
      </c>
      <c r="C67" s="119"/>
      <c r="D67" s="82">
        <v>1</v>
      </c>
      <c r="E67" s="94" t="s">
        <v>73</v>
      </c>
      <c r="F67" s="57" t="s">
        <v>120</v>
      </c>
      <c r="G67" s="59" t="s">
        <v>73</v>
      </c>
      <c r="H67" s="85"/>
      <c r="I67" s="60" t="s">
        <v>77</v>
      </c>
      <c r="J67" s="57" t="s">
        <v>77</v>
      </c>
      <c r="K67" s="57" t="s">
        <v>77</v>
      </c>
      <c r="L67" s="57" t="s">
        <v>77</v>
      </c>
      <c r="M67" s="57" t="s">
        <v>77</v>
      </c>
      <c r="N67" s="57" t="s">
        <v>77</v>
      </c>
    </row>
    <row r="68" spans="1:32" s="111" customFormat="1" ht="6.75" x14ac:dyDescent="0.15">
      <c r="A68" s="92" t="s">
        <v>68</v>
      </c>
      <c r="B68" s="167" t="s">
        <v>69</v>
      </c>
      <c r="C68" s="92" t="s">
        <v>70</v>
      </c>
      <c r="D68" s="92" t="s">
        <v>444</v>
      </c>
      <c r="E68" s="100" t="s">
        <v>493</v>
      </c>
      <c r="F68" s="111" t="s">
        <v>636</v>
      </c>
      <c r="G68" s="111" t="s">
        <v>245</v>
      </c>
      <c r="H68" s="111" t="s">
        <v>243</v>
      </c>
      <c r="I68" s="111" t="s">
        <v>244</v>
      </c>
      <c r="J68" s="142" t="s">
        <v>491</v>
      </c>
    </row>
    <row r="69" spans="1:32" s="57" customFormat="1" ht="11.25" customHeight="1" x14ac:dyDescent="0.2">
      <c r="A69" s="118" t="s">
        <v>71</v>
      </c>
      <c r="B69" s="118" t="s">
        <v>635</v>
      </c>
      <c r="C69" s="119" t="s">
        <v>77</v>
      </c>
      <c r="D69" s="82">
        <v>1</v>
      </c>
      <c r="E69" s="94" t="s">
        <v>73</v>
      </c>
      <c r="F69" s="60">
        <v>888888</v>
      </c>
      <c r="G69" s="60"/>
      <c r="H69" s="60"/>
      <c r="I69" s="60"/>
      <c r="J69" s="85"/>
      <c r="K69" s="60"/>
      <c r="L69" s="60"/>
      <c r="M69" s="59"/>
    </row>
    <row r="70" spans="1:32" s="111" customFormat="1" ht="6.75" x14ac:dyDescent="0.15">
      <c r="A70" s="92" t="s">
        <v>68</v>
      </c>
      <c r="B70" s="92" t="s">
        <v>69</v>
      </c>
      <c r="C70" s="92" t="s">
        <v>70</v>
      </c>
      <c r="D70" s="92" t="s">
        <v>444</v>
      </c>
      <c r="E70" s="100" t="s">
        <v>493</v>
      </c>
      <c r="F70" s="111" t="s">
        <v>638</v>
      </c>
      <c r="G70" s="111" t="s">
        <v>639</v>
      </c>
      <c r="H70" s="111" t="s">
        <v>640</v>
      </c>
      <c r="I70" s="111" t="s">
        <v>576</v>
      </c>
      <c r="J70" s="142" t="s">
        <v>491</v>
      </c>
    </row>
    <row r="71" spans="1:32" s="57" customFormat="1" ht="11.25" customHeight="1" x14ac:dyDescent="0.2">
      <c r="A71" s="118" t="s">
        <v>71</v>
      </c>
      <c r="B71" s="118" t="s">
        <v>637</v>
      </c>
      <c r="C71" s="119"/>
      <c r="D71" s="117">
        <v>1</v>
      </c>
      <c r="E71" s="94" t="s">
        <v>73</v>
      </c>
      <c r="F71" s="60" t="str">
        <f ca="1">("G00G"&amp;RIGHT(F11,6))</f>
        <v>G00G0</v>
      </c>
      <c r="G71" s="60" t="s">
        <v>763</v>
      </c>
      <c r="H71" s="60" t="s">
        <v>813</v>
      </c>
      <c r="I71" s="60" t="s">
        <v>324</v>
      </c>
      <c r="J71" s="85"/>
    </row>
    <row r="72" spans="1:32" s="111" customFormat="1" ht="6.75" x14ac:dyDescent="0.15">
      <c r="A72" s="92" t="s">
        <v>68</v>
      </c>
      <c r="B72" s="92" t="s">
        <v>69</v>
      </c>
      <c r="C72" s="92" t="s">
        <v>70</v>
      </c>
      <c r="D72" s="92" t="s">
        <v>444</v>
      </c>
      <c r="E72" s="100" t="s">
        <v>493</v>
      </c>
      <c r="F72" s="111" t="s">
        <v>644</v>
      </c>
      <c r="G72" s="111" t="s">
        <v>645</v>
      </c>
      <c r="H72" s="111" t="s">
        <v>646</v>
      </c>
      <c r="I72" s="142" t="s">
        <v>491</v>
      </c>
    </row>
    <row r="73" spans="1:32" s="57" customFormat="1" ht="11.25" customHeight="1" x14ac:dyDescent="0.2">
      <c r="A73" s="118" t="s">
        <v>71</v>
      </c>
      <c r="B73" s="118" t="s">
        <v>641</v>
      </c>
      <c r="C73" s="119"/>
      <c r="D73" s="82">
        <v>1</v>
      </c>
      <c r="E73" s="94" t="s">
        <v>73</v>
      </c>
      <c r="F73" s="57" t="s">
        <v>705</v>
      </c>
      <c r="I73" s="85"/>
    </row>
    <row r="74" spans="1:32" s="101" customFormat="1" ht="6.75" x14ac:dyDescent="0.15">
      <c r="A74" s="101" t="s">
        <v>68</v>
      </c>
      <c r="B74" s="101" t="s">
        <v>69</v>
      </c>
      <c r="C74" s="101" t="s">
        <v>70</v>
      </c>
      <c r="D74" s="101" t="s">
        <v>444</v>
      </c>
      <c r="E74" s="101" t="s">
        <v>493</v>
      </c>
      <c r="F74" s="101" t="s">
        <v>649</v>
      </c>
      <c r="G74" s="101" t="s">
        <v>650</v>
      </c>
      <c r="H74" s="101" t="s">
        <v>651</v>
      </c>
      <c r="I74" s="101" t="s">
        <v>491</v>
      </c>
    </row>
    <row r="75" spans="1:32" s="57" customFormat="1" ht="11.25" customHeight="1" x14ac:dyDescent="0.2">
      <c r="A75" s="118" t="s">
        <v>71</v>
      </c>
      <c r="B75" s="118" t="s">
        <v>648</v>
      </c>
      <c r="C75" s="119" t="s">
        <v>325</v>
      </c>
      <c r="D75" s="82">
        <v>1</v>
      </c>
      <c r="E75" s="94" t="s">
        <v>73</v>
      </c>
      <c r="F75" s="57" t="s">
        <v>73</v>
      </c>
      <c r="G75" s="57" t="s">
        <v>653</v>
      </c>
      <c r="H75" s="57" t="s">
        <v>65</v>
      </c>
      <c r="I75" s="55"/>
    </row>
    <row r="76" spans="1:32" s="101" customFormat="1" ht="6.75" x14ac:dyDescent="0.15">
      <c r="A76" s="101" t="s">
        <v>68</v>
      </c>
      <c r="B76" s="101" t="s">
        <v>69</v>
      </c>
      <c r="C76" s="101" t="s">
        <v>70</v>
      </c>
      <c r="D76" s="101" t="s">
        <v>444</v>
      </c>
      <c r="E76" s="101" t="s">
        <v>493</v>
      </c>
      <c r="F76" s="101" t="s">
        <v>249</v>
      </c>
      <c r="G76" s="101" t="s">
        <v>250</v>
      </c>
      <c r="H76" s="101" t="s">
        <v>251</v>
      </c>
      <c r="I76" s="101" t="s">
        <v>252</v>
      </c>
      <c r="J76" s="101" t="s">
        <v>654</v>
      </c>
      <c r="K76" s="101" t="s">
        <v>655</v>
      </c>
      <c r="L76" s="101" t="s">
        <v>656</v>
      </c>
      <c r="M76" s="101" t="s">
        <v>553</v>
      </c>
      <c r="N76" s="101" t="s">
        <v>657</v>
      </c>
      <c r="O76" s="101" t="s">
        <v>658</v>
      </c>
      <c r="P76" s="101" t="s">
        <v>659</v>
      </c>
      <c r="Q76" s="101" t="s">
        <v>661</v>
      </c>
      <c r="R76" s="101" t="s">
        <v>662</v>
      </c>
      <c r="S76" s="101" t="s">
        <v>663</v>
      </c>
      <c r="T76" s="101" t="s">
        <v>664</v>
      </c>
      <c r="U76" s="101" t="s">
        <v>223</v>
      </c>
      <c r="V76" s="101" t="s">
        <v>640</v>
      </c>
      <c r="W76" s="101" t="s">
        <v>665</v>
      </c>
      <c r="X76" s="101" t="s">
        <v>666</v>
      </c>
      <c r="Y76" s="101" t="s">
        <v>667</v>
      </c>
      <c r="Z76" s="101" t="s">
        <v>668</v>
      </c>
      <c r="AA76" s="101" t="s">
        <v>669</v>
      </c>
      <c r="AB76" s="101" t="s">
        <v>670</v>
      </c>
      <c r="AC76" s="101" t="s">
        <v>671</v>
      </c>
      <c r="AD76" s="101" t="s">
        <v>672</v>
      </c>
      <c r="AE76" s="101" t="s">
        <v>660</v>
      </c>
      <c r="AF76" s="142" t="s">
        <v>491</v>
      </c>
    </row>
    <row r="77" spans="1:32" s="57" customFormat="1" ht="11.25" x14ac:dyDescent="0.2">
      <c r="A77" s="118" t="s">
        <v>71</v>
      </c>
      <c r="B77" s="118" t="s">
        <v>652</v>
      </c>
      <c r="C77" s="119" t="s">
        <v>77</v>
      </c>
      <c r="D77" s="117">
        <v>1</v>
      </c>
      <c r="E77" s="94" t="s">
        <v>73</v>
      </c>
      <c r="F77" s="60" t="s">
        <v>75</v>
      </c>
      <c r="G77" s="60"/>
      <c r="H77" s="60"/>
      <c r="I77" s="60" t="s">
        <v>253</v>
      </c>
      <c r="J77" s="59" t="s">
        <v>75</v>
      </c>
      <c r="K77" s="59"/>
      <c r="L77" s="59"/>
      <c r="M77" s="59"/>
      <c r="N77" s="59"/>
      <c r="O77" s="59"/>
      <c r="P77" s="60" t="s">
        <v>75</v>
      </c>
      <c r="Q77" s="60"/>
      <c r="R77" s="60"/>
      <c r="S77" s="60" t="s">
        <v>73</v>
      </c>
      <c r="T77" s="60"/>
      <c r="U77" s="60"/>
      <c r="V77" s="60"/>
      <c r="W77" s="60" t="s">
        <v>73</v>
      </c>
      <c r="X77" s="60" t="s">
        <v>259</v>
      </c>
      <c r="Y77" s="60"/>
      <c r="Z77" s="60"/>
      <c r="AA77" s="60"/>
      <c r="AB77" s="60"/>
      <c r="AC77" s="60"/>
      <c r="AD77" s="60"/>
      <c r="AE77" s="60"/>
      <c r="AF77" s="85"/>
    </row>
    <row r="78" spans="1:32" s="101" customFormat="1" ht="6.75" x14ac:dyDescent="0.15">
      <c r="A78" s="101" t="s">
        <v>68</v>
      </c>
      <c r="B78" s="101" t="s">
        <v>69</v>
      </c>
      <c r="C78" s="101" t="s">
        <v>70</v>
      </c>
      <c r="D78" s="101" t="s">
        <v>444</v>
      </c>
      <c r="E78" s="101" t="s">
        <v>493</v>
      </c>
      <c r="F78" s="101" t="s">
        <v>683</v>
      </c>
      <c r="G78" s="101" t="s">
        <v>684</v>
      </c>
      <c r="H78" s="101" t="s">
        <v>685</v>
      </c>
      <c r="I78" s="101" t="s">
        <v>1</v>
      </c>
      <c r="J78" s="101" t="s">
        <v>2</v>
      </c>
      <c r="K78" s="101" t="s">
        <v>3</v>
      </c>
      <c r="L78" s="101" t="s">
        <v>688</v>
      </c>
      <c r="M78" s="101" t="s">
        <v>687</v>
      </c>
      <c r="N78" s="101" t="s">
        <v>686</v>
      </c>
      <c r="O78" s="101" t="s">
        <v>676</v>
      </c>
      <c r="P78" s="101" t="s">
        <v>689</v>
      </c>
      <c r="Q78" s="101" t="s">
        <v>691</v>
      </c>
      <c r="R78" s="101" t="s">
        <v>692</v>
      </c>
      <c r="S78" s="101" t="s">
        <v>693</v>
      </c>
      <c r="T78" s="101" t="s">
        <v>694</v>
      </c>
      <c r="U78" s="101" t="s">
        <v>695</v>
      </c>
      <c r="V78" s="101" t="s">
        <v>696</v>
      </c>
      <c r="W78" s="101" t="s">
        <v>682</v>
      </c>
      <c r="X78" s="101" t="s">
        <v>491</v>
      </c>
      <c r="Y78" s="101" t="s">
        <v>677</v>
      </c>
      <c r="Z78" s="142" t="s">
        <v>491</v>
      </c>
    </row>
    <row r="79" spans="1:32" s="57" customFormat="1" ht="11.25" customHeight="1" x14ac:dyDescent="0.2">
      <c r="A79" s="118" t="s">
        <v>71</v>
      </c>
      <c r="B79" s="118" t="s">
        <v>675</v>
      </c>
      <c r="C79" s="119"/>
      <c r="D79" s="82">
        <v>1</v>
      </c>
      <c r="E79" s="94" t="s">
        <v>73</v>
      </c>
      <c r="F79" s="57" t="s">
        <v>73</v>
      </c>
      <c r="G79" s="57" t="s">
        <v>75</v>
      </c>
      <c r="O79" s="57" t="s">
        <v>73</v>
      </c>
      <c r="P79" s="57" t="s">
        <v>690</v>
      </c>
      <c r="Q79" s="57" t="s">
        <v>73</v>
      </c>
      <c r="R79" s="57" t="s">
        <v>73</v>
      </c>
      <c r="S79" s="57" t="s">
        <v>254</v>
      </c>
      <c r="T79" s="57" t="s">
        <v>108</v>
      </c>
      <c r="U79" s="57" t="s">
        <v>764</v>
      </c>
      <c r="V79" s="57" t="s">
        <v>73</v>
      </c>
      <c r="W79" s="57" t="s">
        <v>73</v>
      </c>
      <c r="X79" s="55"/>
      <c r="Y79" s="57" t="s">
        <v>73</v>
      </c>
      <c r="Z79" s="85"/>
    </row>
    <row r="80" spans="1:32" s="145" customFormat="1" ht="6.75" x14ac:dyDescent="0.15">
      <c r="A80" s="145" t="s">
        <v>68</v>
      </c>
      <c r="B80" s="145" t="s">
        <v>455</v>
      </c>
      <c r="C80" s="145" t="s">
        <v>443</v>
      </c>
      <c r="D80" s="145" t="s">
        <v>444</v>
      </c>
      <c r="E80" s="145" t="s">
        <v>493</v>
      </c>
      <c r="F80" s="145" t="s">
        <v>797</v>
      </c>
      <c r="G80" s="145" t="s">
        <v>800</v>
      </c>
      <c r="H80" s="145" t="s">
        <v>798</v>
      </c>
      <c r="I80" s="145" t="s">
        <v>815</v>
      </c>
      <c r="J80" s="145" t="s">
        <v>814</v>
      </c>
      <c r="K80" s="148" t="s">
        <v>491</v>
      </c>
    </row>
    <row r="81" spans="1:45" s="78" customFormat="1" ht="11.25" x14ac:dyDescent="0.2">
      <c r="A81" s="68" t="s">
        <v>71</v>
      </c>
      <c r="B81" s="68" t="s">
        <v>799</v>
      </c>
      <c r="C81" s="69"/>
      <c r="D81" s="70">
        <v>1</v>
      </c>
      <c r="E81" s="94" t="s">
        <v>73</v>
      </c>
      <c r="F81" s="78" t="s">
        <v>73</v>
      </c>
      <c r="H81" s="78" t="s">
        <v>73</v>
      </c>
      <c r="I81" s="78" t="s">
        <v>73</v>
      </c>
      <c r="J81" s="78" t="s">
        <v>73</v>
      </c>
      <c r="K81" s="85"/>
    </row>
    <row r="82" spans="1:45" s="145" customFormat="1" ht="6.75" x14ac:dyDescent="0.15">
      <c r="A82" s="145" t="s">
        <v>68</v>
      </c>
      <c r="B82" s="145" t="s">
        <v>455</v>
      </c>
      <c r="C82" s="145" t="s">
        <v>443</v>
      </c>
      <c r="D82" s="145" t="s">
        <v>444</v>
      </c>
      <c r="E82" s="145" t="s">
        <v>493</v>
      </c>
      <c r="F82" s="145" t="s">
        <v>801</v>
      </c>
      <c r="G82" s="148" t="s">
        <v>491</v>
      </c>
    </row>
    <row r="83" spans="1:45" s="78" customFormat="1" ht="11.25" x14ac:dyDescent="0.2">
      <c r="A83" s="68" t="s">
        <v>71</v>
      </c>
      <c r="B83" s="68" t="s">
        <v>804</v>
      </c>
      <c r="C83" s="69"/>
      <c r="D83" s="70">
        <v>1</v>
      </c>
      <c r="E83" s="94" t="s">
        <v>73</v>
      </c>
      <c r="F83" s="78" t="s">
        <v>758</v>
      </c>
      <c r="G83" s="85"/>
    </row>
    <row r="84" spans="1:45" s="145" customFormat="1" ht="6.75" x14ac:dyDescent="0.15">
      <c r="A84" s="145" t="s">
        <v>68</v>
      </c>
      <c r="B84" s="145" t="s">
        <v>455</v>
      </c>
      <c r="C84" s="145" t="s">
        <v>443</v>
      </c>
      <c r="D84" s="145" t="s">
        <v>444</v>
      </c>
      <c r="E84" s="145" t="s">
        <v>493</v>
      </c>
      <c r="F84" s="145" t="s">
        <v>802</v>
      </c>
      <c r="G84" s="145" t="s">
        <v>803</v>
      </c>
      <c r="H84" s="148" t="s">
        <v>491</v>
      </c>
    </row>
    <row r="85" spans="1:45" s="57" customFormat="1" ht="11.25" x14ac:dyDescent="0.2">
      <c r="A85" s="68" t="s">
        <v>71</v>
      </c>
      <c r="B85" s="68" t="s">
        <v>805</v>
      </c>
      <c r="C85" s="69"/>
      <c r="D85" s="70">
        <v>1</v>
      </c>
      <c r="E85" s="94" t="s">
        <v>73</v>
      </c>
      <c r="F85" s="78" t="s">
        <v>73</v>
      </c>
      <c r="G85" s="78" t="s">
        <v>73</v>
      </c>
      <c r="H85" s="85"/>
      <c r="I85" s="78"/>
      <c r="J85" s="78"/>
      <c r="K85" s="78"/>
      <c r="L85" s="78"/>
      <c r="M85" s="78"/>
      <c r="N85" s="78"/>
      <c r="O85" s="78"/>
      <c r="P85" s="78"/>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row>
    <row r="86" spans="1:45" s="101" customFormat="1" ht="7.5" customHeight="1" x14ac:dyDescent="0.15">
      <c r="A86" s="101" t="s">
        <v>68</v>
      </c>
      <c r="B86" s="101" t="s">
        <v>69</v>
      </c>
      <c r="C86" s="101" t="s">
        <v>70</v>
      </c>
      <c r="D86" s="101" t="s">
        <v>444</v>
      </c>
      <c r="E86" s="101" t="s">
        <v>493</v>
      </c>
      <c r="F86" s="101" t="s">
        <v>697</v>
      </c>
      <c r="G86" s="101" t="s">
        <v>698</v>
      </c>
      <c r="H86" s="101" t="s">
        <v>699</v>
      </c>
      <c r="I86" s="101" t="s">
        <v>700</v>
      </c>
      <c r="J86" s="101" t="s">
        <v>701</v>
      </c>
      <c r="K86" s="206" t="s">
        <v>838</v>
      </c>
      <c r="L86" s="145" t="s">
        <v>839</v>
      </c>
      <c r="M86" s="101" t="s">
        <v>471</v>
      </c>
      <c r="N86" s="101" t="s">
        <v>475</v>
      </c>
      <c r="O86" s="101" t="s">
        <v>491</v>
      </c>
    </row>
    <row r="87" spans="1:45" s="57" customFormat="1" ht="11.25" customHeight="1" x14ac:dyDescent="0.2">
      <c r="A87" s="118" t="s">
        <v>71</v>
      </c>
      <c r="B87" s="118" t="s">
        <v>144</v>
      </c>
      <c r="C87" s="118"/>
      <c r="D87" s="82">
        <v>1</v>
      </c>
      <c r="E87" s="94" t="s">
        <v>73</v>
      </c>
      <c r="F87" s="60" t="s">
        <v>759</v>
      </c>
      <c r="G87" s="60" t="s">
        <v>765</v>
      </c>
      <c r="H87" s="60" t="s">
        <v>73</v>
      </c>
      <c r="I87" s="60" t="s">
        <v>73</v>
      </c>
      <c r="J87" s="60" t="s">
        <v>73</v>
      </c>
      <c r="K87" s="207"/>
      <c r="L87" s="60" t="s">
        <v>73</v>
      </c>
      <c r="M87" s="60" t="s">
        <v>702</v>
      </c>
      <c r="N87" s="48">
        <f ca="1">(INDIRECT("'Data'!CD"&amp;($C$1)))</f>
        <v>0</v>
      </c>
      <c r="O87" s="55"/>
      <c r="P87" s="60"/>
      <c r="Q87" s="60"/>
      <c r="R87" s="60"/>
      <c r="S87" s="60"/>
      <c r="T87" s="60"/>
    </row>
    <row r="88" spans="1:45" s="145" customFormat="1" ht="6" customHeight="1" x14ac:dyDescent="0.15">
      <c r="A88" s="145" t="s">
        <v>68</v>
      </c>
      <c r="B88" s="145" t="s">
        <v>455</v>
      </c>
      <c r="C88" s="145" t="s">
        <v>443</v>
      </c>
      <c r="D88" s="145" t="s">
        <v>444</v>
      </c>
      <c r="E88" s="145" t="s">
        <v>493</v>
      </c>
      <c r="F88" s="145" t="s">
        <v>807</v>
      </c>
      <c r="G88" s="145" t="s">
        <v>808</v>
      </c>
      <c r="H88" s="148" t="s">
        <v>471</v>
      </c>
      <c r="I88" s="148" t="s">
        <v>491</v>
      </c>
    </row>
    <row r="89" spans="1:45" s="57" customFormat="1" ht="11.25" customHeight="1" x14ac:dyDescent="0.2">
      <c r="A89" s="68" t="s">
        <v>71</v>
      </c>
      <c r="B89" s="68" t="s">
        <v>806</v>
      </c>
      <c r="C89" s="69"/>
      <c r="D89" s="70">
        <v>1</v>
      </c>
      <c r="E89" s="94" t="s">
        <v>73</v>
      </c>
      <c r="F89" s="78" t="s">
        <v>73</v>
      </c>
      <c r="G89" s="78" t="s">
        <v>73</v>
      </c>
      <c r="H89" s="85" t="s">
        <v>809</v>
      </c>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78"/>
      <c r="AI89" s="78"/>
      <c r="AJ89" s="78"/>
      <c r="AK89" s="78"/>
      <c r="AL89" s="78"/>
      <c r="AM89" s="78"/>
      <c r="AN89" s="78"/>
      <c r="AO89" s="78"/>
      <c r="AP89" s="78"/>
      <c r="AQ89" s="78"/>
      <c r="AR89" s="78"/>
      <c r="AS89" s="78"/>
    </row>
    <row r="90" spans="1:45" s="101" customFormat="1" ht="6.75" x14ac:dyDescent="0.15">
      <c r="A90" s="101" t="s">
        <v>68</v>
      </c>
      <c r="B90" s="101" t="s">
        <v>69</v>
      </c>
      <c r="C90" s="101" t="s">
        <v>70</v>
      </c>
      <c r="D90" s="101" t="s">
        <v>444</v>
      </c>
      <c r="E90" s="101" t="s">
        <v>493</v>
      </c>
      <c r="F90" s="101" t="s">
        <v>475</v>
      </c>
      <c r="G90" s="101" t="s">
        <v>84</v>
      </c>
      <c r="H90" s="101" t="s">
        <v>82</v>
      </c>
      <c r="I90" s="101" t="s">
        <v>145</v>
      </c>
      <c r="J90" s="101" t="s">
        <v>146</v>
      </c>
      <c r="K90" s="101" t="s">
        <v>147</v>
      </c>
      <c r="L90" s="101" t="s">
        <v>148</v>
      </c>
      <c r="M90" s="101" t="s">
        <v>326</v>
      </c>
      <c r="N90" s="101" t="s">
        <v>149</v>
      </c>
      <c r="O90" s="101" t="s">
        <v>150</v>
      </c>
      <c r="P90" s="101" t="s">
        <v>151</v>
      </c>
      <c r="Q90" s="101" t="s">
        <v>152</v>
      </c>
      <c r="R90" s="101" t="s">
        <v>330</v>
      </c>
      <c r="S90" s="101" t="s">
        <v>153</v>
      </c>
      <c r="T90" s="145" t="s">
        <v>840</v>
      </c>
      <c r="U90" s="145" t="s">
        <v>841</v>
      </c>
      <c r="V90" s="142" t="s">
        <v>491</v>
      </c>
    </row>
    <row r="91" spans="1:45" s="57" customFormat="1" ht="11.25" customHeight="1" x14ac:dyDescent="0.2">
      <c r="A91" s="118" t="s">
        <v>71</v>
      </c>
      <c r="B91" s="118" t="s">
        <v>156</v>
      </c>
      <c r="C91" s="118"/>
      <c r="D91" s="82">
        <v>1</v>
      </c>
      <c r="E91" s="94" t="s">
        <v>73</v>
      </c>
      <c r="F91" s="48">
        <f ca="1">(INDIRECT("'Data'!CD"&amp;($C$1)))</f>
        <v>0</v>
      </c>
      <c r="G91" s="130" t="str">
        <f ca="1">(INDIRECT("'Data'!F"&amp;($C$1)))</f>
        <v>EXCHANGE GAS METER TO SECURE SMART CREDIT</v>
      </c>
      <c r="H91" s="130" t="str">
        <f ca="1">(INDIRECT("'Data'!AW"&amp;($C$1)))</f>
        <v>EXCH1 ROAD</v>
      </c>
      <c r="I91" s="49" t="str">
        <f ca="1">(INDIRECT("'Data'!X"&amp;($C$1)))</f>
        <v>SPRK</v>
      </c>
      <c r="J91" s="49">
        <f ca="1">(INDIRECT("'Data'!BG"&amp;($C$1)))</f>
        <v>0</v>
      </c>
      <c r="K91" s="49">
        <f ca="1">(INDIRECT("'Data'!BL"&amp;($C$1)))</f>
        <v>0</v>
      </c>
      <c r="L91" s="59" t="str">
        <f>F43</f>
        <v>123456</v>
      </c>
      <c r="M91" s="58" t="str">
        <f>F39</f>
        <v>Z89K12398</v>
      </c>
      <c r="N91" s="60" t="str">
        <f>M47</f>
        <v>Test Witness name</v>
      </c>
      <c r="O91" s="49" t="str">
        <f ca="1">(INDIRECT("'Data'!CN"&amp;($C$1)))</f>
        <v>EXCHANGE GAS METER TO SECURE SMART CREDIT</v>
      </c>
      <c r="P91" s="49" t="str">
        <f ca="1">(INDIRECT("'Data'!CQ"&amp;($C$1)))</f>
        <v>100003521</v>
      </c>
      <c r="Q91" s="137" t="str">
        <f>J65</f>
        <v>54321</v>
      </c>
      <c r="R91" s="60" t="str">
        <f ca="1">F71</f>
        <v>G00G0</v>
      </c>
      <c r="S91" s="59" t="str">
        <f>F73</f>
        <v>00005</v>
      </c>
      <c r="T91" s="60" t="s">
        <v>73</v>
      </c>
      <c r="U91" s="59" t="s">
        <v>73</v>
      </c>
      <c r="V91" s="85"/>
    </row>
    <row r="92" spans="1:45" s="101" customFormat="1" ht="6.75" x14ac:dyDescent="0.15">
      <c r="A92" s="101" t="s">
        <v>68</v>
      </c>
      <c r="B92" s="101" t="s">
        <v>69</v>
      </c>
      <c r="C92" s="101" t="s">
        <v>70</v>
      </c>
      <c r="D92" s="101" t="s">
        <v>444</v>
      </c>
      <c r="E92" s="101" t="s">
        <v>493</v>
      </c>
      <c r="F92" s="101" t="s">
        <v>707</v>
      </c>
      <c r="G92" s="101" t="s">
        <v>708</v>
      </c>
      <c r="H92" s="101" t="s">
        <v>709</v>
      </c>
      <c r="I92" s="101" t="s">
        <v>710</v>
      </c>
      <c r="J92" s="101" t="s">
        <v>711</v>
      </c>
      <c r="K92" s="101" t="s">
        <v>712</v>
      </c>
      <c r="L92" s="101" t="s">
        <v>713</v>
      </c>
      <c r="M92" s="101" t="s">
        <v>475</v>
      </c>
      <c r="N92" s="101" t="s">
        <v>491</v>
      </c>
    </row>
    <row r="93" spans="1:45" s="57" customFormat="1" ht="11.25" customHeight="1" x14ac:dyDescent="0.2">
      <c r="A93" s="118" t="s">
        <v>71</v>
      </c>
      <c r="B93" s="118" t="s">
        <v>706</v>
      </c>
      <c r="C93" s="118"/>
      <c r="D93" s="117">
        <v>1</v>
      </c>
      <c r="E93" s="117" t="s">
        <v>73</v>
      </c>
      <c r="F93" s="60" t="s">
        <v>73</v>
      </c>
      <c r="G93" s="60" t="s">
        <v>75</v>
      </c>
      <c r="H93" s="60" t="s">
        <v>714</v>
      </c>
      <c r="I93" s="60" t="s">
        <v>155</v>
      </c>
      <c r="J93" s="60" t="s">
        <v>75</v>
      </c>
      <c r="K93" s="60" t="s">
        <v>643</v>
      </c>
      <c r="L93" s="60" t="s">
        <v>75</v>
      </c>
      <c r="M93" s="48">
        <f ca="1">(INDIRECT("'Data'!CD"&amp;($C$1)))</f>
        <v>0</v>
      </c>
      <c r="N93" s="55"/>
      <c r="O93" s="60"/>
      <c r="P93" s="60"/>
      <c r="Q93" s="60"/>
      <c r="R93" s="60"/>
      <c r="S93" s="60"/>
    </row>
    <row r="94" spans="1:45" s="101" customFormat="1" ht="6.75" x14ac:dyDescent="0.15">
      <c r="A94" s="101" t="s">
        <v>68</v>
      </c>
      <c r="B94" s="101" t="s">
        <v>69</v>
      </c>
      <c r="C94" s="101" t="s">
        <v>70</v>
      </c>
      <c r="D94" s="101" t="s">
        <v>444</v>
      </c>
      <c r="E94" s="101" t="s">
        <v>493</v>
      </c>
      <c r="F94" s="101" t="s">
        <v>85</v>
      </c>
      <c r="G94" s="142"/>
    </row>
    <row r="95" spans="1:45" s="57" customFormat="1" ht="11.25" customHeight="1" x14ac:dyDescent="0.2">
      <c r="A95" s="57" t="s">
        <v>71</v>
      </c>
      <c r="B95" s="57" t="s">
        <v>76</v>
      </c>
      <c r="D95" s="81">
        <v>1</v>
      </c>
      <c r="E95" s="94" t="s">
        <v>73</v>
      </c>
      <c r="F95" s="60" t="s">
        <v>86</v>
      </c>
      <c r="G95" s="85"/>
      <c r="J95" s="131"/>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xr:uid="{00000000-0002-0000-0700-000000000000}"/>
    <dataValidation allowBlank="1" showInputMessage="1" showErrorMessage="1" prompt="(L)ow or (M)edium" sqref="F50" xr:uid="{00000000-0002-0000-0700-00000100000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xr:uid="{00000000-0002-0000-0700-000002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700-000003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700-000004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700-000005000000}"/>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4" tint="-0.249977111117893"/>
  </sheetPr>
  <dimension ref="A1:BF94"/>
  <sheetViews>
    <sheetView zoomScale="120" zoomScaleNormal="120" workbookViewId="0">
      <selection activeCell="K68" sqref="K68"/>
    </sheetView>
  </sheetViews>
  <sheetFormatPr defaultRowHeight="11.25" customHeight="1" x14ac:dyDescent="0.2"/>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99"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2" customFormat="1" ht="6.75" x14ac:dyDescent="0.15">
      <c r="A1" s="102" t="s">
        <v>494</v>
      </c>
      <c r="B1" s="102" t="s">
        <v>95</v>
      </c>
      <c r="C1" s="102" t="s">
        <v>782</v>
      </c>
      <c r="D1" s="102" t="s">
        <v>49</v>
      </c>
      <c r="E1" s="100"/>
      <c r="G1" s="141"/>
      <c r="I1" s="104"/>
    </row>
    <row r="2" spans="1:27" s="102" customFormat="1" ht="6.75" x14ac:dyDescent="0.15">
      <c r="A2" s="102" t="s">
        <v>68</v>
      </c>
      <c r="B2" s="102" t="s">
        <v>455</v>
      </c>
      <c r="C2" s="102" t="s">
        <v>443</v>
      </c>
      <c r="D2" s="102" t="s">
        <v>444</v>
      </c>
      <c r="E2" s="100" t="s">
        <v>493</v>
      </c>
      <c r="F2" s="102" t="s">
        <v>445</v>
      </c>
      <c r="G2" s="102" t="s">
        <v>115</v>
      </c>
      <c r="H2" s="102" t="s">
        <v>436</v>
      </c>
      <c r="I2" s="102" t="s">
        <v>446</v>
      </c>
      <c r="J2" s="107"/>
    </row>
    <row r="3" spans="1:27" s="44" customFormat="1" x14ac:dyDescent="0.2">
      <c r="A3" s="64" t="s">
        <v>71</v>
      </c>
      <c r="B3" s="64" t="s">
        <v>72</v>
      </c>
      <c r="C3" s="64"/>
      <c r="D3" s="65">
        <v>1</v>
      </c>
      <c r="E3" s="93" t="s">
        <v>73</v>
      </c>
      <c r="F3" s="49" t="str">
        <f>'Run Parameters'!B5</f>
        <v>Automation2</v>
      </c>
      <c r="G3" s="49" t="str">
        <f>'Run Parameters'!B6</f>
        <v>Aut0m4t1on2</v>
      </c>
      <c r="H3" s="49" t="str">
        <f>'Run Parameters'!B7</f>
        <v>https://siemens-og-bykrw4fcu3rstavmq2kialtm-sdg1-dev.mbaas1.sdg.feedhenry.com/#/login</v>
      </c>
      <c r="I3" s="45" t="s">
        <v>73</v>
      </c>
      <c r="J3" s="85"/>
      <c r="K3" s="46"/>
      <c r="L3" s="46"/>
      <c r="M3" s="46"/>
      <c r="N3" s="46"/>
      <c r="O3" s="46"/>
      <c r="P3" s="46"/>
      <c r="Q3" s="46"/>
      <c r="R3" s="47"/>
      <c r="S3" s="46"/>
      <c r="T3" s="46"/>
      <c r="U3" s="46"/>
    </row>
    <row r="4" spans="1:27" s="102" customFormat="1" ht="6.75" x14ac:dyDescent="0.15">
      <c r="A4" s="102" t="s">
        <v>68</v>
      </c>
      <c r="B4" s="102" t="s">
        <v>455</v>
      </c>
      <c r="C4" s="102" t="s">
        <v>443</v>
      </c>
      <c r="D4" s="102" t="s">
        <v>444</v>
      </c>
      <c r="E4" s="100" t="s">
        <v>493</v>
      </c>
      <c r="F4" s="102" t="s">
        <v>454</v>
      </c>
      <c r="G4" s="102" t="s">
        <v>453</v>
      </c>
      <c r="H4" s="102" t="s">
        <v>447</v>
      </c>
      <c r="I4" s="102" t="s">
        <v>448</v>
      </c>
      <c r="J4" s="102" t="s">
        <v>450</v>
      </c>
      <c r="K4" s="102" t="s">
        <v>451</v>
      </c>
      <c r="L4" s="102" t="s">
        <v>452</v>
      </c>
      <c r="M4" s="102" t="s">
        <v>442</v>
      </c>
      <c r="N4" s="102" t="s">
        <v>37</v>
      </c>
      <c r="O4" s="102" t="s">
        <v>441</v>
      </c>
      <c r="P4" s="107" t="s">
        <v>491</v>
      </c>
    </row>
    <row r="5" spans="1:27" s="44" customFormat="1" x14ac:dyDescent="0.2">
      <c r="A5" s="64" t="s">
        <v>71</v>
      </c>
      <c r="B5" s="64" t="s">
        <v>495</v>
      </c>
      <c r="C5" s="64"/>
      <c r="D5" s="65">
        <v>1</v>
      </c>
      <c r="E5" s="93" t="s">
        <v>73</v>
      </c>
      <c r="F5" s="49" t="str">
        <f ca="1">(INDIRECT("'Data'!C"&amp;($C$1)))</f>
        <v>Automation</v>
      </c>
      <c r="G5" s="48"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3522</v>
      </c>
      <c r="N5" s="48" t="str">
        <f ca="1">(INDIRECT("'Data'!AW"&amp;($C$1)))</f>
        <v>EXCH1 ROAD</v>
      </c>
      <c r="O5" s="49" t="str">
        <f ca="1">CONCATENATE(RIGHT((INDIRECT("'Data'!X"&amp;($C$1))),5),"-",RIGHT(S7&amp;(INDIRECT("'Data'!Y"&amp;($C$1))),5))</f>
        <v>FRST--3522</v>
      </c>
      <c r="P5" s="85"/>
      <c r="Q5" s="46"/>
      <c r="R5" s="46"/>
      <c r="S5" s="46"/>
    </row>
    <row r="6" spans="1:27" s="102" customFormat="1" ht="6.75" x14ac:dyDescent="0.15">
      <c r="A6" s="102" t="s">
        <v>68</v>
      </c>
      <c r="B6" s="102" t="s">
        <v>455</v>
      </c>
      <c r="C6" s="102" t="s">
        <v>443</v>
      </c>
      <c r="D6" s="102" t="s">
        <v>444</v>
      </c>
      <c r="E6" s="100" t="s">
        <v>493</v>
      </c>
      <c r="F6" s="102" t="s">
        <v>447</v>
      </c>
      <c r="G6" s="102" t="s">
        <v>450</v>
      </c>
      <c r="H6" s="102" t="s">
        <v>451</v>
      </c>
      <c r="I6" s="102" t="s">
        <v>452</v>
      </c>
      <c r="J6" s="102" t="s">
        <v>442</v>
      </c>
      <c r="K6" s="102" t="s">
        <v>37</v>
      </c>
      <c r="L6" s="102" t="s">
        <v>448</v>
      </c>
      <c r="M6" s="102" t="s">
        <v>449</v>
      </c>
      <c r="N6" s="102" t="s">
        <v>439</v>
      </c>
      <c r="O6" s="102" t="s">
        <v>440</v>
      </c>
      <c r="P6" s="102" t="s">
        <v>78</v>
      </c>
      <c r="Q6" s="102" t="s">
        <v>79</v>
      </c>
      <c r="R6" s="102" t="s">
        <v>87</v>
      </c>
      <c r="S6" s="102" t="s">
        <v>80</v>
      </c>
      <c r="T6" s="102" t="s">
        <v>110</v>
      </c>
      <c r="U6" s="102" t="s">
        <v>114</v>
      </c>
      <c r="V6" s="102" t="s">
        <v>90</v>
      </c>
      <c r="W6" s="102" t="s">
        <v>81</v>
      </c>
      <c r="X6" s="102" t="s">
        <v>88</v>
      </c>
      <c r="Y6" s="102" t="s">
        <v>276</v>
      </c>
      <c r="Z6" s="102" t="s">
        <v>457</v>
      </c>
      <c r="AA6" s="107" t="s">
        <v>491</v>
      </c>
    </row>
    <row r="7" spans="1:27" s="44" customFormat="1" x14ac:dyDescent="0.2">
      <c r="A7" s="64" t="s">
        <v>71</v>
      </c>
      <c r="B7" s="64" t="s">
        <v>496</v>
      </c>
      <c r="C7" s="64"/>
      <c r="D7" s="66">
        <v>1</v>
      </c>
      <c r="E7" s="93" t="s">
        <v>73</v>
      </c>
      <c r="F7" s="49" t="str">
        <f ca="1">(INDIRECT("'Data'!F"&amp;($C$1)))</f>
        <v>EXCHANGE GAS METER TO SECURE SMART CREDIT</v>
      </c>
      <c r="G7" s="48">
        <f ca="1">(INDIRECT("'Data'!AS"&amp;($C$1)))</f>
        <v>0</v>
      </c>
      <c r="H7" s="48" t="str">
        <f ca="1">(INDIRECT("'Data'!AT"&amp;($C$1)))</f>
        <v>TPJR00530</v>
      </c>
      <c r="I7" s="48">
        <f ca="1">(INDIRECT("'Data'!AU"&amp;($C$1)))</f>
        <v>0</v>
      </c>
      <c r="J7" s="48">
        <f ca="1">(INDIRECT("'Data'!AV"&amp;($C$1)))</f>
        <v>3522</v>
      </c>
      <c r="K7" s="48" t="str">
        <f ca="1">(INDIRECT("'Data'!AW"&amp;($C$1)))</f>
        <v>EXCH1 ROAD</v>
      </c>
      <c r="L7" s="48" t="str">
        <f ca="1">(INDIRECT("'Data'!E"&amp;($C$1)))</f>
        <v>S</v>
      </c>
      <c r="M7" s="48" t="str">
        <f ca="1">(INDIRECT("'Data'!AI"&amp;($C$1)))</f>
        <v>2019-04-26 08:00</v>
      </c>
      <c r="N7" s="49">
        <f ca="1">(INDIRECT("'Data'!BG"&amp;($C$1)))</f>
        <v>0</v>
      </c>
      <c r="O7" s="49" t="str">
        <f ca="1">(INDIRECT("'Data'!CN"&amp;($C$1)))</f>
        <v>EXCHANGE GAS METER TO SECURE SMART CREDIT</v>
      </c>
      <c r="P7" s="49" t="str">
        <f ca="1">(INDIRECT("'Data'!AH"&amp;($C$1)))</f>
        <v>Site_Contact_3522</v>
      </c>
      <c r="Q7" s="48" t="str">
        <f ca="1">(INDIRECT("'Data'!AE"&amp;($C$1)))</f>
        <v>LAST_METER-3522</v>
      </c>
      <c r="R7" s="48" t="str">
        <f ca="1">(INDIRECT("'Data'!DK"&amp;($C$1)))</f>
        <v>G</v>
      </c>
      <c r="S7" s="48">
        <f ca="1">(INDIRECT("'Data'!D"&amp;($C$1)))</f>
        <v>3522</v>
      </c>
      <c r="T7" s="48" t="str">
        <f ca="1">INDIRECT("'Data'!M"&amp;($C$1))</f>
        <v>Q</v>
      </c>
      <c r="U7" s="48" t="str">
        <f ca="1">INDIRECT("'Data'!AM"&amp;($C$1))</f>
        <v>01153522</v>
      </c>
      <c r="V7" s="48" t="str">
        <f ca="1">(INDIRECT("'Data'!N"&amp;($C$1)))</f>
        <v>UK_1_F</v>
      </c>
      <c r="W7" s="48">
        <f ca="1">(INDIRECT("'Data'!O"&amp;($C$1)))</f>
        <v>0</v>
      </c>
      <c r="X7" s="48" t="str">
        <f ca="1">(INDIRECT("'Data'!P"&amp;($C$1)))</f>
        <v>SN-3522</v>
      </c>
      <c r="Y7" s="48" t="str">
        <f ca="1">(INDIRECT("'Data'!C"&amp;($C$1)))</f>
        <v>Automation</v>
      </c>
      <c r="Z7" s="48" t="str">
        <f ca="1">(INDIRECT("'Data'!Q"&amp;($C$1)))</f>
        <v>SI-3522</v>
      </c>
      <c r="AA7" s="85"/>
    </row>
    <row r="8" spans="1:27" s="102" customFormat="1" ht="6.75" x14ac:dyDescent="0.15">
      <c r="A8" s="102" t="s">
        <v>68</v>
      </c>
      <c r="B8" s="102" t="s">
        <v>455</v>
      </c>
      <c r="C8" s="102" t="s">
        <v>443</v>
      </c>
      <c r="D8" s="102" t="s">
        <v>444</v>
      </c>
      <c r="E8" s="100" t="s">
        <v>493</v>
      </c>
      <c r="F8" s="102" t="s">
        <v>447</v>
      </c>
      <c r="G8" s="102" t="s">
        <v>37</v>
      </c>
      <c r="H8" s="102" t="s">
        <v>458</v>
      </c>
      <c r="I8" s="102" t="s">
        <v>459</v>
      </c>
      <c r="J8" s="102" t="s">
        <v>261</v>
      </c>
      <c r="K8" s="102" t="s">
        <v>460</v>
      </c>
      <c r="L8" s="102" t="s">
        <v>461</v>
      </c>
      <c r="M8" s="102" t="s">
        <v>260</v>
      </c>
      <c r="N8" s="102" t="s">
        <v>456</v>
      </c>
      <c r="O8" s="107" t="s">
        <v>491</v>
      </c>
    </row>
    <row r="9" spans="1:27" s="44" customFormat="1" x14ac:dyDescent="0.2">
      <c r="A9" s="64" t="s">
        <v>71</v>
      </c>
      <c r="B9" s="64" t="s">
        <v>497</v>
      </c>
      <c r="C9" s="64"/>
      <c r="D9" s="66">
        <v>1</v>
      </c>
      <c r="E9" s="93"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100003522</v>
      </c>
      <c r="M9" s="49" t="str">
        <f ca="1">(INDIRECT("'Data'!CO"&amp;($C$1)))</f>
        <v>GAS_JOB_ID-3522</v>
      </c>
      <c r="N9" s="49" t="str">
        <f ca="1">(INDIRECT("'Data'!CR"&amp;($C$1)))</f>
        <v>C</v>
      </c>
      <c r="O9" s="85"/>
    </row>
    <row r="10" spans="1:27" s="102" customFormat="1" ht="6.75" x14ac:dyDescent="0.15">
      <c r="A10" s="102" t="s">
        <v>68</v>
      </c>
      <c r="B10" s="102" t="s">
        <v>455</v>
      </c>
      <c r="C10" s="102" t="s">
        <v>443</v>
      </c>
      <c r="D10" s="102" t="s">
        <v>444</v>
      </c>
      <c r="E10" s="100" t="s">
        <v>493</v>
      </c>
      <c r="F10" s="102" t="s">
        <v>262</v>
      </c>
      <c r="G10" s="102" t="s">
        <v>263</v>
      </c>
      <c r="H10" s="102" t="s">
        <v>447</v>
      </c>
      <c r="I10" s="102" t="s">
        <v>37</v>
      </c>
      <c r="J10" s="102" t="s">
        <v>43</v>
      </c>
      <c r="K10" s="102" t="s">
        <v>462</v>
      </c>
      <c r="L10" s="102" t="s">
        <v>465</v>
      </c>
      <c r="M10" s="102" t="s">
        <v>460</v>
      </c>
      <c r="N10" s="102" t="s">
        <v>463</v>
      </c>
      <c r="O10" s="102" t="s">
        <v>466</v>
      </c>
      <c r="P10" s="102" t="s">
        <v>464</v>
      </c>
      <c r="Q10" s="107" t="s">
        <v>491</v>
      </c>
    </row>
    <row r="11" spans="1:27" s="44" customFormat="1" x14ac:dyDescent="0.2">
      <c r="A11" s="64" t="s">
        <v>71</v>
      </c>
      <c r="B11" s="64" t="s">
        <v>498</v>
      </c>
      <c r="C11" s="64"/>
      <c r="D11" s="65">
        <v>1</v>
      </c>
      <c r="E11" s="94"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Site_Contact_3522</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5"/>
    </row>
    <row r="12" spans="1:27" s="102" customFormat="1" ht="6.75" x14ac:dyDescent="0.15">
      <c r="A12" s="102" t="s">
        <v>68</v>
      </c>
      <c r="B12" s="102" t="s">
        <v>455</v>
      </c>
      <c r="C12" s="102" t="s">
        <v>443</v>
      </c>
      <c r="D12" s="102" t="s">
        <v>444</v>
      </c>
      <c r="E12" s="100" t="s">
        <v>493</v>
      </c>
      <c r="F12" s="102" t="s">
        <v>475</v>
      </c>
      <c r="G12" s="102" t="s">
        <v>439</v>
      </c>
      <c r="H12" s="102" t="s">
        <v>440</v>
      </c>
      <c r="I12" s="102" t="s">
        <v>43</v>
      </c>
      <c r="J12" s="102" t="s">
        <v>447</v>
      </c>
      <c r="K12" s="102" t="s">
        <v>450</v>
      </c>
      <c r="L12" s="102" t="s">
        <v>451</v>
      </c>
      <c r="M12" s="102" t="s">
        <v>452</v>
      </c>
      <c r="N12" s="102" t="s">
        <v>442</v>
      </c>
      <c r="O12" s="102" t="s">
        <v>37</v>
      </c>
      <c r="P12" s="102" t="s">
        <v>468</v>
      </c>
      <c r="Q12" s="103" t="s">
        <v>469</v>
      </c>
      <c r="R12" s="103" t="s">
        <v>471</v>
      </c>
      <c r="S12" s="102" t="s">
        <v>473</v>
      </c>
      <c r="T12" s="103" t="s">
        <v>470</v>
      </c>
      <c r="U12" s="102" t="s">
        <v>472</v>
      </c>
      <c r="V12" s="107" t="s">
        <v>491</v>
      </c>
    </row>
    <row r="13" spans="1:27" s="57" customFormat="1" x14ac:dyDescent="0.2">
      <c r="A13" s="64" t="s">
        <v>71</v>
      </c>
      <c r="B13" s="64" t="s">
        <v>467</v>
      </c>
      <c r="C13" s="64"/>
      <c r="D13" s="66">
        <v>1</v>
      </c>
      <c r="E13" s="94" t="s">
        <v>73</v>
      </c>
      <c r="F13" s="48">
        <f ca="1">(INDIRECT("'Data'!CD"&amp;($C$1)))</f>
        <v>0</v>
      </c>
      <c r="G13" s="49">
        <f ca="1">(INDIRECT("'Data'!BG"&amp;($C$1)))</f>
        <v>0</v>
      </c>
      <c r="H13" s="49" t="str">
        <f ca="1">(INDIRECT("'Data'!CN"&amp;($C$1)))</f>
        <v>EXCHANGE GAS METER TO SECURE SMART CREDIT</v>
      </c>
      <c r="I13" s="49" t="str">
        <f ca="1">(INDIRECT("'Data'!AH"&amp;($C$1)))</f>
        <v>Site_Contact_3522</v>
      </c>
      <c r="J13" s="49" t="str">
        <f ca="1">(INDIRECT("'Data'!F"&amp;($C$1)))</f>
        <v>EXCHANGE GAS METER TO SECURE SMART CREDIT</v>
      </c>
      <c r="K13" s="48">
        <f ca="1">(INDIRECT("'Data'!AS"&amp;($C$1)))</f>
        <v>0</v>
      </c>
      <c r="L13" s="48" t="str">
        <f ca="1">(INDIRECT("'Data'!AT"&amp;($C$1)))</f>
        <v>TPJR00530</v>
      </c>
      <c r="M13" s="48">
        <f ca="1">(INDIRECT("'Data'!AU"&amp;($C$1)))</f>
        <v>0</v>
      </c>
      <c r="N13" s="48">
        <f ca="1">(INDIRECT("'Data'!AV"&amp;($C$1)))</f>
        <v>3522</v>
      </c>
      <c r="O13" s="48" t="str">
        <f ca="1">(INDIRECT("'Data'!AW"&amp;($C$1)))</f>
        <v>EXCH1 ROAD</v>
      </c>
      <c r="P13" s="57" t="s">
        <v>73</v>
      </c>
      <c r="Q13" s="58" t="s">
        <v>73</v>
      </c>
      <c r="R13" s="58" t="s">
        <v>265</v>
      </c>
      <c r="S13" s="59" t="s">
        <v>73</v>
      </c>
      <c r="T13" s="58" t="s">
        <v>75</v>
      </c>
      <c r="U13" s="60" t="s">
        <v>100</v>
      </c>
      <c r="V13" s="85"/>
    </row>
    <row r="14" spans="1:27" s="102" customFormat="1" ht="6.75" x14ac:dyDescent="0.15">
      <c r="A14" s="102" t="s">
        <v>68</v>
      </c>
      <c r="B14" s="102" t="s">
        <v>455</v>
      </c>
      <c r="C14" s="102" t="s">
        <v>443</v>
      </c>
      <c r="D14" s="102" t="s">
        <v>444</v>
      </c>
      <c r="E14" s="100" t="s">
        <v>493</v>
      </c>
      <c r="F14" s="102" t="s">
        <v>475</v>
      </c>
      <c r="G14" s="102" t="s">
        <v>439</v>
      </c>
      <c r="H14" s="102" t="s">
        <v>440</v>
      </c>
      <c r="I14" s="102" t="s">
        <v>447</v>
      </c>
      <c r="J14" s="102" t="s">
        <v>37</v>
      </c>
      <c r="K14" s="102" t="s">
        <v>94</v>
      </c>
      <c r="L14" s="107" t="s">
        <v>491</v>
      </c>
      <c r="M14" s="103" t="s">
        <v>77</v>
      </c>
      <c r="N14" s="103" t="s">
        <v>77</v>
      </c>
      <c r="O14" s="104" t="s">
        <v>77</v>
      </c>
      <c r="P14" s="103"/>
      <c r="Q14" s="103"/>
      <c r="S14" s="103"/>
    </row>
    <row r="15" spans="1:27" s="44" customFormat="1" x14ac:dyDescent="0.2">
      <c r="A15" s="64" t="s">
        <v>71</v>
      </c>
      <c r="B15" s="64" t="s">
        <v>474</v>
      </c>
      <c r="C15" s="64"/>
      <c r="D15" s="66">
        <v>1</v>
      </c>
      <c r="E15" s="93"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5"/>
      <c r="M15" s="61"/>
      <c r="N15" s="61"/>
      <c r="O15" s="62"/>
      <c r="P15" s="61"/>
      <c r="Q15" s="61"/>
      <c r="R15" s="47"/>
      <c r="S15" s="61"/>
    </row>
    <row r="16" spans="1:27" s="102" customFormat="1" ht="6.75" x14ac:dyDescent="0.15">
      <c r="A16" s="92" t="s">
        <v>68</v>
      </c>
      <c r="B16" s="92" t="s">
        <v>455</v>
      </c>
      <c r="C16" s="92" t="s">
        <v>443</v>
      </c>
      <c r="D16" s="92" t="s">
        <v>444</v>
      </c>
      <c r="E16" s="100" t="s">
        <v>493</v>
      </c>
      <c r="F16" s="102" t="s">
        <v>477</v>
      </c>
      <c r="G16" s="102" t="s">
        <v>478</v>
      </c>
      <c r="H16" s="103" t="s">
        <v>480</v>
      </c>
      <c r="I16" s="102" t="s">
        <v>96</v>
      </c>
      <c r="J16" s="103" t="s">
        <v>481</v>
      </c>
      <c r="K16" s="103" t="s">
        <v>482</v>
      </c>
      <c r="L16" s="102" t="s">
        <v>475</v>
      </c>
      <c r="M16" s="102" t="s">
        <v>476</v>
      </c>
      <c r="N16" s="102" t="s">
        <v>479</v>
      </c>
      <c r="O16" s="102" t="s">
        <v>483</v>
      </c>
      <c r="P16" s="107" t="s">
        <v>491</v>
      </c>
    </row>
    <row r="17" spans="1:47" s="57" customFormat="1" ht="11.25" customHeight="1" x14ac:dyDescent="0.2">
      <c r="A17" s="68" t="s">
        <v>71</v>
      </c>
      <c r="B17" s="68" t="s">
        <v>97</v>
      </c>
      <c r="C17" s="69"/>
      <c r="D17" s="70">
        <v>1</v>
      </c>
      <c r="E17" s="94" t="s">
        <v>73</v>
      </c>
      <c r="F17" s="72" t="s">
        <v>73</v>
      </c>
      <c r="G17" s="72" t="s">
        <v>73</v>
      </c>
      <c r="H17" s="73" t="s">
        <v>77</v>
      </c>
      <c r="I17" s="72" t="s">
        <v>77</v>
      </c>
      <c r="J17" s="73" t="s">
        <v>77</v>
      </c>
      <c r="K17" s="73" t="s">
        <v>77</v>
      </c>
      <c r="L17" s="48">
        <f ca="1">(INDIRECT("'Data'!CD"&amp;($C$1)))</f>
        <v>0</v>
      </c>
      <c r="M17" s="74" t="s">
        <v>113</v>
      </c>
      <c r="N17" s="72" t="s">
        <v>111</v>
      </c>
      <c r="O17" s="74" t="s">
        <v>73</v>
      </c>
      <c r="P17" s="85"/>
    </row>
    <row r="18" spans="1:47" s="107" customFormat="1" ht="6.75" x14ac:dyDescent="0.15">
      <c r="A18" s="105" t="s">
        <v>68</v>
      </c>
      <c r="B18" s="105" t="s">
        <v>455</v>
      </c>
      <c r="C18" s="92" t="s">
        <v>443</v>
      </c>
      <c r="D18" s="92" t="s">
        <v>444</v>
      </c>
      <c r="E18" s="106" t="s">
        <v>493</v>
      </c>
      <c r="F18" s="107" t="s">
        <v>501</v>
      </c>
      <c r="G18" s="107" t="s">
        <v>507</v>
      </c>
      <c r="H18" s="107" t="s">
        <v>502</v>
      </c>
      <c r="I18" s="107" t="s">
        <v>503</v>
      </c>
      <c r="J18" s="107" t="s">
        <v>506</v>
      </c>
      <c r="K18" s="107" t="s">
        <v>505</v>
      </c>
      <c r="L18" s="107" t="s">
        <v>508</v>
      </c>
      <c r="M18" s="107" t="s">
        <v>504</v>
      </c>
      <c r="N18" s="107" t="s">
        <v>513</v>
      </c>
      <c r="O18" s="107" t="s">
        <v>514</v>
      </c>
      <c r="P18" s="107" t="s">
        <v>520</v>
      </c>
      <c r="Q18" s="107" t="s">
        <v>509</v>
      </c>
      <c r="R18" s="107" t="s">
        <v>510</v>
      </c>
      <c r="S18" s="107" t="s">
        <v>511</v>
      </c>
      <c r="T18" s="107" t="s">
        <v>515</v>
      </c>
      <c r="U18" s="107" t="s">
        <v>516</v>
      </c>
      <c r="V18" s="107" t="s">
        <v>102</v>
      </c>
      <c r="W18" s="107" t="s">
        <v>524</v>
      </c>
      <c r="X18" s="107" t="s">
        <v>475</v>
      </c>
      <c r="Y18" s="107" t="s">
        <v>519</v>
      </c>
      <c r="Z18" s="107" t="s">
        <v>521</v>
      </c>
      <c r="AA18" s="107" t="s">
        <v>529</v>
      </c>
      <c r="AB18" s="107" t="s">
        <v>530</v>
      </c>
      <c r="AC18" s="107" t="s">
        <v>531</v>
      </c>
      <c r="AD18" s="107" t="s">
        <v>532</v>
      </c>
      <c r="AE18" s="107" t="s">
        <v>533</v>
      </c>
      <c r="AF18" s="107" t="s">
        <v>534</v>
      </c>
      <c r="AG18" s="107" t="s">
        <v>523</v>
      </c>
      <c r="AH18" s="107" t="s">
        <v>526</v>
      </c>
      <c r="AI18" s="107" t="s">
        <v>525</v>
      </c>
      <c r="AJ18" s="107" t="s">
        <v>491</v>
      </c>
    </row>
    <row r="19" spans="1:47" s="87" customFormat="1" ht="10.5" customHeight="1" x14ac:dyDescent="0.2">
      <c r="A19" s="83" t="s">
        <v>71</v>
      </c>
      <c r="B19" s="83" t="s">
        <v>499</v>
      </c>
      <c r="C19" s="84"/>
      <c r="D19" s="70">
        <v>1</v>
      </c>
      <c r="E19" s="95" t="s">
        <v>73</v>
      </c>
      <c r="F19" s="85" t="s">
        <v>75</v>
      </c>
      <c r="G19" s="85" t="s">
        <v>73</v>
      </c>
      <c r="H19" s="86" t="s">
        <v>73</v>
      </c>
      <c r="I19" s="85">
        <v>1223</v>
      </c>
      <c r="J19" s="85" t="s">
        <v>73</v>
      </c>
      <c r="K19" s="85" t="s">
        <v>73</v>
      </c>
      <c r="L19" s="85" t="s">
        <v>73</v>
      </c>
      <c r="M19" s="85">
        <v>1223</v>
      </c>
      <c r="N19" s="85" t="s">
        <v>73</v>
      </c>
      <c r="O19" s="85" t="s">
        <v>527</v>
      </c>
      <c r="P19" s="85" t="s">
        <v>73</v>
      </c>
      <c r="Q19" s="85" t="s">
        <v>73</v>
      </c>
      <c r="R19" s="85" t="s">
        <v>73</v>
      </c>
      <c r="S19" s="85" t="s">
        <v>512</v>
      </c>
      <c r="T19" s="85" t="s">
        <v>73</v>
      </c>
      <c r="U19" s="85">
        <v>12345</v>
      </c>
      <c r="V19" s="85" t="s">
        <v>73</v>
      </c>
      <c r="W19" s="85" t="s">
        <v>73</v>
      </c>
      <c r="X19" s="48">
        <f ca="1">(INDIRECT("'Data'!CD"&amp;($C$1)))</f>
        <v>0</v>
      </c>
      <c r="Y19" s="85" t="str">
        <f ca="1">(INDIRECT("'Data'!J"&amp;($C$1))  &amp; " Remarks for risk assessment")</f>
        <v xml:space="preserve"> Remarks for risk assessment</v>
      </c>
      <c r="Z19" s="85" t="s">
        <v>522</v>
      </c>
      <c r="AA19" s="87" t="s">
        <v>73</v>
      </c>
      <c r="AB19" s="87" t="s">
        <v>73</v>
      </c>
      <c r="AC19" s="87" t="s">
        <v>112</v>
      </c>
      <c r="AD19" s="87" t="s">
        <v>75</v>
      </c>
      <c r="AE19" s="87" t="s">
        <v>73</v>
      </c>
      <c r="AF19" s="87" t="s">
        <v>73</v>
      </c>
      <c r="AG19" s="85" t="s">
        <v>75</v>
      </c>
      <c r="AH19" s="87" t="s">
        <v>75</v>
      </c>
      <c r="AI19" s="85" t="str">
        <f ca="1">(INDIRECT("'Data'!J"&amp;($C$1))  &amp; " Remarks for smart installation")</f>
        <v xml:space="preserve"> Remarks for smart installation</v>
      </c>
      <c r="AJ19" s="85"/>
    </row>
    <row r="20" spans="1:47" s="102" customFormat="1" ht="6.75" x14ac:dyDescent="0.15">
      <c r="A20" s="92" t="s">
        <v>68</v>
      </c>
      <c r="B20" s="92" t="s">
        <v>455</v>
      </c>
      <c r="C20" s="92" t="s">
        <v>443</v>
      </c>
      <c r="D20" s="92" t="s">
        <v>444</v>
      </c>
      <c r="E20" s="100" t="s">
        <v>493</v>
      </c>
      <c r="F20" s="102" t="s">
        <v>536</v>
      </c>
      <c r="G20" s="102" t="s">
        <v>537</v>
      </c>
      <c r="H20" s="102" t="s">
        <v>566</v>
      </c>
      <c r="I20" s="102" t="s">
        <v>538</v>
      </c>
      <c r="J20" s="102" t="s">
        <v>539</v>
      </c>
      <c r="K20" s="102" t="s">
        <v>540</v>
      </c>
      <c r="L20" s="102" t="s">
        <v>541</v>
      </c>
      <c r="M20" s="102" t="s">
        <v>545</v>
      </c>
      <c r="N20" s="102" t="s">
        <v>544</v>
      </c>
      <c r="O20" s="102" t="s">
        <v>543</v>
      </c>
      <c r="P20" s="102" t="s">
        <v>542</v>
      </c>
      <c r="Q20" s="102" t="s">
        <v>546</v>
      </c>
      <c r="R20" s="102" t="s">
        <v>547</v>
      </c>
      <c r="S20" s="102" t="s">
        <v>548</v>
      </c>
      <c r="T20" s="102" t="s">
        <v>549</v>
      </c>
      <c r="U20" s="102" t="s">
        <v>550</v>
      </c>
      <c r="V20" s="102" t="s">
        <v>567</v>
      </c>
      <c r="W20" s="102" t="s">
        <v>551</v>
      </c>
      <c r="X20" s="102" t="s">
        <v>552</v>
      </c>
      <c r="Y20" s="102" t="s">
        <v>553</v>
      </c>
      <c r="Z20" s="102" t="s">
        <v>554</v>
      </c>
      <c r="AA20" s="102" t="s">
        <v>555</v>
      </c>
      <c r="AB20" s="102" t="s">
        <v>43</v>
      </c>
      <c r="AC20" s="102" t="s">
        <v>472</v>
      </c>
      <c r="AD20" s="102" t="s">
        <v>556</v>
      </c>
      <c r="AE20" s="102" t="s">
        <v>557</v>
      </c>
      <c r="AF20" s="102" t="s">
        <v>558</v>
      </c>
      <c r="AG20" s="102" t="s">
        <v>559</v>
      </c>
      <c r="AH20" s="102" t="s">
        <v>560</v>
      </c>
      <c r="AI20" s="102" t="s">
        <v>561</v>
      </c>
      <c r="AJ20" s="102" t="s">
        <v>562</v>
      </c>
      <c r="AK20" s="102" t="s">
        <v>563</v>
      </c>
      <c r="AL20" s="102" t="s">
        <v>564</v>
      </c>
      <c r="AM20" s="102" t="s">
        <v>565</v>
      </c>
      <c r="AN20" s="107" t="s">
        <v>491</v>
      </c>
    </row>
    <row r="21" spans="1:47" s="57" customFormat="1" x14ac:dyDescent="0.2">
      <c r="A21" s="68" t="s">
        <v>71</v>
      </c>
      <c r="B21" s="68" t="s">
        <v>535</v>
      </c>
      <c r="C21" s="69"/>
      <c r="D21" s="70">
        <v>1</v>
      </c>
      <c r="E21" s="94" t="s">
        <v>73</v>
      </c>
      <c r="F21" s="59" t="s">
        <v>73</v>
      </c>
      <c r="G21" s="60" t="s">
        <v>167</v>
      </c>
      <c r="H21" s="60" t="s">
        <v>109</v>
      </c>
      <c r="I21" s="60" t="s">
        <v>108</v>
      </c>
      <c r="J21" s="60" t="s">
        <v>73</v>
      </c>
      <c r="K21" s="60" t="s">
        <v>168</v>
      </c>
      <c r="L21" s="60">
        <v>1</v>
      </c>
      <c r="M21" s="60" t="s">
        <v>108</v>
      </c>
      <c r="N21" s="60">
        <v>2</v>
      </c>
      <c r="O21" s="60" t="s">
        <v>112</v>
      </c>
      <c r="P21" s="60">
        <v>3</v>
      </c>
      <c r="Q21" s="60" t="s">
        <v>109</v>
      </c>
      <c r="R21" s="60" t="s">
        <v>109</v>
      </c>
      <c r="S21" s="60"/>
      <c r="T21" s="60"/>
      <c r="U21" s="60"/>
      <c r="V21" s="60"/>
      <c r="X21" s="60"/>
      <c r="AB21" s="49" t="str">
        <f ca="1">(INDIRECT("'Data'!AH"&amp;($C$1)))</f>
        <v>Site_Contact_3522</v>
      </c>
      <c r="AC21" s="60" t="s">
        <v>279</v>
      </c>
      <c r="AD21" s="57" t="s">
        <v>75</v>
      </c>
      <c r="AE21" s="57" t="s">
        <v>75</v>
      </c>
      <c r="AF21" s="57" t="s">
        <v>73</v>
      </c>
      <c r="AG21" s="60" t="str">
        <f ca="1">(INDIRECT("'Data'!J"&amp;($C$1))  &amp; " Abort Notes")</f>
        <v xml:space="preserve"> Abort Notes</v>
      </c>
      <c r="AH21" s="57" t="s">
        <v>73</v>
      </c>
      <c r="AI21" s="57" t="s">
        <v>270</v>
      </c>
      <c r="AJ21" s="57" t="s">
        <v>73</v>
      </c>
      <c r="AK21" s="57" t="s">
        <v>73</v>
      </c>
      <c r="AL21" s="57" t="s">
        <v>73</v>
      </c>
      <c r="AM21" s="57" t="s">
        <v>73</v>
      </c>
      <c r="AN21" s="85"/>
    </row>
    <row r="22" spans="1:47" s="110" customFormat="1" ht="6.75" x14ac:dyDescent="0.15">
      <c r="A22" s="108" t="s">
        <v>68</v>
      </c>
      <c r="B22" s="92" t="s">
        <v>455</v>
      </c>
      <c r="C22" s="92" t="s">
        <v>443</v>
      </c>
      <c r="D22" s="92" t="s">
        <v>444</v>
      </c>
      <c r="E22" s="109" t="s">
        <v>493</v>
      </c>
      <c r="F22" s="110" t="s">
        <v>750</v>
      </c>
      <c r="G22" s="110" t="s">
        <v>749</v>
      </c>
      <c r="H22" s="110" t="s">
        <v>747</v>
      </c>
      <c r="I22" s="110" t="s">
        <v>116</v>
      </c>
      <c r="J22" s="110" t="s">
        <v>117</v>
      </c>
      <c r="K22" s="110" t="s">
        <v>123</v>
      </c>
      <c r="L22" s="110" t="s">
        <v>119</v>
      </c>
      <c r="M22" s="110" t="s">
        <v>221</v>
      </c>
      <c r="N22" s="110" t="s">
        <v>171</v>
      </c>
      <c r="O22" s="110" t="s">
        <v>172</v>
      </c>
      <c r="P22" s="110" t="s">
        <v>177</v>
      </c>
      <c r="Q22" s="110" t="s">
        <v>169</v>
      </c>
      <c r="R22" s="110" t="s">
        <v>170</v>
      </c>
      <c r="S22" s="110" t="s">
        <v>268</v>
      </c>
      <c r="T22" s="110" t="s">
        <v>173</v>
      </c>
      <c r="U22" s="110" t="s">
        <v>174</v>
      </c>
      <c r="V22" s="110" t="s">
        <v>175</v>
      </c>
      <c r="W22" s="110" t="s">
        <v>176</v>
      </c>
      <c r="X22" s="110" t="s">
        <v>178</v>
      </c>
      <c r="Y22" s="110" t="s">
        <v>179</v>
      </c>
      <c r="Z22" s="110" t="s">
        <v>180</v>
      </c>
      <c r="AA22" s="110" t="s">
        <v>181</v>
      </c>
      <c r="AB22" s="110" t="s">
        <v>182</v>
      </c>
      <c r="AC22" s="110" t="s">
        <v>282</v>
      </c>
      <c r="AD22" s="110" t="s">
        <v>281</v>
      </c>
      <c r="AE22" s="110" t="s">
        <v>281</v>
      </c>
      <c r="AF22" s="110" t="s">
        <v>186</v>
      </c>
      <c r="AG22" s="110" t="s">
        <v>187</v>
      </c>
      <c r="AH22" s="110" t="s">
        <v>192</v>
      </c>
      <c r="AI22" s="110" t="s">
        <v>188</v>
      </c>
      <c r="AJ22" s="110" t="s">
        <v>198</v>
      </c>
      <c r="AK22" s="110" t="s">
        <v>199</v>
      </c>
      <c r="AL22" s="110" t="s">
        <v>200</v>
      </c>
      <c r="AM22" s="110" t="s">
        <v>189</v>
      </c>
      <c r="AN22" s="110" t="s">
        <v>190</v>
      </c>
      <c r="AO22" s="110" t="s">
        <v>191</v>
      </c>
      <c r="AP22" s="110" t="s">
        <v>193</v>
      </c>
      <c r="AQ22" s="110" t="s">
        <v>194</v>
      </c>
      <c r="AR22" s="110" t="s">
        <v>195</v>
      </c>
      <c r="AS22" s="110" t="s">
        <v>196</v>
      </c>
      <c r="AT22" s="110" t="s">
        <v>197</v>
      </c>
      <c r="AU22" s="107" t="s">
        <v>491</v>
      </c>
    </row>
    <row r="23" spans="1:47" s="57" customFormat="1" x14ac:dyDescent="0.2">
      <c r="A23" s="68" t="s">
        <v>71</v>
      </c>
      <c r="B23" s="68" t="s">
        <v>568</v>
      </c>
      <c r="C23" s="69"/>
      <c r="D23" s="70">
        <v>1</v>
      </c>
      <c r="E23" s="96" t="s">
        <v>73</v>
      </c>
      <c r="F23" s="57" t="s">
        <v>73</v>
      </c>
      <c r="G23" s="60"/>
      <c r="H23" s="60"/>
      <c r="I23" s="60" t="s">
        <v>75</v>
      </c>
      <c r="J23" s="60" t="s">
        <v>77</v>
      </c>
      <c r="K23" s="60" t="s">
        <v>73</v>
      </c>
      <c r="L23" s="60" t="s">
        <v>120</v>
      </c>
      <c r="M23" s="60">
        <v>1</v>
      </c>
      <c r="N23" s="60">
        <f ca="1">(INDIRECT("'Data'!BQ"&amp;($C$1)))</f>
        <v>0</v>
      </c>
      <c r="O23" s="60">
        <f ca="1">(INDIRECT("'Data'!CB"&amp;($C$1)))</f>
        <v>0</v>
      </c>
      <c r="P23" s="60">
        <f ca="1">(INDIRECT("'Data'!CI"&amp;($C$1)))</f>
        <v>1</v>
      </c>
      <c r="Q23" s="60">
        <f ca="1">(INDIRECT("'Data'!BX"&amp;($C$1)))</f>
        <v>0</v>
      </c>
      <c r="R23" s="60">
        <f ca="1">(INDIRECT("'Data'!BW"&amp;($C$1)))</f>
        <v>0</v>
      </c>
      <c r="S23" s="60" t="str">
        <f ca="1">(INDIRECT("'Data'!CJ"&amp;($C$1)))</f>
        <v>GAS_ENQ_NO-3522</v>
      </c>
      <c r="T23" s="60" t="str">
        <f ca="1">(INDIRECT("'Data'!CK"&amp;($C$1)))</f>
        <v>G4</v>
      </c>
      <c r="U23" s="60"/>
      <c r="V23" s="60"/>
      <c r="W23" s="60"/>
      <c r="X23" s="60">
        <v>12345</v>
      </c>
      <c r="Y23" s="60" t="s">
        <v>121</v>
      </c>
      <c r="Z23" s="60" t="s">
        <v>201</v>
      </c>
      <c r="AA23" s="59" t="s">
        <v>269</v>
      </c>
      <c r="AB23" s="60">
        <v>1</v>
      </c>
      <c r="AC23" s="60">
        <v>20150808</v>
      </c>
      <c r="AD23" s="60"/>
      <c r="AE23" s="60"/>
      <c r="AF23" s="57" t="s">
        <v>122</v>
      </c>
      <c r="AH23" s="57" t="s">
        <v>75</v>
      </c>
      <c r="AI23" s="57" t="s">
        <v>283</v>
      </c>
      <c r="AT23" s="57" t="s">
        <v>73</v>
      </c>
      <c r="AU23" s="85"/>
    </row>
    <row r="24" spans="1:47" s="101" customFormat="1" ht="6.75" x14ac:dyDescent="0.15">
      <c r="A24" s="92" t="s">
        <v>68</v>
      </c>
      <c r="B24" s="92" t="s">
        <v>455</v>
      </c>
      <c r="C24" s="92" t="s">
        <v>443</v>
      </c>
      <c r="D24" s="92" t="s">
        <v>444</v>
      </c>
      <c r="E24" s="100" t="s">
        <v>493</v>
      </c>
      <c r="F24" s="101" t="s">
        <v>203</v>
      </c>
      <c r="G24" s="101" t="s">
        <v>204</v>
      </c>
      <c r="H24" s="101" t="s">
        <v>205</v>
      </c>
      <c r="I24" s="101" t="s">
        <v>284</v>
      </c>
      <c r="J24" s="101" t="s">
        <v>206</v>
      </c>
      <c r="K24" s="101" t="s">
        <v>207</v>
      </c>
      <c r="L24" s="101" t="s">
        <v>208</v>
      </c>
      <c r="M24" s="101" t="s">
        <v>209</v>
      </c>
      <c r="N24" s="101" t="s">
        <v>210</v>
      </c>
      <c r="O24" s="101" t="s">
        <v>211</v>
      </c>
      <c r="P24" s="101" t="s">
        <v>212</v>
      </c>
      <c r="Q24" s="101" t="s">
        <v>213</v>
      </c>
      <c r="R24" s="101" t="s">
        <v>214</v>
      </c>
      <c r="S24" s="101" t="s">
        <v>215</v>
      </c>
      <c r="T24" s="101" t="s">
        <v>216</v>
      </c>
      <c r="U24" s="101" t="s">
        <v>217</v>
      </c>
      <c r="V24" s="107" t="s">
        <v>491</v>
      </c>
    </row>
    <row r="25" spans="1:47" s="57" customFormat="1" x14ac:dyDescent="0.2">
      <c r="A25" s="68" t="s">
        <v>71</v>
      </c>
      <c r="B25" s="68" t="s">
        <v>570</v>
      </c>
      <c r="C25" s="69"/>
      <c r="D25" s="70">
        <v>1</v>
      </c>
      <c r="E25" s="94" t="s">
        <v>73</v>
      </c>
      <c r="F25" s="49">
        <f ca="1">(INDIRECT("'Data'!BL"&amp;($C$1)))</f>
        <v>0</v>
      </c>
      <c r="G25" s="49">
        <f ca="1">(INDIRECT("'Data'!BX"&amp;($C$1)))</f>
        <v>0</v>
      </c>
      <c r="H25" s="57" t="s">
        <v>280</v>
      </c>
      <c r="I25" s="60">
        <v>1</v>
      </c>
      <c r="N25" s="57" t="s">
        <v>218</v>
      </c>
      <c r="O25" s="57" t="s">
        <v>285</v>
      </c>
      <c r="P25" s="57" t="s">
        <v>286</v>
      </c>
      <c r="Q25" s="57" t="s">
        <v>287</v>
      </c>
      <c r="R25" s="57" t="s">
        <v>75</v>
      </c>
      <c r="S25" s="57" t="s">
        <v>219</v>
      </c>
      <c r="T25" s="57" t="s">
        <v>120</v>
      </c>
      <c r="U25" s="57" t="s">
        <v>73</v>
      </c>
      <c r="V25" s="85"/>
    </row>
    <row r="26" spans="1:47" s="101" customFormat="1" ht="6.75" x14ac:dyDescent="0.15">
      <c r="A26" s="92" t="s">
        <v>68</v>
      </c>
      <c r="B26" s="92" t="s">
        <v>455</v>
      </c>
      <c r="C26" s="92" t="s">
        <v>443</v>
      </c>
      <c r="D26" s="92" t="s">
        <v>444</v>
      </c>
      <c r="E26" s="100" t="s">
        <v>493</v>
      </c>
      <c r="F26" s="101" t="s">
        <v>288</v>
      </c>
      <c r="G26" s="101" t="s">
        <v>289</v>
      </c>
      <c r="H26" s="101" t="s">
        <v>290</v>
      </c>
      <c r="I26" s="101" t="s">
        <v>291</v>
      </c>
      <c r="J26" s="101" t="s">
        <v>292</v>
      </c>
      <c r="K26" s="101" t="s">
        <v>293</v>
      </c>
      <c r="L26" s="101" t="s">
        <v>294</v>
      </c>
      <c r="M26" s="101" t="s">
        <v>295</v>
      </c>
      <c r="N26" s="101" t="s">
        <v>572</v>
      </c>
      <c r="O26" s="107" t="s">
        <v>475</v>
      </c>
      <c r="P26" s="107" t="s">
        <v>491</v>
      </c>
    </row>
    <row r="27" spans="1:47" s="57" customFormat="1" x14ac:dyDescent="0.2">
      <c r="A27" s="68" t="s">
        <v>71</v>
      </c>
      <c r="B27" s="68" t="s">
        <v>571</v>
      </c>
      <c r="C27" s="69" t="s">
        <v>77</v>
      </c>
      <c r="D27" s="70">
        <v>1</v>
      </c>
      <c r="E27" s="94" t="s">
        <v>73</v>
      </c>
      <c r="F27" s="57" t="s">
        <v>296</v>
      </c>
      <c r="G27" s="59" t="s">
        <v>297</v>
      </c>
      <c r="H27" s="57" t="s">
        <v>298</v>
      </c>
      <c r="I27" s="60">
        <v>400</v>
      </c>
      <c r="J27" s="57" t="s">
        <v>299</v>
      </c>
      <c r="K27" s="57" t="s">
        <v>300</v>
      </c>
      <c r="L27" s="57" t="s">
        <v>301</v>
      </c>
      <c r="M27" s="57" t="s">
        <v>73</v>
      </c>
      <c r="N27" s="57" t="s">
        <v>573</v>
      </c>
      <c r="O27" s="48">
        <f ca="1">(INDIRECT("'Data'!CD"&amp;($C$1)))</f>
        <v>0</v>
      </c>
      <c r="P27" s="85"/>
    </row>
    <row r="28" spans="1:47" s="111" customFormat="1" ht="6.75" x14ac:dyDescent="0.15">
      <c r="A28" s="92" t="s">
        <v>68</v>
      </c>
      <c r="B28" s="92" t="s">
        <v>455</v>
      </c>
      <c r="C28" s="92" t="s">
        <v>443</v>
      </c>
      <c r="D28" s="92" t="s">
        <v>444</v>
      </c>
      <c r="E28" s="100" t="s">
        <v>493</v>
      </c>
      <c r="F28" s="101" t="s">
        <v>574</v>
      </c>
      <c r="G28" s="101" t="s">
        <v>575</v>
      </c>
      <c r="H28" s="107" t="s">
        <v>491</v>
      </c>
    </row>
    <row r="29" spans="1:47" s="57" customFormat="1" x14ac:dyDescent="0.2">
      <c r="A29" s="68" t="s">
        <v>71</v>
      </c>
      <c r="B29" s="68" t="s">
        <v>578</v>
      </c>
      <c r="C29" s="69"/>
      <c r="D29" s="70">
        <v>1</v>
      </c>
      <c r="E29" s="94" t="s">
        <v>73</v>
      </c>
      <c r="F29" s="57" t="s">
        <v>120</v>
      </c>
      <c r="G29" s="59" t="s">
        <v>73</v>
      </c>
      <c r="H29" s="85"/>
    </row>
    <row r="30" spans="1:47" s="111" customFormat="1" ht="6.75" x14ac:dyDescent="0.15">
      <c r="A30" s="92" t="s">
        <v>68</v>
      </c>
      <c r="B30" s="92" t="s">
        <v>455</v>
      </c>
      <c r="C30" s="92" t="s">
        <v>443</v>
      </c>
      <c r="D30" s="92" t="s">
        <v>444</v>
      </c>
      <c r="E30" s="100" t="s">
        <v>493</v>
      </c>
      <c r="F30" s="101" t="s">
        <v>579</v>
      </c>
      <c r="G30" s="101" t="s">
        <v>577</v>
      </c>
      <c r="H30" s="101" t="s">
        <v>83</v>
      </c>
      <c r="I30" s="101" t="s">
        <v>584</v>
      </c>
      <c r="J30" s="101" t="s">
        <v>576</v>
      </c>
      <c r="K30" s="101" t="s">
        <v>220</v>
      </c>
      <c r="L30" s="107" t="s">
        <v>491</v>
      </c>
    </row>
    <row r="31" spans="1:47" s="57" customFormat="1" x14ac:dyDescent="0.2">
      <c r="A31" s="68" t="s">
        <v>71</v>
      </c>
      <c r="B31" s="68" t="s">
        <v>580</v>
      </c>
      <c r="C31" s="69" t="s">
        <v>77</v>
      </c>
      <c r="D31" s="70">
        <v>1</v>
      </c>
      <c r="E31" s="94" t="s">
        <v>73</v>
      </c>
      <c r="F31" s="73" t="s">
        <v>582</v>
      </c>
      <c r="G31" s="73" t="s">
        <v>581</v>
      </c>
      <c r="H31" s="73" t="s">
        <v>583</v>
      </c>
      <c r="I31" s="88" t="s">
        <v>269</v>
      </c>
      <c r="J31" s="73" t="s">
        <v>124</v>
      </c>
      <c r="K31" s="74" t="s">
        <v>585</v>
      </c>
      <c r="L31" s="85"/>
    </row>
    <row r="32" spans="1:47" s="101" customFormat="1" ht="6.75" x14ac:dyDescent="0.15">
      <c r="A32" s="92" t="s">
        <v>68</v>
      </c>
      <c r="B32" s="92" t="s">
        <v>455</v>
      </c>
      <c r="C32" s="92" t="s">
        <v>443</v>
      </c>
      <c r="D32" s="92" t="s">
        <v>444</v>
      </c>
      <c r="E32" s="100" t="s">
        <v>493</v>
      </c>
      <c r="F32" s="101" t="s">
        <v>318</v>
      </c>
      <c r="G32" s="101" t="s">
        <v>587</v>
      </c>
      <c r="H32" s="101" t="s">
        <v>319</v>
      </c>
      <c r="I32" s="101" t="s">
        <v>125</v>
      </c>
      <c r="J32" s="101" t="s">
        <v>588</v>
      </c>
      <c r="K32" s="101" t="s">
        <v>589</v>
      </c>
      <c r="L32" s="101" t="s">
        <v>320</v>
      </c>
      <c r="M32" s="101" t="s">
        <v>321</v>
      </c>
      <c r="N32" s="101" t="s">
        <v>89</v>
      </c>
      <c r="O32" s="101" t="s">
        <v>590</v>
      </c>
      <c r="P32" s="101" t="s">
        <v>419</v>
      </c>
      <c r="Q32" s="107" t="s">
        <v>491</v>
      </c>
    </row>
    <row r="33" spans="1:58" s="77" customFormat="1" ht="11.25" customHeight="1" x14ac:dyDescent="0.2">
      <c r="A33" s="68" t="s">
        <v>71</v>
      </c>
      <c r="B33" s="68" t="s">
        <v>586</v>
      </c>
      <c r="C33" s="68"/>
      <c r="D33" s="70">
        <v>1</v>
      </c>
      <c r="E33" s="94" t="s">
        <v>73</v>
      </c>
      <c r="F33" s="75" t="s">
        <v>73</v>
      </c>
      <c r="G33" s="75" t="s">
        <v>73</v>
      </c>
      <c r="H33" s="75" t="s">
        <v>322</v>
      </c>
      <c r="I33" s="75" t="s">
        <v>323</v>
      </c>
      <c r="J33" s="75" t="s">
        <v>73</v>
      </c>
      <c r="K33" s="75" t="s">
        <v>73</v>
      </c>
      <c r="L33" s="77" t="s">
        <v>73</v>
      </c>
      <c r="M33" s="77" t="s">
        <v>73</v>
      </c>
      <c r="N33" s="75" t="s">
        <v>73</v>
      </c>
      <c r="O33" s="77" t="s">
        <v>73</v>
      </c>
      <c r="P33" s="75" t="s">
        <v>73</v>
      </c>
      <c r="Q33" s="85"/>
    </row>
    <row r="34" spans="1:58" s="101" customFormat="1" ht="6.75" x14ac:dyDescent="0.15">
      <c r="A34" s="92" t="s">
        <v>68</v>
      </c>
      <c r="B34" s="92" t="s">
        <v>455</v>
      </c>
      <c r="C34" s="92" t="s">
        <v>443</v>
      </c>
      <c r="D34" s="92" t="s">
        <v>444</v>
      </c>
      <c r="E34" s="100" t="s">
        <v>493</v>
      </c>
      <c r="F34" s="101" t="s">
        <v>591</v>
      </c>
      <c r="G34" s="101" t="s">
        <v>593</v>
      </c>
      <c r="H34" s="101" t="s">
        <v>592</v>
      </c>
      <c r="I34" s="101" t="s">
        <v>302</v>
      </c>
      <c r="J34" s="101" t="s">
        <v>304</v>
      </c>
      <c r="K34" s="102" t="s">
        <v>475</v>
      </c>
      <c r="L34" s="107" t="s">
        <v>491</v>
      </c>
    </row>
    <row r="35" spans="1:58" s="78" customFormat="1" x14ac:dyDescent="0.2">
      <c r="A35" s="68" t="s">
        <v>71</v>
      </c>
      <c r="B35" s="68" t="s">
        <v>642</v>
      </c>
      <c r="C35" s="69" t="s">
        <v>77</v>
      </c>
      <c r="D35" s="70">
        <v>1</v>
      </c>
      <c r="E35" s="94" t="s">
        <v>73</v>
      </c>
      <c r="F35" s="78" t="s">
        <v>218</v>
      </c>
      <c r="G35" s="78" t="s">
        <v>65</v>
      </c>
      <c r="H35" s="78" t="s">
        <v>53</v>
      </c>
      <c r="I35" s="55" t="s">
        <v>73</v>
      </c>
      <c r="J35" s="78" t="s">
        <v>304</v>
      </c>
      <c r="K35" s="48">
        <f ca="1">(INDIRECT("'Data'!CD"&amp;($C$1)))</f>
        <v>0</v>
      </c>
      <c r="L35" s="85"/>
    </row>
    <row r="36" spans="1:58" s="101" customFormat="1" ht="6.75" x14ac:dyDescent="0.15">
      <c r="A36" s="92" t="s">
        <v>68</v>
      </c>
      <c r="B36" s="92" t="s">
        <v>455</v>
      </c>
      <c r="C36" s="92" t="s">
        <v>443</v>
      </c>
      <c r="D36" s="92" t="s">
        <v>444</v>
      </c>
      <c r="E36" s="100" t="s">
        <v>493</v>
      </c>
      <c r="F36" s="92" t="s">
        <v>305</v>
      </c>
      <c r="G36" s="92" t="s">
        <v>306</v>
      </c>
      <c r="H36" s="92" t="s">
        <v>307</v>
      </c>
      <c r="I36" s="92" t="s">
        <v>309</v>
      </c>
      <c r="J36" s="92" t="s">
        <v>310</v>
      </c>
      <c r="K36" s="92" t="s">
        <v>311</v>
      </c>
      <c r="L36" s="92" t="s">
        <v>312</v>
      </c>
      <c r="M36" s="101" t="s">
        <v>314</v>
      </c>
      <c r="N36" s="101" t="s">
        <v>316</v>
      </c>
      <c r="O36" s="107" t="s">
        <v>491</v>
      </c>
    </row>
    <row r="37" spans="1:58" s="78" customFormat="1" x14ac:dyDescent="0.2">
      <c r="A37" s="68" t="s">
        <v>71</v>
      </c>
      <c r="B37" s="68" t="s">
        <v>594</v>
      </c>
      <c r="C37" s="69" t="s">
        <v>77</v>
      </c>
      <c r="D37" s="70">
        <v>1</v>
      </c>
      <c r="E37" s="94" t="s">
        <v>73</v>
      </c>
      <c r="F37" s="79"/>
      <c r="G37" s="79"/>
      <c r="H37" s="79"/>
      <c r="I37" s="80"/>
      <c r="J37" s="79"/>
      <c r="K37" s="79"/>
      <c r="L37" s="79"/>
      <c r="M37" s="78" t="s">
        <v>315</v>
      </c>
      <c r="N37" s="78" t="s">
        <v>65</v>
      </c>
      <c r="O37" s="85"/>
    </row>
    <row r="38" spans="1:58" s="101" customFormat="1" ht="6.75" x14ac:dyDescent="0.15">
      <c r="A38" s="92" t="s">
        <v>68</v>
      </c>
      <c r="B38" s="92" t="s">
        <v>455</v>
      </c>
      <c r="C38" s="92" t="s">
        <v>443</v>
      </c>
      <c r="D38" s="92" t="s">
        <v>444</v>
      </c>
      <c r="E38" s="100" t="s">
        <v>493</v>
      </c>
      <c r="F38" s="101" t="s">
        <v>235</v>
      </c>
      <c r="G38" s="101" t="s">
        <v>238</v>
      </c>
      <c r="H38" s="101" t="s">
        <v>595</v>
      </c>
      <c r="I38" s="101" t="s">
        <v>596</v>
      </c>
      <c r="J38" s="101" t="s">
        <v>599</v>
      </c>
      <c r="K38" s="101" t="s">
        <v>237</v>
      </c>
      <c r="L38" s="101" t="s">
        <v>597</v>
      </c>
      <c r="M38" s="101" t="s">
        <v>236</v>
      </c>
      <c r="N38" s="107" t="s">
        <v>491</v>
      </c>
    </row>
    <row r="39" spans="1:58" s="78" customFormat="1" x14ac:dyDescent="0.2">
      <c r="A39" s="68" t="s">
        <v>71</v>
      </c>
      <c r="B39" s="68" t="s">
        <v>598</v>
      </c>
      <c r="C39" s="69"/>
      <c r="D39" s="70">
        <v>1</v>
      </c>
      <c r="E39" s="94" t="s">
        <v>73</v>
      </c>
      <c r="F39" s="55" t="s">
        <v>73</v>
      </c>
      <c r="G39" s="55" t="s">
        <v>238</v>
      </c>
      <c r="H39" s="55" t="s">
        <v>109</v>
      </c>
      <c r="I39" s="55" t="s">
        <v>168</v>
      </c>
      <c r="J39" s="55" t="s">
        <v>73</v>
      </c>
      <c r="K39" s="55" t="s">
        <v>237</v>
      </c>
      <c r="L39" s="55" t="s">
        <v>109</v>
      </c>
      <c r="M39" s="55" t="s">
        <v>236</v>
      </c>
      <c r="N39" s="85"/>
    </row>
    <row r="40" spans="1:58" s="101" customFormat="1" ht="6.75" x14ac:dyDescent="0.15">
      <c r="A40" s="92" t="s">
        <v>68</v>
      </c>
      <c r="B40" s="92" t="s">
        <v>455</v>
      </c>
      <c r="C40" s="92" t="s">
        <v>443</v>
      </c>
      <c r="D40" s="92" t="s">
        <v>444</v>
      </c>
      <c r="E40" s="100" t="s">
        <v>493</v>
      </c>
      <c r="F40" s="107" t="s">
        <v>491</v>
      </c>
    </row>
    <row r="41" spans="1:58" s="78" customFormat="1" x14ac:dyDescent="0.2">
      <c r="A41" s="68" t="s">
        <v>71</v>
      </c>
      <c r="B41" s="68" t="s">
        <v>600</v>
      </c>
      <c r="C41" s="69"/>
      <c r="D41" s="70">
        <v>1</v>
      </c>
      <c r="E41" s="94" t="s">
        <v>73</v>
      </c>
      <c r="F41" s="85"/>
    </row>
    <row r="42" spans="1:58" s="102" customFormat="1" ht="6.75" x14ac:dyDescent="0.15">
      <c r="A42" s="92" t="s">
        <v>68</v>
      </c>
      <c r="B42" s="92" t="s">
        <v>455</v>
      </c>
      <c r="C42" s="92" t="s">
        <v>443</v>
      </c>
      <c r="D42" s="92" t="s">
        <v>444</v>
      </c>
      <c r="E42" s="100" t="s">
        <v>493</v>
      </c>
      <c r="F42" s="102" t="s">
        <v>485</v>
      </c>
      <c r="G42" s="102" t="s">
        <v>484</v>
      </c>
      <c r="H42" s="102" t="s">
        <v>486</v>
      </c>
      <c r="I42" s="102" t="s">
        <v>487</v>
      </c>
      <c r="J42" s="102" t="s">
        <v>488</v>
      </c>
      <c r="K42" s="102" t="s">
        <v>489</v>
      </c>
      <c r="L42" s="102" t="s">
        <v>490</v>
      </c>
      <c r="M42" s="102" t="s">
        <v>528</v>
      </c>
      <c r="N42" s="102" t="s">
        <v>126</v>
      </c>
      <c r="O42" s="102" t="s">
        <v>127</v>
      </c>
      <c r="P42" s="102" t="s">
        <v>128</v>
      </c>
      <c r="Q42" s="102" t="s">
        <v>129</v>
      </c>
      <c r="R42" s="102" t="s">
        <v>130</v>
      </c>
      <c r="S42" s="102" t="s">
        <v>131</v>
      </c>
      <c r="T42" s="102" t="s">
        <v>132</v>
      </c>
      <c r="U42" s="102" t="s">
        <v>491</v>
      </c>
      <c r="V42" s="102" t="s">
        <v>517</v>
      </c>
      <c r="W42" s="107" t="s">
        <v>491</v>
      </c>
    </row>
    <row r="43" spans="1:58" s="57" customFormat="1" ht="11.25" customHeight="1" x14ac:dyDescent="0.2">
      <c r="A43" s="68" t="s">
        <v>71</v>
      </c>
      <c r="B43" s="68" t="s">
        <v>500</v>
      </c>
      <c r="C43" s="69" t="s">
        <v>77</v>
      </c>
      <c r="D43" s="70">
        <v>1</v>
      </c>
      <c r="E43" s="94" t="s">
        <v>73</v>
      </c>
      <c r="F43" s="60" t="s">
        <v>133</v>
      </c>
      <c r="G43" s="60" t="s">
        <v>73</v>
      </c>
      <c r="H43" s="60" t="s">
        <v>134</v>
      </c>
      <c r="I43" s="60" t="s">
        <v>73</v>
      </c>
      <c r="J43" s="60" t="str">
        <f ca="1">(INDIRECT("'Data'!S"&amp;($C$1))) &amp; " Volt EGP Ref"</f>
        <v>Prev_RA-3522 Volt EGP Ref</v>
      </c>
      <c r="K43" s="60" t="s">
        <v>134</v>
      </c>
      <c r="L43" s="46" t="s">
        <v>73</v>
      </c>
      <c r="M43" s="60" t="str">
        <f ca="1">(INDIRECT("'Data'!S"&amp;($C$1))) &amp; " Tamper EGP Ref"</f>
        <v>Prev_RA-3522 Tamper EGP Ref</v>
      </c>
      <c r="N43" s="60" t="s">
        <v>134</v>
      </c>
      <c r="O43" s="60" t="s">
        <v>73</v>
      </c>
      <c r="P43" s="60" t="str">
        <f ca="1">(INDIRECT("'Data'!S"&amp;($C$1))) &amp; " ECV EGP Ref"</f>
        <v>Prev_RA-3522 ECV EGP Ref</v>
      </c>
      <c r="Q43" s="60" t="s">
        <v>134</v>
      </c>
      <c r="R43" s="60" t="s">
        <v>73</v>
      </c>
      <c r="S43" s="60" t="str">
        <f ca="1">(INDIRECT("'Data'!S"&amp;($C$1))) &amp; " Are Safe EGP Ref"</f>
        <v>Prev_RA-3522 Are Safe EGP Ref</v>
      </c>
      <c r="T43" s="60" t="s">
        <v>73</v>
      </c>
      <c r="U43" s="60" t="s">
        <v>492</v>
      </c>
      <c r="V43" s="60" t="s">
        <v>518</v>
      </c>
      <c r="W43" s="85"/>
    </row>
    <row r="44" spans="1:58" s="101" customFormat="1" ht="6.75" x14ac:dyDescent="0.15">
      <c r="A44" s="92" t="s">
        <v>68</v>
      </c>
      <c r="B44" s="92" t="s">
        <v>455</v>
      </c>
      <c r="C44" s="92" t="s">
        <v>443</v>
      </c>
      <c r="D44" s="92" t="s">
        <v>444</v>
      </c>
      <c r="E44" s="100" t="s">
        <v>493</v>
      </c>
      <c r="F44" s="101" t="s">
        <v>136</v>
      </c>
      <c r="G44" s="101" t="s">
        <v>137</v>
      </c>
      <c r="H44" s="101" t="s">
        <v>225</v>
      </c>
      <c r="I44" s="101" t="s">
        <v>226</v>
      </c>
      <c r="J44" s="101" t="s">
        <v>222</v>
      </c>
      <c r="K44" s="101" t="s">
        <v>223</v>
      </c>
      <c r="L44" s="101" t="s">
        <v>83</v>
      </c>
      <c r="M44" s="101" t="s">
        <v>101</v>
      </c>
      <c r="N44" s="101" t="s">
        <v>224</v>
      </c>
      <c r="O44" s="101" t="s">
        <v>138</v>
      </c>
      <c r="P44" s="101" t="s">
        <v>139</v>
      </c>
      <c r="Q44" s="101" t="s">
        <v>141</v>
      </c>
      <c r="R44" s="101" t="s">
        <v>227</v>
      </c>
      <c r="S44" s="101" t="s">
        <v>228</v>
      </c>
      <c r="T44" s="101" t="s">
        <v>229</v>
      </c>
      <c r="U44" s="101" t="s">
        <v>142</v>
      </c>
      <c r="V44" s="101" t="s">
        <v>143</v>
      </c>
      <c r="W44" s="101" t="s">
        <v>230</v>
      </c>
      <c r="X44" s="102" t="s">
        <v>491</v>
      </c>
    </row>
    <row r="45" spans="1:58" s="57" customFormat="1" x14ac:dyDescent="0.2">
      <c r="A45" s="68" t="s">
        <v>71</v>
      </c>
      <c r="B45" s="68" t="s">
        <v>601</v>
      </c>
      <c r="C45" s="69"/>
      <c r="D45" s="70">
        <v>1</v>
      </c>
      <c r="E45" s="94" t="s">
        <v>73</v>
      </c>
      <c r="F45" s="60" t="s">
        <v>73</v>
      </c>
      <c r="G45" s="60" t="str">
        <f ca="1">(INDIRECT("'Data'!S"&amp;($C$1))) &amp; " Smart Notes"</f>
        <v>Prev_RA-3522 Smart Notes</v>
      </c>
      <c r="H45" s="60" t="s">
        <v>74</v>
      </c>
      <c r="I45" s="60" t="s">
        <v>73</v>
      </c>
      <c r="J45" s="60" t="s">
        <v>99</v>
      </c>
      <c r="K45" s="60"/>
      <c r="L45" s="60" t="s">
        <v>77</v>
      </c>
      <c r="M45" s="60" t="s">
        <v>77</v>
      </c>
      <c r="N45" s="60" t="s">
        <v>77</v>
      </c>
      <c r="O45" s="60" t="s">
        <v>77</v>
      </c>
      <c r="P45" s="60" t="s">
        <v>77</v>
      </c>
      <c r="Q45" s="60"/>
      <c r="R45" s="60"/>
      <c r="S45" s="60"/>
      <c r="T45" s="60"/>
      <c r="U45" s="60"/>
      <c r="X45" s="60" t="s">
        <v>492</v>
      </c>
    </row>
    <row r="46" spans="1:58" s="111" customFormat="1" ht="6.75" x14ac:dyDescent="0.15">
      <c r="A46" s="92" t="s">
        <v>68</v>
      </c>
      <c r="B46" s="92" t="s">
        <v>455</v>
      </c>
      <c r="C46" s="92" t="s">
        <v>443</v>
      </c>
      <c r="D46" s="92" t="s">
        <v>444</v>
      </c>
      <c r="E46" s="100" t="s">
        <v>493</v>
      </c>
      <c r="F46" s="111" t="s">
        <v>569</v>
      </c>
      <c r="G46" s="111" t="s">
        <v>116</v>
      </c>
      <c r="H46" s="111" t="s">
        <v>117</v>
      </c>
      <c r="I46" s="111" t="s">
        <v>118</v>
      </c>
      <c r="J46" s="111" t="s">
        <v>123</v>
      </c>
      <c r="K46" s="111" t="s">
        <v>119</v>
      </c>
      <c r="L46" s="111" t="s">
        <v>221</v>
      </c>
      <c r="M46" s="111" t="s">
        <v>232</v>
      </c>
      <c r="N46" s="111" t="s">
        <v>603</v>
      </c>
      <c r="O46" s="111" t="s">
        <v>177</v>
      </c>
      <c r="P46" s="111" t="s">
        <v>169</v>
      </c>
      <c r="Q46" s="111" t="s">
        <v>170</v>
      </c>
      <c r="R46" s="111" t="s">
        <v>327</v>
      </c>
      <c r="S46" s="111" t="s">
        <v>328</v>
      </c>
      <c r="T46" s="111" t="s">
        <v>329</v>
      </c>
      <c r="U46" s="111" t="s">
        <v>329</v>
      </c>
      <c r="V46" s="111" t="s">
        <v>173</v>
      </c>
      <c r="W46" s="111" t="s">
        <v>174</v>
      </c>
      <c r="X46" s="111" t="s">
        <v>175</v>
      </c>
      <c r="Y46" s="111" t="s">
        <v>176</v>
      </c>
      <c r="Z46" s="111" t="s">
        <v>605</v>
      </c>
      <c r="AA46" s="111" t="s">
        <v>606</v>
      </c>
      <c r="AB46" s="111" t="s">
        <v>609</v>
      </c>
      <c r="AC46" s="111" t="s">
        <v>181</v>
      </c>
      <c r="AD46" s="111" t="s">
        <v>182</v>
      </c>
      <c r="AE46" s="111" t="s">
        <v>183</v>
      </c>
      <c r="AF46" s="111" t="s">
        <v>184</v>
      </c>
      <c r="AG46" s="111" t="s">
        <v>185</v>
      </c>
      <c r="AH46" s="111" t="s">
        <v>604</v>
      </c>
      <c r="AI46" s="111" t="s">
        <v>187</v>
      </c>
      <c r="AJ46" s="111" t="s">
        <v>607</v>
      </c>
      <c r="AK46" s="111" t="s">
        <v>608</v>
      </c>
      <c r="AL46" s="111" t="s">
        <v>198</v>
      </c>
      <c r="AM46" s="111" t="s">
        <v>199</v>
      </c>
      <c r="AN46" s="111" t="s">
        <v>200</v>
      </c>
      <c r="AO46" s="111" t="s">
        <v>610</v>
      </c>
      <c r="AP46" s="111" t="s">
        <v>611</v>
      </c>
      <c r="AQ46" s="111" t="s">
        <v>612</v>
      </c>
      <c r="AR46" s="111" t="s">
        <v>613</v>
      </c>
      <c r="AS46" s="111" t="s">
        <v>194</v>
      </c>
      <c r="AT46" s="111" t="s">
        <v>195</v>
      </c>
      <c r="AU46" s="111" t="s">
        <v>196</v>
      </c>
      <c r="AV46" s="111" t="s">
        <v>197</v>
      </c>
      <c r="AW46" s="111" t="s">
        <v>107</v>
      </c>
      <c r="AX46" s="111" t="s">
        <v>103</v>
      </c>
      <c r="AY46" s="111" t="s">
        <v>104</v>
      </c>
      <c r="AZ46" s="111" t="s">
        <v>105</v>
      </c>
      <c r="BA46" s="111" t="s">
        <v>106</v>
      </c>
      <c r="BB46" s="111" t="s">
        <v>266</v>
      </c>
      <c r="BC46" s="111" t="s">
        <v>272</v>
      </c>
      <c r="BD46" s="111" t="s">
        <v>273</v>
      </c>
      <c r="BE46" s="111" t="s">
        <v>274</v>
      </c>
      <c r="BF46" s="111" t="s">
        <v>271</v>
      </c>
    </row>
    <row r="47" spans="1:58" s="57" customFormat="1" x14ac:dyDescent="0.2">
      <c r="A47" s="68" t="s">
        <v>71</v>
      </c>
      <c r="B47" s="68" t="s">
        <v>602</v>
      </c>
      <c r="C47" s="69"/>
      <c r="D47" s="70">
        <v>1</v>
      </c>
      <c r="E47" s="96" t="s">
        <v>73</v>
      </c>
      <c r="F47" s="89" t="s">
        <v>73</v>
      </c>
      <c r="G47" s="90" t="s">
        <v>75</v>
      </c>
      <c r="H47" s="90" t="s">
        <v>77</v>
      </c>
      <c r="I47" s="90" t="s">
        <v>77</v>
      </c>
      <c r="J47" s="90" t="s">
        <v>73</v>
      </c>
      <c r="K47" s="90" t="s">
        <v>120</v>
      </c>
      <c r="L47" s="90">
        <v>1</v>
      </c>
      <c r="M47" s="90" t="s">
        <v>233</v>
      </c>
      <c r="N47" s="90" t="str">
        <f ca="1">(INDIRECT("'Data'!AZ"&amp;($C$1)))</f>
        <v>LU4 9RY</v>
      </c>
      <c r="O47" s="90" t="str">
        <f ca="1">(INDIRECT("'Data'!CL"&amp;($C$1)))</f>
        <v>false</v>
      </c>
      <c r="P47" s="90">
        <f ca="1">(INDIRECT("'Data'!AS"&amp;($C$1)))</f>
        <v>0</v>
      </c>
      <c r="Q47" s="90">
        <f ca="1">(INDIRECT("'Data'!AR"&amp;($C$1)))</f>
        <v>0</v>
      </c>
      <c r="R47" s="60" t="str">
        <f ca="1">(INDIRECT("'Data'!CM"&amp;($C$1)))</f>
        <v>true</v>
      </c>
      <c r="S47" s="90" t="s">
        <v>77</v>
      </c>
      <c r="T47" s="90"/>
      <c r="U47" s="90"/>
      <c r="V47" s="90" t="str">
        <f ca="1">(INDIRECT("'Data'!CN"&amp;($C$1)))</f>
        <v>EXCHANGE GAS METER TO SECURE SMART CREDIT</v>
      </c>
      <c r="W47" s="90"/>
      <c r="X47" s="90"/>
      <c r="Y47" s="90"/>
      <c r="Z47" s="60">
        <v>12345</v>
      </c>
      <c r="AA47" s="60" t="s">
        <v>164</v>
      </c>
      <c r="AB47" s="60" t="s">
        <v>234</v>
      </c>
      <c r="AC47" s="90" t="s">
        <v>77</v>
      </c>
      <c r="AD47" s="90">
        <v>1</v>
      </c>
      <c r="AE47" s="90"/>
      <c r="AF47" s="90"/>
      <c r="AG47" s="90"/>
      <c r="AH47" s="57" t="s">
        <v>163</v>
      </c>
      <c r="AI47" s="89"/>
      <c r="AJ47" s="57" t="s">
        <v>75</v>
      </c>
      <c r="AL47" s="89"/>
      <c r="AM47" s="89"/>
      <c r="AN47" s="89"/>
      <c r="AS47" s="89"/>
      <c r="AT47" s="89"/>
      <c r="AU47" s="89"/>
      <c r="AV47" s="89" t="s">
        <v>73</v>
      </c>
      <c r="AW47" s="89"/>
      <c r="AX47" s="89"/>
      <c r="AY47" s="89"/>
      <c r="AZ47" s="89"/>
      <c r="BA47" s="89"/>
      <c r="BB47" s="90" t="str">
        <f ca="1">(INDIRECT("'Data'!CO"&amp;($C$1)))</f>
        <v>GAS_JOB_ID-3522</v>
      </c>
      <c r="BC47" s="89" t="s">
        <v>73</v>
      </c>
      <c r="BD47" s="89" t="s">
        <v>270</v>
      </c>
      <c r="BE47" s="89" t="s">
        <v>73</v>
      </c>
      <c r="BF47" s="89" t="s">
        <v>73</v>
      </c>
    </row>
    <row r="48" spans="1:58" s="111" customFormat="1" ht="6.75" x14ac:dyDescent="0.15">
      <c r="A48" s="92" t="s">
        <v>68</v>
      </c>
      <c r="B48" s="92" t="s">
        <v>455</v>
      </c>
      <c r="C48" s="92" t="s">
        <v>443</v>
      </c>
      <c r="D48" s="92" t="s">
        <v>444</v>
      </c>
      <c r="E48" s="100" t="s">
        <v>493</v>
      </c>
      <c r="F48" s="111" t="s">
        <v>616</v>
      </c>
      <c r="G48" s="111" t="s">
        <v>617</v>
      </c>
      <c r="H48" s="111" t="s">
        <v>619</v>
      </c>
      <c r="I48" s="111" t="s">
        <v>622</v>
      </c>
      <c r="J48" s="111" t="s">
        <v>618</v>
      </c>
      <c r="K48" s="111" t="s">
        <v>239</v>
      </c>
      <c r="L48" s="111" t="s">
        <v>615</v>
      </c>
      <c r="M48" s="112" t="s">
        <v>491</v>
      </c>
    </row>
    <row r="49" spans="1:32" s="57" customFormat="1" ht="11.25" customHeight="1" x14ac:dyDescent="0.2">
      <c r="A49" s="68" t="s">
        <v>71</v>
      </c>
      <c r="B49" s="68" t="s">
        <v>614</v>
      </c>
      <c r="C49" s="69"/>
      <c r="D49" s="91">
        <v>1</v>
      </c>
      <c r="E49" s="94" t="s">
        <v>73</v>
      </c>
      <c r="F49" s="48" t="str">
        <f ca="1">(INDIRECT("'Data'!CQ"&amp;($C$1)))</f>
        <v>100003522</v>
      </c>
      <c r="G49" s="48" t="str">
        <f ca="1">(INDIRECT("'Data'!CT"&amp;($C$1)))</f>
        <v>GMETER3522</v>
      </c>
      <c r="H49" s="48" t="str">
        <f ca="1">(INDIRECT("'Data'!DB"&amp;($C$1)))</f>
        <v>GAS_INST_ID-3522</v>
      </c>
      <c r="I49" s="48" t="str">
        <f ca="1">(INDIRECT("'Data'!DC"&amp;($C$1)))</f>
        <v>H</v>
      </c>
      <c r="J49" s="57" t="s">
        <v>704</v>
      </c>
      <c r="K49" s="57" t="s">
        <v>73</v>
      </c>
      <c r="L49" s="57" t="s">
        <v>623</v>
      </c>
      <c r="M49" s="55" t="s">
        <v>492</v>
      </c>
    </row>
    <row r="50" spans="1:32" s="114" customFormat="1" ht="6.75" x14ac:dyDescent="0.15">
      <c r="A50" s="115" t="s">
        <v>68</v>
      </c>
      <c r="B50" s="115" t="s">
        <v>455</v>
      </c>
      <c r="C50" s="115" t="s">
        <v>443</v>
      </c>
      <c r="D50" s="116" t="s">
        <v>444</v>
      </c>
      <c r="E50" s="113" t="s">
        <v>493</v>
      </c>
      <c r="F50" s="114" t="s">
        <v>628</v>
      </c>
      <c r="G50" s="114" t="s">
        <v>624</v>
      </c>
      <c r="H50" s="114" t="s">
        <v>625</v>
      </c>
      <c r="I50" s="114" t="s">
        <v>626</v>
      </c>
      <c r="J50" s="114" t="s">
        <v>627</v>
      </c>
      <c r="K50" s="114" t="s">
        <v>629</v>
      </c>
      <c r="L50" s="114" t="s">
        <v>630</v>
      </c>
      <c r="M50" s="114" t="s">
        <v>631</v>
      </c>
      <c r="N50" s="114" t="s">
        <v>471</v>
      </c>
      <c r="O50" s="107" t="s">
        <v>491</v>
      </c>
    </row>
    <row r="51" spans="1:32" s="57" customFormat="1" ht="11.25" customHeight="1" x14ac:dyDescent="0.2">
      <c r="A51" s="68" t="s">
        <v>71</v>
      </c>
      <c r="B51" s="68" t="s">
        <v>620</v>
      </c>
      <c r="C51" s="69" t="s">
        <v>77</v>
      </c>
      <c r="D51" s="70">
        <v>1</v>
      </c>
      <c r="E51" s="94" t="s">
        <v>73</v>
      </c>
      <c r="F51" s="57" t="s">
        <v>296</v>
      </c>
      <c r="G51" s="59" t="s">
        <v>297</v>
      </c>
      <c r="H51" s="57" t="s">
        <v>298</v>
      </c>
      <c r="I51" s="60">
        <v>400</v>
      </c>
      <c r="J51" s="57" t="s">
        <v>299</v>
      </c>
      <c r="K51" s="57" t="s">
        <v>300</v>
      </c>
      <c r="L51" s="57" t="s">
        <v>301</v>
      </c>
      <c r="M51" s="57" t="s">
        <v>73</v>
      </c>
      <c r="N51" s="57" t="s">
        <v>632</v>
      </c>
      <c r="O51" s="85"/>
    </row>
    <row r="52" spans="1:32" s="111" customFormat="1" ht="6.75" x14ac:dyDescent="0.15">
      <c r="A52" s="92" t="s">
        <v>68</v>
      </c>
      <c r="B52" s="92" t="s">
        <v>69</v>
      </c>
      <c r="C52" s="92" t="s">
        <v>70</v>
      </c>
      <c r="D52" s="92" t="s">
        <v>444</v>
      </c>
      <c r="E52" s="100" t="s">
        <v>493</v>
      </c>
      <c r="F52" s="111" t="s">
        <v>633</v>
      </c>
      <c r="G52" s="111" t="s">
        <v>634</v>
      </c>
      <c r="H52" s="107" t="s">
        <v>491</v>
      </c>
      <c r="I52" s="111" t="s">
        <v>77</v>
      </c>
      <c r="J52" s="111" t="s">
        <v>77</v>
      </c>
      <c r="K52" s="111" t="s">
        <v>77</v>
      </c>
      <c r="L52" s="111" t="s">
        <v>77</v>
      </c>
      <c r="M52" s="111" t="s">
        <v>77</v>
      </c>
      <c r="N52" s="111" t="s">
        <v>77</v>
      </c>
    </row>
    <row r="53" spans="1:32" s="57" customFormat="1" ht="11.25" customHeight="1" x14ac:dyDescent="0.2">
      <c r="A53" s="118" t="s">
        <v>71</v>
      </c>
      <c r="B53" s="118" t="s">
        <v>621</v>
      </c>
      <c r="C53" s="119"/>
      <c r="D53" s="82">
        <v>1</v>
      </c>
      <c r="E53" s="94" t="s">
        <v>73</v>
      </c>
      <c r="F53" s="57" t="s">
        <v>120</v>
      </c>
      <c r="G53" s="59" t="s">
        <v>73</v>
      </c>
      <c r="H53" s="85"/>
      <c r="I53" s="60" t="s">
        <v>77</v>
      </c>
      <c r="J53" s="57" t="s">
        <v>77</v>
      </c>
      <c r="K53" s="57" t="s">
        <v>77</v>
      </c>
      <c r="L53" s="57" t="s">
        <v>77</v>
      </c>
      <c r="M53" s="57" t="s">
        <v>77</v>
      </c>
      <c r="N53" s="57" t="s">
        <v>77</v>
      </c>
    </row>
    <row r="54" spans="1:32" s="111" customFormat="1" ht="6.75" x14ac:dyDescent="0.15">
      <c r="A54" s="92" t="s">
        <v>68</v>
      </c>
      <c r="B54" s="92" t="s">
        <v>69</v>
      </c>
      <c r="C54" s="92" t="s">
        <v>70</v>
      </c>
      <c r="D54" s="92" t="s">
        <v>444</v>
      </c>
      <c r="E54" s="100" t="s">
        <v>493</v>
      </c>
      <c r="F54" s="111" t="s">
        <v>636</v>
      </c>
      <c r="G54" s="111" t="s">
        <v>245</v>
      </c>
      <c r="H54" s="111" t="s">
        <v>243</v>
      </c>
      <c r="I54" s="111" t="s">
        <v>244</v>
      </c>
      <c r="J54" s="107" t="s">
        <v>491</v>
      </c>
    </row>
    <row r="55" spans="1:32" s="57" customFormat="1" ht="11.25" customHeight="1" x14ac:dyDescent="0.2">
      <c r="A55" s="118" t="s">
        <v>71</v>
      </c>
      <c r="B55" s="118" t="s">
        <v>635</v>
      </c>
      <c r="C55" s="119" t="s">
        <v>77</v>
      </c>
      <c r="D55" s="82">
        <v>1</v>
      </c>
      <c r="E55" s="94" t="s">
        <v>73</v>
      </c>
      <c r="F55" s="60">
        <v>888888</v>
      </c>
      <c r="G55" s="60" t="s">
        <v>246</v>
      </c>
      <c r="H55" s="60" t="s">
        <v>247</v>
      </c>
      <c r="I55" s="60" t="s">
        <v>248</v>
      </c>
      <c r="J55" s="85"/>
      <c r="K55" s="60"/>
      <c r="L55" s="60"/>
      <c r="M55" s="59"/>
    </row>
    <row r="56" spans="1:32" s="111" customFormat="1" ht="6.75" x14ac:dyDescent="0.15">
      <c r="A56" s="92" t="s">
        <v>68</v>
      </c>
      <c r="B56" s="92" t="s">
        <v>69</v>
      </c>
      <c r="C56" s="92" t="s">
        <v>70</v>
      </c>
      <c r="D56" s="92" t="s">
        <v>444</v>
      </c>
      <c r="E56" s="100" t="s">
        <v>493</v>
      </c>
      <c r="F56" s="111" t="s">
        <v>638</v>
      </c>
      <c r="G56" s="111" t="s">
        <v>639</v>
      </c>
      <c r="H56" s="111" t="s">
        <v>640</v>
      </c>
      <c r="I56" s="111" t="s">
        <v>576</v>
      </c>
      <c r="J56" s="107" t="s">
        <v>491</v>
      </c>
    </row>
    <row r="57" spans="1:32" s="57" customFormat="1" ht="11.25" customHeight="1" x14ac:dyDescent="0.2">
      <c r="A57" s="118" t="s">
        <v>71</v>
      </c>
      <c r="B57" s="118" t="s">
        <v>637</v>
      </c>
      <c r="C57" s="119"/>
      <c r="D57" s="117">
        <v>1</v>
      </c>
      <c r="E57" s="94" t="s">
        <v>73</v>
      </c>
      <c r="F57" s="60" t="str">
        <f ca="1">("G00G"&amp;RIGHT(F11,6))</f>
        <v>G00G0</v>
      </c>
      <c r="G57" s="60" t="s">
        <v>164</v>
      </c>
      <c r="H57" s="60" t="s">
        <v>234</v>
      </c>
      <c r="I57" s="60" t="s">
        <v>324</v>
      </c>
      <c r="J57" s="85"/>
    </row>
    <row r="58" spans="1:32" s="111" customFormat="1" ht="6.75" x14ac:dyDescent="0.15">
      <c r="A58" s="92" t="s">
        <v>68</v>
      </c>
      <c r="B58" s="92" t="s">
        <v>69</v>
      </c>
      <c r="C58" s="92" t="s">
        <v>70</v>
      </c>
      <c r="D58" s="92" t="s">
        <v>444</v>
      </c>
      <c r="E58" s="100" t="s">
        <v>493</v>
      </c>
      <c r="F58" s="111" t="s">
        <v>644</v>
      </c>
      <c r="G58" s="111" t="s">
        <v>645</v>
      </c>
      <c r="H58" s="111" t="s">
        <v>646</v>
      </c>
      <c r="I58" s="107" t="s">
        <v>491</v>
      </c>
    </row>
    <row r="59" spans="1:32" s="57" customFormat="1" ht="11.25" customHeight="1" x14ac:dyDescent="0.2">
      <c r="A59" s="118" t="s">
        <v>71</v>
      </c>
      <c r="B59" s="118" t="s">
        <v>641</v>
      </c>
      <c r="C59" s="119"/>
      <c r="D59" s="82">
        <v>1</v>
      </c>
      <c r="E59" s="94" t="s">
        <v>73</v>
      </c>
      <c r="F59" s="57" t="s">
        <v>705</v>
      </c>
      <c r="G59" s="57" t="s">
        <v>73</v>
      </c>
      <c r="H59" s="57" t="s">
        <v>647</v>
      </c>
      <c r="I59" s="85"/>
    </row>
    <row r="60" spans="1:32" s="111" customFormat="1" ht="6.75" x14ac:dyDescent="0.15">
      <c r="A60" s="92" t="s">
        <v>68</v>
      </c>
      <c r="B60" s="92" t="s">
        <v>69</v>
      </c>
      <c r="C60" s="92" t="s">
        <v>70</v>
      </c>
      <c r="D60" s="92" t="s">
        <v>444</v>
      </c>
      <c r="E60" s="100" t="s">
        <v>493</v>
      </c>
      <c r="F60" s="111" t="s">
        <v>649</v>
      </c>
      <c r="G60" s="111" t="s">
        <v>650</v>
      </c>
      <c r="H60" s="111" t="s">
        <v>651</v>
      </c>
      <c r="I60" s="107" t="s">
        <v>491</v>
      </c>
    </row>
    <row r="61" spans="1:32" s="57" customFormat="1" ht="11.25" customHeight="1" x14ac:dyDescent="0.2">
      <c r="A61" s="118" t="s">
        <v>71</v>
      </c>
      <c r="B61" s="118" t="s">
        <v>648</v>
      </c>
      <c r="C61" s="119" t="s">
        <v>325</v>
      </c>
      <c r="D61" s="82">
        <v>1</v>
      </c>
      <c r="E61" s="94" t="s">
        <v>73</v>
      </c>
      <c r="F61" s="57" t="s">
        <v>73</v>
      </c>
      <c r="G61" s="57" t="s">
        <v>653</v>
      </c>
      <c r="H61" s="57" t="s">
        <v>65</v>
      </c>
      <c r="I61" s="85"/>
    </row>
    <row r="62" spans="1:32" s="111" customFormat="1" ht="6.75" x14ac:dyDescent="0.15">
      <c r="A62" s="92" t="s">
        <v>68</v>
      </c>
      <c r="B62" s="92" t="s">
        <v>69</v>
      </c>
      <c r="C62" s="92" t="s">
        <v>70</v>
      </c>
      <c r="D62" s="92" t="s">
        <v>444</v>
      </c>
      <c r="E62" s="100" t="s">
        <v>493</v>
      </c>
      <c r="F62" s="111" t="s">
        <v>249</v>
      </c>
      <c r="G62" s="111" t="s">
        <v>250</v>
      </c>
      <c r="H62" s="111" t="s">
        <v>251</v>
      </c>
      <c r="I62" s="111" t="s">
        <v>252</v>
      </c>
      <c r="J62" s="111" t="s">
        <v>654</v>
      </c>
      <c r="K62" s="111" t="s">
        <v>655</v>
      </c>
      <c r="L62" s="111" t="s">
        <v>656</v>
      </c>
      <c r="M62" s="111" t="s">
        <v>553</v>
      </c>
      <c r="N62" s="111" t="s">
        <v>657</v>
      </c>
      <c r="O62" s="111" t="s">
        <v>658</v>
      </c>
      <c r="P62" s="111" t="s">
        <v>659</v>
      </c>
      <c r="Q62" s="111" t="s">
        <v>661</v>
      </c>
      <c r="R62" s="111" t="s">
        <v>662</v>
      </c>
      <c r="S62" s="111" t="s">
        <v>663</v>
      </c>
      <c r="T62" s="111" t="s">
        <v>664</v>
      </c>
      <c r="U62" s="111" t="s">
        <v>223</v>
      </c>
      <c r="V62" s="111" t="s">
        <v>640</v>
      </c>
      <c r="W62" s="111" t="s">
        <v>665</v>
      </c>
      <c r="X62" s="111" t="s">
        <v>666</v>
      </c>
      <c r="Y62" s="111" t="s">
        <v>667</v>
      </c>
      <c r="Z62" s="111" t="s">
        <v>668</v>
      </c>
      <c r="AA62" s="111" t="s">
        <v>669</v>
      </c>
      <c r="AB62" s="111" t="s">
        <v>670</v>
      </c>
      <c r="AC62" s="111" t="s">
        <v>671</v>
      </c>
      <c r="AD62" s="111" t="s">
        <v>672</v>
      </c>
      <c r="AE62" s="111" t="s">
        <v>660</v>
      </c>
      <c r="AF62" s="107" t="s">
        <v>491</v>
      </c>
    </row>
    <row r="63" spans="1:32" s="57" customFormat="1" x14ac:dyDescent="0.2">
      <c r="A63" s="118" t="s">
        <v>71</v>
      </c>
      <c r="B63" s="118" t="s">
        <v>652</v>
      </c>
      <c r="C63" s="119" t="s">
        <v>77</v>
      </c>
      <c r="D63" s="117">
        <v>1</v>
      </c>
      <c r="E63" s="94" t="s">
        <v>73</v>
      </c>
      <c r="F63" s="60" t="s">
        <v>253</v>
      </c>
      <c r="G63" s="60">
        <v>1</v>
      </c>
      <c r="H63" s="60" t="b">
        <v>0</v>
      </c>
      <c r="I63" s="60" t="s">
        <v>253</v>
      </c>
      <c r="J63" s="59" t="s">
        <v>73</v>
      </c>
      <c r="K63" s="59">
        <v>123</v>
      </c>
      <c r="L63" s="59" t="s">
        <v>73</v>
      </c>
      <c r="M63" s="59" t="s">
        <v>229</v>
      </c>
      <c r="N63" s="59" t="s">
        <v>73</v>
      </c>
      <c r="O63" s="59" t="s">
        <v>73</v>
      </c>
      <c r="P63" s="60" t="s">
        <v>73</v>
      </c>
      <c r="Q63" s="60" t="s">
        <v>73</v>
      </c>
      <c r="R63" s="60" t="s">
        <v>73</v>
      </c>
      <c r="S63" s="60" t="s">
        <v>73</v>
      </c>
      <c r="T63" s="60" t="s">
        <v>73</v>
      </c>
      <c r="U63" s="60">
        <v>1.5</v>
      </c>
      <c r="V63" s="60" t="s">
        <v>674</v>
      </c>
      <c r="W63" s="60" t="s">
        <v>73</v>
      </c>
      <c r="X63" s="60" t="s">
        <v>259</v>
      </c>
      <c r="Y63" s="60" t="s">
        <v>73</v>
      </c>
      <c r="Z63" s="60" t="s">
        <v>73</v>
      </c>
      <c r="AA63" s="60" t="s">
        <v>73</v>
      </c>
      <c r="AB63" s="60" t="s">
        <v>73</v>
      </c>
      <c r="AC63" s="60" t="s">
        <v>73</v>
      </c>
      <c r="AD63" s="60" t="s">
        <v>73</v>
      </c>
      <c r="AE63" s="60" t="s">
        <v>673</v>
      </c>
      <c r="AF63" s="85"/>
    </row>
    <row r="64" spans="1:32" s="111" customFormat="1" ht="6.75" x14ac:dyDescent="0.15">
      <c r="A64" s="92" t="s">
        <v>68</v>
      </c>
      <c r="B64" s="92" t="s">
        <v>69</v>
      </c>
      <c r="C64" s="92" t="s">
        <v>70</v>
      </c>
      <c r="D64" s="92" t="s">
        <v>444</v>
      </c>
      <c r="E64" s="100" t="s">
        <v>493</v>
      </c>
      <c r="F64" s="111" t="s">
        <v>683</v>
      </c>
      <c r="G64" s="111" t="s">
        <v>684</v>
      </c>
      <c r="H64" s="111" t="s">
        <v>685</v>
      </c>
      <c r="I64" s="111" t="s">
        <v>1</v>
      </c>
      <c r="J64" s="111" t="s">
        <v>2</v>
      </c>
      <c r="K64" s="111" t="s">
        <v>3</v>
      </c>
      <c r="L64" s="111" t="s">
        <v>688</v>
      </c>
      <c r="M64" s="111" t="s">
        <v>687</v>
      </c>
      <c r="N64" s="111" t="s">
        <v>686</v>
      </c>
      <c r="O64" s="111" t="s">
        <v>676</v>
      </c>
      <c r="P64" s="111" t="s">
        <v>689</v>
      </c>
      <c r="Q64" s="111" t="s">
        <v>691</v>
      </c>
      <c r="R64" s="111" t="s">
        <v>692</v>
      </c>
      <c r="S64" s="111" t="s">
        <v>693</v>
      </c>
      <c r="T64" s="111" t="s">
        <v>694</v>
      </c>
      <c r="U64" s="111" t="s">
        <v>695</v>
      </c>
      <c r="V64" s="111" t="s">
        <v>696</v>
      </c>
      <c r="W64" s="111" t="s">
        <v>682</v>
      </c>
      <c r="X64" s="111" t="s">
        <v>677</v>
      </c>
      <c r="Y64" s="107" t="s">
        <v>491</v>
      </c>
    </row>
    <row r="65" spans="1:29" s="57" customFormat="1" ht="11.25" customHeight="1" x14ac:dyDescent="0.2">
      <c r="A65" s="118" t="s">
        <v>71</v>
      </c>
      <c r="B65" s="118" t="s">
        <v>675</v>
      </c>
      <c r="C65" s="119"/>
      <c r="D65" s="82">
        <v>1</v>
      </c>
      <c r="E65" s="94" t="s">
        <v>73</v>
      </c>
      <c r="F65" s="57" t="s">
        <v>73</v>
      </c>
      <c r="G65" s="57" t="s">
        <v>73</v>
      </c>
      <c r="H65" s="57" t="s">
        <v>256</v>
      </c>
      <c r="I65" s="57" t="s">
        <v>257</v>
      </c>
      <c r="J65" s="57" t="s">
        <v>258</v>
      </c>
      <c r="K65" s="57" t="s">
        <v>678</v>
      </c>
      <c r="L65" s="57" t="s">
        <v>679</v>
      </c>
      <c r="M65" s="57" t="s">
        <v>680</v>
      </c>
      <c r="N65" s="57" t="s">
        <v>681</v>
      </c>
      <c r="O65" s="57" t="s">
        <v>73</v>
      </c>
      <c r="P65" s="57" t="s">
        <v>690</v>
      </c>
      <c r="Q65" s="57" t="s">
        <v>73</v>
      </c>
      <c r="R65" s="57" t="s">
        <v>73</v>
      </c>
      <c r="S65" s="57" t="s">
        <v>254</v>
      </c>
      <c r="T65" s="57" t="s">
        <v>108</v>
      </c>
      <c r="U65" s="57" t="s">
        <v>255</v>
      </c>
      <c r="V65" s="57" t="s">
        <v>73</v>
      </c>
      <c r="W65" s="57" t="s">
        <v>73</v>
      </c>
      <c r="X65" s="57" t="s">
        <v>73</v>
      </c>
      <c r="Y65" s="85"/>
    </row>
    <row r="66" spans="1:29" s="111" customFormat="1" ht="6.75" x14ac:dyDescent="0.15">
      <c r="A66" s="92" t="s">
        <v>68</v>
      </c>
      <c r="B66" s="92" t="s">
        <v>69</v>
      </c>
      <c r="C66" s="92" t="s">
        <v>70</v>
      </c>
      <c r="D66" s="92" t="s">
        <v>444</v>
      </c>
      <c r="E66" s="100" t="s">
        <v>493</v>
      </c>
      <c r="F66" s="111" t="s">
        <v>697</v>
      </c>
      <c r="G66" s="111" t="s">
        <v>698</v>
      </c>
      <c r="H66" s="111" t="s">
        <v>699</v>
      </c>
      <c r="I66" s="111" t="s">
        <v>700</v>
      </c>
      <c r="J66" s="111" t="s">
        <v>701</v>
      </c>
      <c r="K66" s="206" t="s">
        <v>838</v>
      </c>
      <c r="L66" s="145" t="s">
        <v>839</v>
      </c>
      <c r="M66" s="111" t="s">
        <v>471</v>
      </c>
      <c r="N66" s="102" t="s">
        <v>475</v>
      </c>
      <c r="O66" s="107" t="s">
        <v>491</v>
      </c>
    </row>
    <row r="67" spans="1:29" s="57" customFormat="1" ht="11.25" customHeight="1" x14ac:dyDescent="0.2">
      <c r="A67" s="118" t="s">
        <v>71</v>
      </c>
      <c r="B67" s="118" t="s">
        <v>144</v>
      </c>
      <c r="C67" s="118"/>
      <c r="D67" s="82">
        <v>1</v>
      </c>
      <c r="E67" s="94" t="s">
        <v>73</v>
      </c>
      <c r="F67" s="60" t="s">
        <v>703</v>
      </c>
      <c r="G67" s="60" t="s">
        <v>165</v>
      </c>
      <c r="H67" s="60" t="s">
        <v>73</v>
      </c>
      <c r="I67" s="60" t="s">
        <v>73</v>
      </c>
      <c r="J67" s="60" t="s">
        <v>73</v>
      </c>
      <c r="K67" s="207"/>
      <c r="L67" s="60" t="s">
        <v>73</v>
      </c>
      <c r="M67" s="60" t="s">
        <v>702</v>
      </c>
      <c r="N67" s="48">
        <f ca="1">(INDIRECT("'Data'!CD"&amp;($C$1)))</f>
        <v>0</v>
      </c>
      <c r="O67" s="85"/>
      <c r="P67" s="60"/>
      <c r="Q67" s="60"/>
      <c r="R67" s="60"/>
      <c r="S67" s="60"/>
      <c r="T67" s="60"/>
    </row>
    <row r="68" spans="1:29" s="111" customFormat="1" ht="6.75" x14ac:dyDescent="0.15">
      <c r="A68" s="92" t="s">
        <v>68</v>
      </c>
      <c r="B68" s="92" t="s">
        <v>69</v>
      </c>
      <c r="C68" s="92" t="s">
        <v>70</v>
      </c>
      <c r="D68" s="92" t="s">
        <v>444</v>
      </c>
      <c r="E68" s="100" t="s">
        <v>493</v>
      </c>
      <c r="F68" s="102" t="s">
        <v>475</v>
      </c>
      <c r="G68" s="111" t="s">
        <v>84</v>
      </c>
      <c r="H68" s="111" t="s">
        <v>82</v>
      </c>
      <c r="I68" s="111" t="s">
        <v>145</v>
      </c>
      <c r="J68" s="111" t="s">
        <v>146</v>
      </c>
      <c r="K68" s="111" t="s">
        <v>147</v>
      </c>
      <c r="L68" s="111" t="s">
        <v>148</v>
      </c>
      <c r="M68" s="111" t="s">
        <v>326</v>
      </c>
      <c r="N68" s="111" t="s">
        <v>149</v>
      </c>
      <c r="O68" s="111" t="s">
        <v>150</v>
      </c>
      <c r="P68" s="111" t="s">
        <v>151</v>
      </c>
      <c r="Q68" s="111" t="s">
        <v>152</v>
      </c>
      <c r="R68" s="111" t="s">
        <v>330</v>
      </c>
      <c r="S68" s="111" t="s">
        <v>153</v>
      </c>
      <c r="T68" s="145" t="s">
        <v>840</v>
      </c>
      <c r="U68" s="145" t="s">
        <v>841</v>
      </c>
      <c r="V68" s="107" t="s">
        <v>491</v>
      </c>
    </row>
    <row r="69" spans="1:29" s="57" customFormat="1" ht="11.25" customHeight="1" x14ac:dyDescent="0.2">
      <c r="A69" s="118" t="s">
        <v>71</v>
      </c>
      <c r="B69" s="118" t="s">
        <v>156</v>
      </c>
      <c r="C69" s="118"/>
      <c r="D69" s="82">
        <v>1</v>
      </c>
      <c r="E69" s="94" t="s">
        <v>73</v>
      </c>
      <c r="F69" s="48">
        <f ca="1">(INDIRECT("'Data'!CD"&amp;($C$1)))</f>
        <v>0</v>
      </c>
      <c r="G69" s="130" t="str">
        <f ca="1">(INDIRECT("'Data'!F"&amp;($C$1)))</f>
        <v>EXCHANGE GAS METER TO SECURE SMART CREDIT</v>
      </c>
      <c r="H69" s="130" t="str">
        <f ca="1">(INDIRECT("'Data'!AW"&amp;($C$1)))</f>
        <v>EXCH1 ROAD</v>
      </c>
      <c r="I69" s="49" t="str">
        <f ca="1">(INDIRECT("'Data'!X"&amp;($C$1)))</f>
        <v>FRST</v>
      </c>
      <c r="J69" s="49">
        <f ca="1">(INDIRECT("'Data'!BG"&amp;($C$1)))</f>
        <v>0</v>
      </c>
      <c r="K69" s="49">
        <f ca="1">(INDIRECT("'Data'!BL"&amp;($C$1)))</f>
        <v>0</v>
      </c>
      <c r="L69" s="59" t="str">
        <f>N25</f>
        <v>12345</v>
      </c>
      <c r="M69" s="58" t="str">
        <f>F31</f>
        <v>Z89K12345</v>
      </c>
      <c r="N69" s="60" t="str">
        <f>M39</f>
        <v>Test Witness name</v>
      </c>
      <c r="O69" s="49" t="str">
        <f ca="1">(INDIRECT("'Data'!CN"&amp;($C$1)))</f>
        <v>EXCHANGE GAS METER TO SECURE SMART CREDIT</v>
      </c>
      <c r="P69" s="49" t="str">
        <f ca="1">(INDIRECT("'Data'!CQ"&amp;($C$1)))</f>
        <v>100003522</v>
      </c>
      <c r="Q69" s="137" t="str">
        <f>J49</f>
        <v>54321</v>
      </c>
      <c r="R69" s="60" t="str">
        <f ca="1">F57</f>
        <v>G00G0</v>
      </c>
      <c r="S69" s="59" t="str">
        <f>F59</f>
        <v>00005</v>
      </c>
      <c r="T69" s="60" t="s">
        <v>73</v>
      </c>
      <c r="U69" s="59" t="s">
        <v>73</v>
      </c>
      <c r="V69" s="85"/>
    </row>
    <row r="70" spans="1:29" s="111" customFormat="1" ht="6.75" x14ac:dyDescent="0.15">
      <c r="A70" s="92" t="s">
        <v>68</v>
      </c>
      <c r="B70" s="92" t="s">
        <v>69</v>
      </c>
      <c r="C70" s="92" t="s">
        <v>70</v>
      </c>
      <c r="D70" s="92" t="s">
        <v>444</v>
      </c>
      <c r="E70" s="100" t="s">
        <v>493</v>
      </c>
      <c r="F70" s="111" t="s">
        <v>707</v>
      </c>
      <c r="G70" s="111" t="s">
        <v>708</v>
      </c>
      <c r="H70" s="111" t="s">
        <v>709</v>
      </c>
      <c r="I70" s="111" t="s">
        <v>710</v>
      </c>
      <c r="J70" s="111" t="s">
        <v>711</v>
      </c>
      <c r="K70" s="111" t="s">
        <v>712</v>
      </c>
      <c r="L70" s="107" t="s">
        <v>491</v>
      </c>
    </row>
    <row r="71" spans="1:29" s="57" customFormat="1" ht="11.25" customHeight="1" x14ac:dyDescent="0.2">
      <c r="A71" s="118" t="s">
        <v>71</v>
      </c>
      <c r="B71" s="118" t="s">
        <v>706</v>
      </c>
      <c r="C71" s="118"/>
      <c r="D71" s="117">
        <v>1</v>
      </c>
      <c r="E71" s="94" t="s">
        <v>73</v>
      </c>
      <c r="F71" s="60" t="s">
        <v>73</v>
      </c>
      <c r="G71" s="60" t="s">
        <v>75</v>
      </c>
      <c r="H71" s="60" t="s">
        <v>714</v>
      </c>
      <c r="I71" s="60" t="s">
        <v>155</v>
      </c>
      <c r="J71" s="60" t="s">
        <v>75</v>
      </c>
      <c r="K71" s="60" t="s">
        <v>643</v>
      </c>
      <c r="L71" s="85"/>
      <c r="M71" s="60"/>
      <c r="N71" s="60"/>
      <c r="O71" s="60"/>
      <c r="P71" s="60"/>
      <c r="Q71" s="60"/>
    </row>
    <row r="72" spans="1:29" s="111" customFormat="1" ht="6.75" x14ac:dyDescent="0.15">
      <c r="A72" s="111" t="s">
        <v>68</v>
      </c>
      <c r="B72" s="111" t="s">
        <v>69</v>
      </c>
      <c r="C72" s="111" t="s">
        <v>70</v>
      </c>
      <c r="D72" s="102" t="s">
        <v>444</v>
      </c>
      <c r="E72" s="100" t="s">
        <v>493</v>
      </c>
      <c r="F72" s="111" t="s">
        <v>85</v>
      </c>
    </row>
    <row r="73" spans="1:29" s="57" customFormat="1" ht="11.25" customHeight="1" x14ac:dyDescent="0.2">
      <c r="A73" s="57" t="s">
        <v>71</v>
      </c>
      <c r="B73" s="57" t="s">
        <v>76</v>
      </c>
      <c r="D73" s="81">
        <v>1</v>
      </c>
      <c r="E73" s="94" t="s">
        <v>73</v>
      </c>
      <c r="F73" s="60" t="s">
        <v>86</v>
      </c>
      <c r="J73" s="131"/>
    </row>
    <row r="74" spans="1:29" s="78" customFormat="1" x14ac:dyDescent="0.2">
      <c r="A74" s="68"/>
      <c r="B74" s="68"/>
      <c r="C74" s="69"/>
      <c r="D74" s="70"/>
      <c r="E74" s="94"/>
      <c r="F74" s="55"/>
      <c r="G74" s="55"/>
      <c r="H74" s="55"/>
      <c r="I74" s="55"/>
      <c r="J74" s="55"/>
      <c r="K74" s="55"/>
      <c r="L74" s="55"/>
      <c r="M74" s="55"/>
    </row>
    <row r="75" spans="1:29" s="78" customFormat="1" x14ac:dyDescent="0.2">
      <c r="A75" s="68"/>
      <c r="B75" s="138"/>
      <c r="C75" s="69"/>
      <c r="D75" s="70"/>
      <c r="E75" s="94"/>
      <c r="F75" s="55"/>
      <c r="G75" s="55"/>
      <c r="H75" s="55"/>
      <c r="I75" s="55"/>
      <c r="J75" s="55"/>
      <c r="K75" s="55"/>
      <c r="L75" s="55"/>
      <c r="M75" s="55"/>
    </row>
    <row r="76" spans="1:29" s="78" customFormat="1" x14ac:dyDescent="0.2">
      <c r="A76" s="68"/>
      <c r="B76" s="68"/>
      <c r="C76" s="69"/>
      <c r="D76" s="70"/>
      <c r="E76" s="94"/>
      <c r="F76" s="112" t="s">
        <v>491</v>
      </c>
      <c r="G76" s="55"/>
      <c r="H76" s="55"/>
      <c r="I76" s="55"/>
      <c r="J76" s="55"/>
      <c r="K76" s="55"/>
      <c r="L76" s="55"/>
      <c r="M76" s="55"/>
    </row>
    <row r="77" spans="1:29" s="78" customFormat="1" x14ac:dyDescent="0.2">
      <c r="A77" s="68"/>
      <c r="B77" s="68"/>
      <c r="C77" s="69"/>
      <c r="D77" s="70"/>
      <c r="E77" s="94"/>
      <c r="F77" s="55" t="s">
        <v>492</v>
      </c>
      <c r="G77" s="55"/>
      <c r="H77" s="55"/>
      <c r="I77" s="55"/>
      <c r="J77" s="55"/>
      <c r="K77" s="55"/>
      <c r="L77" s="55"/>
      <c r="M77" s="55"/>
    </row>
    <row r="80" spans="1:29" s="31" customFormat="1" ht="11.25" customHeight="1" x14ac:dyDescent="0.2">
      <c r="E80" s="97"/>
      <c r="AC80" s="63"/>
    </row>
    <row r="81" spans="5:29" s="31" customFormat="1" ht="11.25" customHeight="1" x14ac:dyDescent="0.2">
      <c r="E81" s="97"/>
      <c r="AC81" s="63"/>
    </row>
    <row r="82" spans="5:29" s="31" customFormat="1" ht="11.25" customHeight="1" x14ac:dyDescent="0.2">
      <c r="E82" s="97"/>
      <c r="AC82" s="63"/>
    </row>
    <row r="83" spans="5:29" s="63" customFormat="1" ht="11.25" customHeight="1" x14ac:dyDescent="0.2">
      <c r="E83" s="98"/>
      <c r="I83" s="71"/>
    </row>
    <row r="84" spans="5:29" s="63" customFormat="1" ht="11.25" customHeight="1" x14ac:dyDescent="0.2">
      <c r="E84" s="98"/>
      <c r="I84" s="71"/>
    </row>
    <row r="85" spans="5:29" ht="11.25" customHeight="1" x14ac:dyDescent="0.2">
      <c r="H85" s="33"/>
      <c r="I85" s="32"/>
    </row>
    <row r="86" spans="5:29" ht="11.25" customHeight="1" x14ac:dyDescent="0.2">
      <c r="H86" s="33"/>
      <c r="I86" s="32"/>
    </row>
    <row r="87" spans="5:29" ht="11.25" customHeight="1" x14ac:dyDescent="0.2">
      <c r="H87" s="33"/>
      <c r="I87" s="32"/>
    </row>
    <row r="88" spans="5:29" ht="11.25" customHeight="1" x14ac:dyDescent="0.2">
      <c r="H88" s="33"/>
      <c r="I88" s="32"/>
    </row>
    <row r="89" spans="5:29" ht="11.25" customHeight="1" x14ac:dyDescent="0.2">
      <c r="H89" s="33"/>
      <c r="I89" s="32"/>
    </row>
    <row r="90" spans="5:29" ht="11.25" customHeight="1" x14ac:dyDescent="0.2">
      <c r="H90" s="33"/>
      <c r="I90" s="32"/>
    </row>
    <row r="91" spans="5:29" ht="11.25" customHeight="1" x14ac:dyDescent="0.2">
      <c r="H91" s="33"/>
      <c r="I91" s="32"/>
    </row>
    <row r="92" spans="5:29" ht="11.25" customHeight="1" x14ac:dyDescent="0.2">
      <c r="H92" s="33"/>
      <c r="I92" s="32"/>
    </row>
    <row r="93" spans="5:29" ht="11.25" customHeight="1" x14ac:dyDescent="0.2">
      <c r="H93" s="33"/>
      <c r="I93" s="32"/>
    </row>
    <row r="94" spans="5:29" ht="11.25" customHeight="1" x14ac:dyDescent="0.2">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xr:uid="{00000000-0002-0000-0800-000000000000}"/>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xr:uid="{00000000-0002-0000-0800-000001000000}"/>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xr:uid="{00000000-0002-0000-0800-000002000000}"/>
    <dataValidation allowBlank="1" showInputMessage="1" showErrorMessage="1" prompt="(L)ow or (M)edium" sqref="F42" xr:uid="{00000000-0002-0000-0800-000003000000}"/>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xr:uid="{00000000-0002-0000-0800-00000400000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xr:uid="{00000000-0002-0000-0800-000005000000}"/>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2019-04-26T10:24:44Z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