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I49" i="40"/>
  <c r="AI48"/>
  <c r="AI47"/>
  <c r="AI46"/>
  <c r="AI45"/>
  <c r="AI44"/>
  <c r="AI43"/>
  <c r="AI42"/>
  <c r="AI41"/>
  <c r="AI40"/>
  <c r="AF49"/>
  <c r="AF48"/>
  <c r="AF47"/>
  <c r="AF46"/>
  <c r="AF45"/>
  <c r="AF44"/>
  <c r="AF43"/>
  <c r="AF42"/>
  <c r="AF41"/>
  <c r="AF40"/>
  <c r="AB49"/>
  <c r="AB48"/>
  <c r="AB47"/>
  <c r="AB46"/>
  <c r="AB45"/>
  <c r="AB44"/>
  <c r="AB43"/>
  <c r="AB42"/>
  <c r="AB41"/>
  <c r="AB40"/>
  <c r="AB55"/>
  <c r="AB56"/>
  <c r="AJ56"/>
  <c r="AJ55"/>
  <c r="AJ49"/>
  <c r="AJ48"/>
  <c r="AJ47"/>
  <c r="AJ46"/>
  <c r="AJ45"/>
  <c r="AJ44"/>
  <c r="AJ43"/>
  <c r="AJ42"/>
  <c r="AJ41"/>
  <c r="AJ40"/>
  <c r="AJ39"/>
  <c r="AJ36"/>
  <c r="AJ35"/>
  <c r="AJ34"/>
  <c r="AJ33"/>
  <c r="AJ32"/>
  <c r="AJ31"/>
  <c r="AJ30"/>
  <c r="AJ29"/>
  <c r="AJ28"/>
  <c r="AJ27"/>
  <c r="AJ26"/>
  <c r="AJ25"/>
  <c r="AJ24"/>
  <c r="AJ23"/>
  <c r="AJ22"/>
  <c r="AJ21"/>
  <c r="AJ20"/>
  <c r="AJ19"/>
  <c r="AJ18"/>
  <c r="AJ17"/>
  <c r="AJ16"/>
  <c r="AJ15"/>
  <c r="AJ14"/>
  <c r="AJ13"/>
  <c r="AJ12"/>
  <c r="AJ11"/>
  <c r="AJ10"/>
  <c r="AJ9"/>
  <c r="AJ8"/>
  <c r="AJ7"/>
  <c r="AJ6"/>
  <c r="AJ5"/>
  <c r="AJ4"/>
  <c r="AJ3"/>
  <c r="AI36"/>
  <c r="AI35"/>
  <c r="AI34"/>
  <c r="AI33"/>
  <c r="AI32"/>
  <c r="AI31"/>
  <c r="AI30"/>
  <c r="AI29"/>
  <c r="AI28"/>
  <c r="AI27"/>
  <c r="AI26"/>
  <c r="AI25"/>
  <c r="AI24"/>
  <c r="AI23"/>
  <c r="AI22"/>
  <c r="AI21"/>
  <c r="AI20"/>
  <c r="AI19"/>
  <c r="AI18"/>
  <c r="AI17"/>
  <c r="AI16"/>
  <c r="AI15"/>
  <c r="AI14"/>
  <c r="AI13"/>
  <c r="AI12"/>
  <c r="AI11"/>
  <c r="AI10"/>
  <c r="AI9"/>
  <c r="AI8"/>
  <c r="AI7"/>
  <c r="AI6"/>
  <c r="AI5"/>
  <c r="AI4"/>
  <c r="AI3"/>
  <c r="AF36"/>
  <c r="AF35"/>
  <c r="AF34"/>
  <c r="AF33"/>
  <c r="AF32"/>
  <c r="AF31"/>
  <c r="AF30"/>
  <c r="AF29"/>
  <c r="AF28"/>
  <c r="AF27"/>
  <c r="AF26"/>
  <c r="AF25"/>
  <c r="AF24"/>
  <c r="AF23"/>
  <c r="AF22"/>
  <c r="AF21"/>
  <c r="AF20"/>
  <c r="AF19"/>
  <c r="AF18"/>
  <c r="AF17"/>
  <c r="AF16"/>
  <c r="AF15"/>
  <c r="AF14"/>
  <c r="AF13"/>
  <c r="AF12"/>
  <c r="AF11"/>
  <c r="AF10"/>
  <c r="AF9"/>
  <c r="AF8"/>
  <c r="AF7"/>
  <c r="AF6"/>
  <c r="AF5"/>
  <c r="AF4"/>
  <c r="AF3"/>
  <c r="AB36"/>
  <c r="AB35"/>
  <c r="AB34"/>
  <c r="AB33"/>
  <c r="AB32"/>
  <c r="AB31"/>
  <c r="AB30"/>
  <c r="AB29"/>
  <c r="AB28"/>
  <c r="AB27"/>
  <c r="AB26"/>
  <c r="AB25"/>
  <c r="AB24"/>
  <c r="AB23"/>
  <c r="AB22"/>
  <c r="AB21"/>
  <c r="AB20"/>
  <c r="AB19"/>
  <c r="AB18"/>
  <c r="AB17"/>
  <c r="AB16"/>
  <c r="AB15"/>
  <c r="AB14"/>
  <c r="AB13"/>
  <c r="AB12"/>
  <c r="AB11"/>
  <c r="AB10"/>
  <c r="AB9"/>
  <c r="AB8"/>
  <c r="AB7"/>
  <c r="AB6"/>
  <c r="AB5"/>
  <c r="AB4"/>
  <c r="AB3"/>
  <c r="AG33"/>
  <c r="AC33"/>
  <c r="AA33"/>
  <c r="AG32"/>
  <c r="AC32"/>
  <c r="AA32"/>
  <c r="AG31"/>
  <c r="AC31"/>
  <c r="AA31"/>
  <c r="AG30"/>
  <c r="AC30"/>
  <c r="AA30"/>
  <c r="AG29"/>
  <c r="AC29"/>
  <c r="AA29"/>
  <c r="AG28"/>
  <c r="AC28"/>
  <c r="AA28"/>
  <c r="AG27"/>
  <c r="AC27"/>
  <c r="AA27"/>
  <c r="AG26"/>
  <c r="AC26"/>
  <c r="AA26"/>
  <c r="AG25"/>
  <c r="AC25"/>
  <c r="AA25"/>
  <c r="AG24"/>
  <c r="AC24"/>
  <c r="AA24"/>
  <c r="AG23"/>
  <c r="AC23"/>
  <c r="AA23"/>
  <c r="AG22"/>
  <c r="AC22"/>
  <c r="AA22"/>
  <c r="AG21"/>
  <c r="AC21"/>
  <c r="AA21"/>
  <c r="AG20"/>
  <c r="AC20"/>
  <c r="AA20"/>
  <c r="AG19"/>
  <c r="AC19"/>
  <c r="AA19"/>
  <c r="AG18"/>
  <c r="AC18"/>
  <c r="AA18"/>
  <c r="AG17"/>
  <c r="AC17"/>
  <c r="AA17"/>
  <c r="AG16"/>
  <c r="AC16"/>
  <c r="AA16"/>
  <c r="AG15"/>
  <c r="AC15"/>
  <c r="AA15"/>
  <c r="AG14"/>
  <c r="AC14"/>
  <c r="AA14"/>
  <c r="AG13"/>
  <c r="AC13"/>
  <c r="AA13"/>
  <c r="AG12"/>
  <c r="AC12"/>
  <c r="AA12"/>
  <c r="AG11"/>
  <c r="AC11"/>
  <c r="AA11"/>
  <c r="AG10"/>
  <c r="AC10"/>
  <c r="AA10"/>
  <c r="AG9"/>
  <c r="AC9"/>
  <c r="AA9"/>
  <c r="AG8"/>
  <c r="AC8"/>
  <c r="AA8"/>
  <c r="AG7"/>
  <c r="AC7"/>
  <c r="AA7"/>
  <c r="AG6"/>
  <c r="AC6"/>
  <c r="AA6"/>
  <c r="AG36"/>
  <c r="AC36"/>
  <c r="AA36"/>
  <c r="AA41"/>
  <c r="AC41"/>
  <c r="AG41"/>
  <c r="AG49"/>
  <c r="AC49"/>
  <c r="AA49"/>
  <c r="AG48"/>
  <c r="AC48"/>
  <c r="AA48"/>
  <c r="AG47"/>
  <c r="AC47"/>
  <c r="AA47"/>
  <c r="AG46"/>
  <c r="AC46"/>
  <c r="AA46"/>
  <c r="AG45"/>
  <c r="AC45"/>
  <c r="AA45"/>
  <c r="AG44"/>
  <c r="AC44"/>
  <c r="AA44"/>
  <c r="AG43"/>
  <c r="AC43"/>
  <c r="AA43"/>
  <c r="AG42"/>
  <c r="AC42"/>
  <c r="AA42"/>
  <c r="AG40"/>
  <c r="AC40"/>
  <c r="AA40"/>
  <c r="AI39"/>
  <c r="AG39"/>
  <c r="AF39"/>
  <c r="AC39"/>
  <c r="AB39"/>
  <c r="AA39"/>
  <c r="AG55"/>
  <c r="AC3"/>
  <c r="AC4"/>
  <c r="AC5"/>
  <c r="AC34"/>
  <c r="AC35"/>
  <c r="AC55"/>
  <c r="AI55"/>
  <c r="AF55"/>
  <c r="AA55"/>
  <c r="AG3"/>
  <c r="AG4"/>
  <c r="AG5"/>
  <c r="AG34"/>
  <c r="H3" i="35"/>
  <c r="G3"/>
  <c r="F3"/>
  <c r="H3" i="41"/>
  <c r="G3"/>
  <c r="F3"/>
  <c r="H3" i="45"/>
  <c r="G3"/>
  <c r="F3"/>
  <c r="H3" i="46"/>
  <c r="G3"/>
  <c r="F3"/>
  <c r="H3" i="43"/>
  <c r="H3" i="44"/>
  <c r="F3"/>
  <c r="G3"/>
  <c r="G3" i="43"/>
  <c r="F3"/>
  <c r="AG35" i="40"/>
  <c r="AA35"/>
  <c r="AA34"/>
  <c r="AA5"/>
  <c r="AA4"/>
  <c r="AA3"/>
  <c r="AJ2"/>
  <c r="AI2"/>
  <c r="AG2"/>
  <c r="AF2"/>
  <c r="AC2"/>
  <c r="AB2"/>
  <c r="AA2"/>
  <c r="N61" i="46"/>
  <c r="M61"/>
  <c r="L61"/>
  <c r="N91" i="41"/>
  <c r="M91"/>
  <c r="L91"/>
  <c r="N87" i="45"/>
  <c r="S91" i="41"/>
  <c r="Q91"/>
  <c r="M87" i="45"/>
  <c r="S87"/>
  <c r="Q87"/>
  <c r="N61" i="44"/>
  <c r="M61"/>
  <c r="L61"/>
  <c r="N49" i="42"/>
  <c r="M49"/>
  <c r="L49"/>
  <c r="H3"/>
  <c r="G3"/>
  <c r="F3"/>
  <c r="AG56" i="40"/>
  <c r="AI56"/>
  <c r="AF56"/>
  <c r="AC56"/>
  <c r="AA56"/>
  <c r="S69" i="35"/>
  <c r="Q69"/>
  <c r="N69"/>
  <c r="M69"/>
  <c r="L69"/>
  <c r="D2" i="40"/>
  <c r="T2" s="1"/>
  <c r="D3"/>
  <c r="P3" s="1"/>
  <c r="D4"/>
  <c r="T4" s="1"/>
  <c r="D5"/>
  <c r="P5" s="1"/>
  <c r="D6"/>
  <c r="S6" s="1"/>
  <c r="D7"/>
  <c r="L7" s="1"/>
  <c r="D8"/>
  <c r="G8" s="1"/>
  <c r="D9"/>
  <c r="Y9" s="1"/>
  <c r="D10"/>
  <c r="P10" s="1"/>
  <c r="D11"/>
  <c r="R11" s="1"/>
  <c r="D12"/>
  <c r="G12" s="1"/>
  <c r="D13"/>
  <c r="G13" s="1"/>
  <c r="D14"/>
  <c r="Q14" s="1"/>
  <c r="D15"/>
  <c r="R15" s="1"/>
  <c r="D16"/>
  <c r="L16" s="1"/>
  <c r="D17"/>
  <c r="CQ17" s="1"/>
  <c r="D18"/>
  <c r="P18" s="1"/>
  <c r="D19"/>
  <c r="L19" s="1"/>
  <c r="D20"/>
  <c r="L20" s="1"/>
  <c r="D21"/>
  <c r="P21" s="1"/>
  <c r="D22"/>
  <c r="Q22" s="1"/>
  <c r="D23"/>
  <c r="S23" s="1"/>
  <c r="D24"/>
  <c r="P24" s="1"/>
  <c r="D25"/>
  <c r="Q25" s="1"/>
  <c r="D26"/>
  <c r="Y26" s="1"/>
  <c r="D27"/>
  <c r="CT27" s="1"/>
  <c r="D28"/>
  <c r="P28" s="1"/>
  <c r="D29"/>
  <c r="G29" s="1"/>
  <c r="D30"/>
  <c r="P30" s="1"/>
  <c r="D31"/>
  <c r="P31" s="1"/>
  <c r="D32"/>
  <c r="G32" s="1"/>
  <c r="D33"/>
  <c r="AE33" s="1"/>
  <c r="D34"/>
  <c r="L34" s="1"/>
  <c r="D35"/>
  <c r="P35" s="1"/>
  <c r="D36"/>
  <c r="Y36" s="1"/>
  <c r="D39"/>
  <c r="R39" s="1"/>
  <c r="D40"/>
  <c r="L40" s="1"/>
  <c r="D41"/>
  <c r="CQ41" s="1"/>
  <c r="D42"/>
  <c r="P42" s="1"/>
  <c r="D43"/>
  <c r="L43" s="1"/>
  <c r="D44"/>
  <c r="AV44" s="1"/>
  <c r="I44" s="1"/>
  <c r="D45"/>
  <c r="L45" s="1"/>
  <c r="D46"/>
  <c r="BC46" s="1"/>
  <c r="BH46" s="1"/>
  <c r="D47"/>
  <c r="L47" s="1"/>
  <c r="D48"/>
  <c r="L48" s="1"/>
  <c r="D49"/>
  <c r="P49" s="1"/>
  <c r="D55"/>
  <c r="Q55" s="1"/>
  <c r="D56"/>
  <c r="S56" s="1"/>
  <c r="H11" i="46"/>
  <c r="I5" i="41"/>
  <c r="S7" i="44"/>
  <c r="R7" i="42"/>
  <c r="S7"/>
  <c r="K7" i="46"/>
  <c r="P11" i="45"/>
  <c r="M7" i="41"/>
  <c r="L13" i="35"/>
  <c r="L17" i="42"/>
  <c r="F35" i="41"/>
  <c r="O59" i="45"/>
  <c r="L17" i="41"/>
  <c r="N47" i="35"/>
  <c r="G9" i="44"/>
  <c r="J5" i="42"/>
  <c r="R29"/>
  <c r="L7" i="43"/>
  <c r="F91" i="41"/>
  <c r="N57" i="44"/>
  <c r="J11"/>
  <c r="J13" i="46"/>
  <c r="F35"/>
  <c r="O5" i="43"/>
  <c r="R7"/>
  <c r="L7" i="41"/>
  <c r="F15" i="42"/>
  <c r="F49"/>
  <c r="O11" i="45"/>
  <c r="O29" i="42"/>
  <c r="R7" i="35"/>
  <c r="K49" i="42"/>
  <c r="J9" i="46"/>
  <c r="I15"/>
  <c r="K11" i="45"/>
  <c r="N13" i="43"/>
  <c r="N11" i="45"/>
  <c r="I15" i="44"/>
  <c r="H33" i="43"/>
  <c r="K43" i="46"/>
  <c r="Q63" i="41"/>
  <c r="J11" i="42"/>
  <c r="F45" i="45"/>
  <c r="T7" i="41"/>
  <c r="X19" i="35"/>
  <c r="G35" i="44"/>
  <c r="V7" i="35"/>
  <c r="H7" i="42"/>
  <c r="F45" i="44"/>
  <c r="J11" i="46"/>
  <c r="H9" i="44"/>
  <c r="G25" i="35"/>
  <c r="Q33" i="44"/>
  <c r="G9" i="41"/>
  <c r="S7" i="45"/>
  <c r="R7" i="46"/>
  <c r="Y19" i="35"/>
  <c r="F15" i="43"/>
  <c r="N87" i="41"/>
  <c r="G7" i="46"/>
  <c r="H91" i="41"/>
  <c r="F13"/>
  <c r="F61" i="44"/>
  <c r="R25" i="43"/>
  <c r="N11" i="35"/>
  <c r="N9" i="45"/>
  <c r="M63" i="46"/>
  <c r="N57"/>
  <c r="H49" i="42"/>
  <c r="R47" i="35"/>
  <c r="N23"/>
  <c r="K5" i="44"/>
  <c r="O33" i="45"/>
  <c r="G35"/>
  <c r="G7" i="35"/>
  <c r="R63" i="41"/>
  <c r="H7" i="45"/>
  <c r="M7"/>
  <c r="K13" i="44"/>
  <c r="I11" i="35"/>
  <c r="F15" i="46"/>
  <c r="S33" i="41"/>
  <c r="AG21" i="35"/>
  <c r="N59" i="45"/>
  <c r="J5" i="35"/>
  <c r="T7" i="45"/>
  <c r="O13"/>
  <c r="T7" i="35"/>
  <c r="L11"/>
  <c r="U7" i="46"/>
  <c r="J13" i="43"/>
  <c r="I5" i="44"/>
  <c r="K5" i="42"/>
  <c r="N5" i="35"/>
  <c r="L5" i="42"/>
  <c r="G7" i="41"/>
  <c r="H11" i="42"/>
  <c r="O27" i="35"/>
  <c r="J11" i="43"/>
  <c r="P29" i="42"/>
  <c r="O47" i="35"/>
  <c r="K5" i="43"/>
  <c r="J5" i="44"/>
  <c r="I65" i="41"/>
  <c r="J9"/>
  <c r="V7"/>
  <c r="K43" i="45"/>
  <c r="L87"/>
  <c r="L7" i="44"/>
  <c r="R33" i="45"/>
  <c r="AI19" i="35"/>
  <c r="K11" i="46"/>
  <c r="F35" i="44"/>
  <c r="P47" i="35"/>
  <c r="K5" i="46"/>
  <c r="K13" i="45"/>
  <c r="U33"/>
  <c r="N33" i="44"/>
  <c r="L7" i="46"/>
  <c r="K5" i="41"/>
  <c r="K13"/>
  <c r="K69" i="35"/>
  <c r="H87" i="45"/>
  <c r="L17" i="35"/>
  <c r="J5" i="41"/>
  <c r="S7" i="46"/>
  <c r="F15" i="35"/>
  <c r="F15" i="45"/>
  <c r="K11" i="35"/>
  <c r="I61" i="45"/>
  <c r="K61" i="46"/>
  <c r="M25" i="43"/>
  <c r="L17" i="46"/>
  <c r="F5"/>
  <c r="R33" i="44"/>
  <c r="Q33" i="41"/>
  <c r="K9"/>
  <c r="N13" i="44"/>
  <c r="N5"/>
  <c r="M7" i="35"/>
  <c r="K33" i="43"/>
  <c r="F45" i="46"/>
  <c r="I5" i="35"/>
  <c r="G9" i="45"/>
  <c r="O33" i="46"/>
  <c r="K43" i="41"/>
  <c r="R33" i="46"/>
  <c r="J5"/>
  <c r="N29" i="42"/>
  <c r="Q7"/>
  <c r="H61" i="44"/>
  <c r="N13" i="42"/>
  <c r="K43" i="44"/>
  <c r="K7" i="35"/>
  <c r="F15" i="44"/>
  <c r="K13" i="46"/>
  <c r="Q25" i="43"/>
  <c r="H7"/>
  <c r="N47" i="42"/>
  <c r="K91" i="41"/>
  <c r="J15" i="45"/>
  <c r="K61" i="44"/>
  <c r="N11" i="41"/>
  <c r="J13" i="42"/>
  <c r="J13" i="44"/>
  <c r="I5" i="45"/>
  <c r="F5" i="42"/>
  <c r="S7" i="43"/>
  <c r="L17"/>
  <c r="F45" i="41"/>
  <c r="G7" i="45"/>
  <c r="M7" i="42"/>
  <c r="G7" i="43"/>
  <c r="X7" i="46"/>
  <c r="F31" i="42"/>
  <c r="Q47" i="35"/>
  <c r="F15" i="41"/>
  <c r="O11" i="35"/>
  <c r="N63" i="41"/>
  <c r="Q7" i="44"/>
  <c r="G31" i="42"/>
  <c r="F87" i="45"/>
  <c r="P11" i="41"/>
  <c r="K7" i="43"/>
  <c r="N67" i="35"/>
  <c r="K13"/>
  <c r="F13" i="46"/>
  <c r="F13" i="45"/>
  <c r="J9"/>
  <c r="H9" i="35"/>
  <c r="N9"/>
  <c r="K11" i="41"/>
  <c r="N5" i="45"/>
  <c r="K7" i="44"/>
  <c r="L17"/>
  <c r="J5" i="45"/>
  <c r="X7" i="42"/>
  <c r="F13"/>
  <c r="P63" i="41"/>
  <c r="U7" i="44"/>
  <c r="G9" i="46"/>
  <c r="N25" i="43"/>
  <c r="F69" i="35"/>
  <c r="M33" i="46"/>
  <c r="G35" i="41"/>
  <c r="H7"/>
  <c r="V7" i="45"/>
  <c r="I11" i="41"/>
  <c r="F41" i="42"/>
  <c r="L11" i="41"/>
  <c r="H7" i="44"/>
  <c r="K11" i="43"/>
  <c r="O23" i="35"/>
  <c r="O63" i="41"/>
  <c r="M35" i="43"/>
  <c r="G35" i="46"/>
  <c r="L17" i="45"/>
  <c r="J9" i="44"/>
  <c r="O13" i="35"/>
  <c r="G9" i="42"/>
  <c r="Q59" i="45"/>
  <c r="K7" i="41"/>
  <c r="P33"/>
  <c r="N13" i="46"/>
  <c r="F33" i="43"/>
  <c r="L7" i="35"/>
  <c r="M7" i="44"/>
  <c r="M29" i="42"/>
  <c r="Q7" i="46"/>
  <c r="F13" i="44"/>
  <c r="I15" i="43"/>
  <c r="Q23" i="35"/>
  <c r="H11" i="43"/>
  <c r="K13"/>
  <c r="M33" i="44"/>
  <c r="H9" i="43"/>
  <c r="R7" i="45"/>
  <c r="I15" i="42"/>
  <c r="F61" i="46"/>
  <c r="O13" i="41"/>
  <c r="L11" i="45"/>
  <c r="F13" i="35"/>
  <c r="V7" i="46"/>
  <c r="K7" i="42"/>
  <c r="F35" i="45"/>
  <c r="N5" i="41"/>
  <c r="N83" i="45"/>
  <c r="O33" i="44"/>
  <c r="G9" i="43"/>
  <c r="M33" i="41"/>
  <c r="K11" i="42"/>
  <c r="O5"/>
  <c r="H61" i="46"/>
  <c r="J15" i="41"/>
  <c r="S7"/>
  <c r="N5" i="46"/>
  <c r="G7" i="44"/>
  <c r="I49" i="35"/>
  <c r="H7"/>
  <c r="L7" i="45"/>
  <c r="J9" i="42"/>
  <c r="L5" i="43"/>
  <c r="I5" i="46"/>
  <c r="R59" i="45"/>
  <c r="L7" i="42"/>
  <c r="O11" i="41"/>
  <c r="L13"/>
  <c r="K5" i="45"/>
  <c r="K35" i="35"/>
  <c r="I11" i="45"/>
  <c r="T23" i="35"/>
  <c r="L33" i="44"/>
  <c r="F5" i="45"/>
  <c r="H7" i="46"/>
  <c r="J9" i="43"/>
  <c r="U7"/>
  <c r="K87" i="45"/>
  <c r="R7" i="44"/>
  <c r="P11" i="35"/>
  <c r="R23"/>
  <c r="J9"/>
  <c r="S33" i="45"/>
  <c r="G9" i="35"/>
  <c r="H9" i="46"/>
  <c r="R7" i="41"/>
  <c r="J5" i="43"/>
  <c r="K11" i="44"/>
  <c r="Q33" i="46"/>
  <c r="F13" i="43"/>
  <c r="G7" i="42"/>
  <c r="M7" i="46"/>
  <c r="K7" i="45"/>
  <c r="P33" i="46"/>
  <c r="U7" i="42"/>
  <c r="H9" i="45"/>
  <c r="Y7"/>
  <c r="N31" i="43"/>
  <c r="J15" i="35"/>
  <c r="S7"/>
  <c r="Q7" i="43"/>
  <c r="S29" i="42"/>
  <c r="M93" i="41"/>
  <c r="L25" i="43"/>
  <c r="O25"/>
  <c r="S33" i="46"/>
  <c r="M7" i="43"/>
  <c r="M63" i="44"/>
  <c r="H69" i="35"/>
  <c r="P59" i="45"/>
  <c r="K5" i="35"/>
  <c r="F25"/>
  <c r="H9" i="42"/>
  <c r="H11" i="44"/>
  <c r="L13" i="45"/>
  <c r="M9" i="41"/>
  <c r="M89" i="45"/>
  <c r="K13" i="42"/>
  <c r="BO47" i="40" l="1"/>
  <c r="AL5"/>
  <c r="BC56"/>
  <c r="Y48"/>
  <c r="T47"/>
  <c r="Y47"/>
  <c r="T56"/>
  <c r="BO48"/>
  <c r="AM47"/>
  <c r="AV25"/>
  <c r="I25" s="1"/>
  <c r="AH19"/>
  <c r="DN12"/>
  <c r="AH10"/>
  <c r="BJ8"/>
  <c r="AV56"/>
  <c r="I56" s="1"/>
  <c r="DN25"/>
  <c r="BC19"/>
  <c r="BH19" s="1"/>
  <c r="CO10"/>
  <c r="BO8"/>
  <c r="BJ48"/>
  <c r="BC30"/>
  <c r="BH30" s="1"/>
  <c r="BO28"/>
  <c r="DB23"/>
  <c r="CQ30"/>
  <c r="CO21"/>
  <c r="T48"/>
  <c r="CT29"/>
  <c r="AH34"/>
  <c r="P34"/>
  <c r="Y44"/>
  <c r="BJ34"/>
  <c r="Q34"/>
  <c r="DN32"/>
  <c r="DN30"/>
  <c r="T30"/>
  <c r="AE29"/>
  <c r="Y21"/>
  <c r="CO19"/>
  <c r="DB18"/>
  <c r="BO16"/>
  <c r="T8"/>
  <c r="DB34"/>
  <c r="BO40"/>
  <c r="BC34"/>
  <c r="BH34" s="1"/>
  <c r="BO32"/>
  <c r="CQ21"/>
  <c r="Q21"/>
  <c r="BJ18"/>
  <c r="BJ16"/>
  <c r="BO44"/>
  <c r="CQ34"/>
  <c r="Y34"/>
  <c r="AM30"/>
  <c r="CQ29"/>
  <c r="AE21"/>
  <c r="Y8"/>
  <c r="CQ6"/>
  <c r="AM46"/>
  <c r="AL44"/>
  <c r="P44"/>
  <c r="T43"/>
  <c r="T40"/>
  <c r="CT28"/>
  <c r="Q28"/>
  <c r="AM20"/>
  <c r="S12"/>
  <c r="CQ48"/>
  <c r="AL48"/>
  <c r="P48"/>
  <c r="Y45"/>
  <c r="AM44"/>
  <c r="Q44"/>
  <c r="CO43"/>
  <c r="Y40"/>
  <c r="CO31"/>
  <c r="Y28"/>
  <c r="BO20"/>
  <c r="CT15"/>
  <c r="AM13"/>
  <c r="AL12"/>
  <c r="CQ10"/>
  <c r="Q10"/>
  <c r="DB7"/>
  <c r="R56"/>
  <c r="CT48"/>
  <c r="AM48"/>
  <c r="Q48"/>
  <c r="BJ47"/>
  <c r="Q47"/>
  <c r="BO45"/>
  <c r="BJ44"/>
  <c r="T44"/>
  <c r="CT43"/>
  <c r="DB42"/>
  <c r="BJ40"/>
  <c r="CT39"/>
  <c r="Y29"/>
  <c r="AM28"/>
  <c r="T25"/>
  <c r="BC23"/>
  <c r="BH23" s="1"/>
  <c r="CT19"/>
  <c r="T19"/>
  <c r="AV13"/>
  <c r="I13" s="1"/>
  <c r="BO12"/>
  <c r="Y10"/>
  <c r="BC6"/>
  <c r="BH6" s="1"/>
  <c r="Y49"/>
  <c r="P45"/>
  <c r="AH43"/>
  <c r="BO25"/>
  <c r="CO12"/>
  <c r="AE56"/>
  <c r="DB48"/>
  <c r="AV48"/>
  <c r="I48" s="1"/>
  <c r="R48"/>
  <c r="G48"/>
  <c r="Q46"/>
  <c r="AM45"/>
  <c r="Q45"/>
  <c r="DN43"/>
  <c r="AV43"/>
  <c r="I43" s="1"/>
  <c r="P43"/>
  <c r="AH42"/>
  <c r="CQ40"/>
  <c r="AL40"/>
  <c r="P40"/>
  <c r="AE39"/>
  <c r="BC35"/>
  <c r="BH35" s="1"/>
  <c r="S32"/>
  <c r="AE31"/>
  <c r="AV29"/>
  <c r="I29" s="1"/>
  <c r="P29"/>
  <c r="CO25"/>
  <c r="AE25"/>
  <c r="P25"/>
  <c r="CT20"/>
  <c r="Q20"/>
  <c r="T16"/>
  <c r="DN14"/>
  <c r="CQ13"/>
  <c r="Q13"/>
  <c r="CQ12"/>
  <c r="BC12"/>
  <c r="BH12" s="1"/>
  <c r="Y12"/>
  <c r="P12"/>
  <c r="AH11"/>
  <c r="CQ9"/>
  <c r="CQ8"/>
  <c r="AL8"/>
  <c r="P8"/>
  <c r="BO46"/>
  <c r="AL45"/>
  <c r="T35"/>
  <c r="Y25"/>
  <c r="BC14"/>
  <c r="BH14" s="1"/>
  <c r="AM12"/>
  <c r="T12"/>
  <c r="L12"/>
  <c r="AE9"/>
  <c r="BH56"/>
  <c r="L56"/>
  <c r="AE49"/>
  <c r="CJ48"/>
  <c r="AE48"/>
  <c r="AH56"/>
  <c r="P56"/>
  <c r="CO49"/>
  <c r="DN48"/>
  <c r="CO48"/>
  <c r="BC48"/>
  <c r="BH48" s="1"/>
  <c r="AH48"/>
  <c r="S48"/>
  <c r="Y46"/>
  <c r="BJ45"/>
  <c r="T45"/>
  <c r="BC43"/>
  <c r="BH43" s="1"/>
  <c r="R43"/>
  <c r="BJ42"/>
  <c r="CT40"/>
  <c r="AM40"/>
  <c r="Q40"/>
  <c r="AH39"/>
  <c r="DN35"/>
  <c r="AL32"/>
  <c r="AH31"/>
  <c r="Q30"/>
  <c r="BJ29"/>
  <c r="Q29"/>
  <c r="CQ25"/>
  <c r="AM25"/>
  <c r="AM24"/>
  <c r="T23"/>
  <c r="Y20"/>
  <c r="R19"/>
  <c r="Y16"/>
  <c r="CT13"/>
  <c r="T13"/>
  <c r="CT12"/>
  <c r="BJ12"/>
  <c r="AH12"/>
  <c r="Q12"/>
  <c r="CT11"/>
  <c r="CT8"/>
  <c r="AM8"/>
  <c r="Q8"/>
  <c r="AH7"/>
  <c r="T6"/>
  <c r="AH55"/>
  <c r="DN46"/>
  <c r="AE46"/>
  <c r="R46"/>
  <c r="G46"/>
  <c r="AM32"/>
  <c r="AH26"/>
  <c r="AE23"/>
  <c r="CJ20"/>
  <c r="AE20"/>
  <c r="DN9"/>
  <c r="AM9"/>
  <c r="P9"/>
  <c r="BC7"/>
  <c r="BH7" s="1"/>
  <c r="P7"/>
  <c r="Q3"/>
  <c r="CQ55"/>
  <c r="AH46"/>
  <c r="S46"/>
  <c r="L46"/>
  <c r="DN44"/>
  <c r="AE44"/>
  <c r="R44"/>
  <c r="G44"/>
  <c r="CQ49"/>
  <c r="Q49"/>
  <c r="AL47"/>
  <c r="P47"/>
  <c r="BJ46"/>
  <c r="AL46"/>
  <c r="T46"/>
  <c r="P46"/>
  <c r="BC44"/>
  <c r="BH44" s="1"/>
  <c r="AH44"/>
  <c r="S44"/>
  <c r="L44"/>
  <c r="CT35"/>
  <c r="AV35"/>
  <c r="EA35" s="1"/>
  <c r="R35"/>
  <c r="CT32"/>
  <c r="BJ32"/>
  <c r="AH32"/>
  <c r="Q32"/>
  <c r="CT31"/>
  <c r="R31"/>
  <c r="CO29"/>
  <c r="AM29"/>
  <c r="T29"/>
  <c r="Y24"/>
  <c r="CT23"/>
  <c r="AV23"/>
  <c r="I23" s="1"/>
  <c r="R23"/>
  <c r="CQ22"/>
  <c r="CQ20"/>
  <c r="BJ20"/>
  <c r="AL20"/>
  <c r="T20"/>
  <c r="P20"/>
  <c r="DN19"/>
  <c r="AV19"/>
  <c r="I19" s="1"/>
  <c r="P19"/>
  <c r="AH18"/>
  <c r="CT16"/>
  <c r="AM16"/>
  <c r="Q16"/>
  <c r="AE15"/>
  <c r="T14"/>
  <c r="CO13"/>
  <c r="AE13"/>
  <c r="P13"/>
  <c r="DB12"/>
  <c r="CJ12"/>
  <c r="AV12"/>
  <c r="I12" s="1"/>
  <c r="AE12"/>
  <c r="R12"/>
  <c r="BC10"/>
  <c r="BH10" s="1"/>
  <c r="CO9"/>
  <c r="T9"/>
  <c r="DN8"/>
  <c r="CO8"/>
  <c r="BC8"/>
  <c r="BH8" s="1"/>
  <c r="AH8"/>
  <c r="S8"/>
  <c r="L8"/>
  <c r="CT7"/>
  <c r="AE7"/>
  <c r="DB6"/>
  <c r="T5"/>
  <c r="AL3"/>
  <c r="AV46"/>
  <c r="I46" s="1"/>
  <c r="CJ35"/>
  <c r="AE35"/>
  <c r="L35"/>
  <c r="CO32"/>
  <c r="T32"/>
  <c r="L32"/>
  <c r="BO24"/>
  <c r="BO23"/>
  <c r="L23"/>
  <c r="DB20"/>
  <c r="AV20"/>
  <c r="I20" s="1"/>
  <c r="R20"/>
  <c r="G20"/>
  <c r="AE36"/>
  <c r="CO35"/>
  <c r="AH35"/>
  <c r="CQ33"/>
  <c r="CQ32"/>
  <c r="BC32"/>
  <c r="BH32" s="1"/>
  <c r="Y32"/>
  <c r="P32"/>
  <c r="DN29"/>
  <c r="BO29"/>
  <c r="AL29"/>
  <c r="R29"/>
  <c r="CT24"/>
  <c r="Q24"/>
  <c r="CO23"/>
  <c r="AH23"/>
  <c r="P23"/>
  <c r="AH22"/>
  <c r="DN20"/>
  <c r="CO20"/>
  <c r="BC20"/>
  <c r="BH20" s="1"/>
  <c r="AH20"/>
  <c r="S20"/>
  <c r="Q18"/>
  <c r="CQ16"/>
  <c r="AL16"/>
  <c r="P16"/>
  <c r="BJ13"/>
  <c r="Y13"/>
  <c r="AV9"/>
  <c r="I9" s="1"/>
  <c r="Q9"/>
  <c r="DB8"/>
  <c r="CJ8"/>
  <c r="AV8"/>
  <c r="AE8"/>
  <c r="R8"/>
  <c r="BO7"/>
  <c r="R7"/>
  <c r="Q5"/>
  <c r="T3"/>
  <c r="Q42"/>
  <c r="DN42"/>
  <c r="S42"/>
  <c r="AV36"/>
  <c r="EA36" s="1"/>
  <c r="P36"/>
  <c r="DB28"/>
  <c r="AV28"/>
  <c r="I28" s="1"/>
  <c r="AE28"/>
  <c r="G28"/>
  <c r="R27"/>
  <c r="BC26"/>
  <c r="BH26" s="1"/>
  <c r="P26"/>
  <c r="DB24"/>
  <c r="AV24"/>
  <c r="I24" s="1"/>
  <c r="R24"/>
  <c r="CJ18"/>
  <c r="AL18"/>
  <c r="G18"/>
  <c r="Q17"/>
  <c r="AH15"/>
  <c r="CJ14"/>
  <c r="Y14"/>
  <c r="L14"/>
  <c r="AE47"/>
  <c r="DN45"/>
  <c r="AE45"/>
  <c r="R45"/>
  <c r="G45"/>
  <c r="AM42"/>
  <c r="AE41"/>
  <c r="CJ40"/>
  <c r="AE40"/>
  <c r="G40"/>
  <c r="BC39"/>
  <c r="BH39" s="1"/>
  <c r="CO36"/>
  <c r="Q36"/>
  <c r="DN34"/>
  <c r="CJ34"/>
  <c r="AL34"/>
  <c r="S34"/>
  <c r="G34"/>
  <c r="Q33"/>
  <c r="CJ30"/>
  <c r="Y30"/>
  <c r="L30"/>
  <c r="DN28"/>
  <c r="CO28"/>
  <c r="BC28"/>
  <c r="BH28" s="1"/>
  <c r="AH28"/>
  <c r="S28"/>
  <c r="L28"/>
  <c r="AH27"/>
  <c r="CO26"/>
  <c r="Q26"/>
  <c r="DN24"/>
  <c r="CO24"/>
  <c r="BC24"/>
  <c r="BH24" s="1"/>
  <c r="AH24"/>
  <c r="S24"/>
  <c r="L24"/>
  <c r="CO18"/>
  <c r="AM18"/>
  <c r="T18"/>
  <c r="L18"/>
  <c r="AE17"/>
  <c r="DB16"/>
  <c r="CJ16"/>
  <c r="AV16"/>
  <c r="I16" s="1"/>
  <c r="AE16"/>
  <c r="R16"/>
  <c r="G16"/>
  <c r="BC15"/>
  <c r="BH15" s="1"/>
  <c r="P15"/>
  <c r="CO14"/>
  <c r="AH14"/>
  <c r="P14"/>
  <c r="DN7"/>
  <c r="CJ7"/>
  <c r="AL7"/>
  <c r="S7"/>
  <c r="CJ42"/>
  <c r="AL42"/>
  <c r="G42"/>
  <c r="Q41"/>
  <c r="CJ28"/>
  <c r="R28"/>
  <c r="CJ24"/>
  <c r="AE24"/>
  <c r="G24"/>
  <c r="DN18"/>
  <c r="S18"/>
  <c r="DN47"/>
  <c r="AV47"/>
  <c r="I47" s="1"/>
  <c r="R47"/>
  <c r="G47"/>
  <c r="AV45"/>
  <c r="I45" s="1"/>
  <c r="CO42"/>
  <c r="T42"/>
  <c r="L42"/>
  <c r="DB40"/>
  <c r="AV40"/>
  <c r="I40" s="1"/>
  <c r="R40"/>
  <c r="P39"/>
  <c r="BO56"/>
  <c r="AL56"/>
  <c r="AV49"/>
  <c r="I49" s="1"/>
  <c r="BC47"/>
  <c r="BH47" s="1"/>
  <c r="AH47"/>
  <c r="S47"/>
  <c r="BC45"/>
  <c r="BH45" s="1"/>
  <c r="AH45"/>
  <c r="S45"/>
  <c r="CJ43"/>
  <c r="AE43"/>
  <c r="CQ42"/>
  <c r="BC42"/>
  <c r="BH42" s="1"/>
  <c r="Y42"/>
  <c r="DN40"/>
  <c r="CO40"/>
  <c r="BC40"/>
  <c r="BH40" s="1"/>
  <c r="AH40"/>
  <c r="S40"/>
  <c r="CO39"/>
  <c r="CQ36"/>
  <c r="CO34"/>
  <c r="AM34"/>
  <c r="T34"/>
  <c r="DB32"/>
  <c r="CJ32"/>
  <c r="AV32"/>
  <c r="I32" s="1"/>
  <c r="AE32"/>
  <c r="R32"/>
  <c r="BC31"/>
  <c r="BH31" s="1"/>
  <c r="CO30"/>
  <c r="AH30"/>
  <c r="CQ28"/>
  <c r="BJ28"/>
  <c r="AL28"/>
  <c r="T28"/>
  <c r="CQ26"/>
  <c r="CQ24"/>
  <c r="BJ24"/>
  <c r="AL24"/>
  <c r="T24"/>
  <c r="DN23"/>
  <c r="CJ23"/>
  <c r="AL23"/>
  <c r="AV21"/>
  <c r="I21" s="1"/>
  <c r="CJ19"/>
  <c r="AE19"/>
  <c r="CQ18"/>
  <c r="BC18"/>
  <c r="BH18" s="1"/>
  <c r="Y18"/>
  <c r="DN16"/>
  <c r="CO16"/>
  <c r="BC16"/>
  <c r="BH16" s="1"/>
  <c r="AH16"/>
  <c r="S16"/>
  <c r="CO15"/>
  <c r="CQ14"/>
  <c r="AM14"/>
  <c r="DN13"/>
  <c r="BO13"/>
  <c r="AL13"/>
  <c r="R13"/>
  <c r="BO9"/>
  <c r="CO7"/>
  <c r="AV7"/>
  <c r="T7"/>
  <c r="AM5"/>
  <c r="AM3"/>
  <c r="R55"/>
  <c r="AE55"/>
  <c r="AV55"/>
  <c r="I55" s="1"/>
  <c r="BO55"/>
  <c r="CT55"/>
  <c r="L41"/>
  <c r="S41"/>
  <c r="AH41"/>
  <c r="BC41"/>
  <c r="BH41" s="1"/>
  <c r="CJ41"/>
  <c r="DB41"/>
  <c r="L33"/>
  <c r="S33"/>
  <c r="AH33"/>
  <c r="BC33"/>
  <c r="BH33" s="1"/>
  <c r="CJ33"/>
  <c r="DB33"/>
  <c r="G27"/>
  <c r="Q27"/>
  <c r="Y27"/>
  <c r="AM27"/>
  <c r="BJ27"/>
  <c r="CQ27"/>
  <c r="R22"/>
  <c r="AE22"/>
  <c r="AV22"/>
  <c r="I22" s="1"/>
  <c r="BO22"/>
  <c r="CT22"/>
  <c r="L17"/>
  <c r="S17"/>
  <c r="AH17"/>
  <c r="BC17"/>
  <c r="BH17" s="1"/>
  <c r="CJ17"/>
  <c r="DB17"/>
  <c r="G11"/>
  <c r="Q11"/>
  <c r="Y11"/>
  <c r="AM11"/>
  <c r="BJ11"/>
  <c r="CQ11"/>
  <c r="L4"/>
  <c r="S4"/>
  <c r="AH4"/>
  <c r="BC4"/>
  <c r="BH4" s="1"/>
  <c r="DN4"/>
  <c r="R4"/>
  <c r="AE4"/>
  <c r="AV4"/>
  <c r="BO4"/>
  <c r="L2"/>
  <c r="S2"/>
  <c r="AH2"/>
  <c r="BC2"/>
  <c r="BH2" s="1"/>
  <c r="DN2"/>
  <c r="R2"/>
  <c r="AE2"/>
  <c r="AV2"/>
  <c r="BO2"/>
  <c r="L49"/>
  <c r="S49"/>
  <c r="AH49"/>
  <c r="BC49"/>
  <c r="BH49" s="1"/>
  <c r="CJ49"/>
  <c r="DB49"/>
  <c r="G39"/>
  <c r="Q39"/>
  <c r="Y39"/>
  <c r="AM39"/>
  <c r="BJ39"/>
  <c r="CQ39"/>
  <c r="L36"/>
  <c r="S36"/>
  <c r="AH36"/>
  <c r="BC36"/>
  <c r="BH36" s="1"/>
  <c r="CJ36"/>
  <c r="DB36"/>
  <c r="G31"/>
  <c r="Q31"/>
  <c r="Y31"/>
  <c r="AM31"/>
  <c r="BJ31"/>
  <c r="CQ31"/>
  <c r="R26"/>
  <c r="AE26"/>
  <c r="AV26"/>
  <c r="I26" s="1"/>
  <c r="BO26"/>
  <c r="CT26"/>
  <c r="L21"/>
  <c r="S21"/>
  <c r="AH21"/>
  <c r="BC21"/>
  <c r="BH21" s="1"/>
  <c r="CJ21"/>
  <c r="DB21"/>
  <c r="G15"/>
  <c r="Q15"/>
  <c r="Y15"/>
  <c r="AM15"/>
  <c r="BJ15"/>
  <c r="CQ15"/>
  <c r="R10"/>
  <c r="AE10"/>
  <c r="AV10"/>
  <c r="I10" s="1"/>
  <c r="BO10"/>
  <c r="CT10"/>
  <c r="R6"/>
  <c r="AE6"/>
  <c r="AV6"/>
  <c r="BO6"/>
  <c r="CT6"/>
  <c r="G6"/>
  <c r="Q6"/>
  <c r="Y6"/>
  <c r="AM6"/>
  <c r="BJ6"/>
  <c r="G43"/>
  <c r="Q43"/>
  <c r="Y43"/>
  <c r="AM43"/>
  <c r="BJ43"/>
  <c r="CQ43"/>
  <c r="G35"/>
  <c r="Q35"/>
  <c r="Y35"/>
  <c r="AM35"/>
  <c r="BJ35"/>
  <c r="CQ35"/>
  <c r="R30"/>
  <c r="AE30"/>
  <c r="AV30"/>
  <c r="I30" s="1"/>
  <c r="BO30"/>
  <c r="CT30"/>
  <c r="L25"/>
  <c r="S25"/>
  <c r="AH25"/>
  <c r="BC25"/>
  <c r="BH25" s="1"/>
  <c r="CJ25"/>
  <c r="DB25"/>
  <c r="G19"/>
  <c r="Q19"/>
  <c r="Y19"/>
  <c r="AM19"/>
  <c r="BJ19"/>
  <c r="CQ19"/>
  <c r="R14"/>
  <c r="AE14"/>
  <c r="AV14"/>
  <c r="I14" s="1"/>
  <c r="BO14"/>
  <c r="CT14"/>
  <c r="L9"/>
  <c r="S9"/>
  <c r="AH9"/>
  <c r="BC9"/>
  <c r="BH9" s="1"/>
  <c r="CJ9"/>
  <c r="DB9"/>
  <c r="L5"/>
  <c r="S5"/>
  <c r="AH5"/>
  <c r="BC5"/>
  <c r="BH5" s="1"/>
  <c r="DN5"/>
  <c r="R5"/>
  <c r="AE5"/>
  <c r="AV5"/>
  <c r="BO5"/>
  <c r="L3"/>
  <c r="S3"/>
  <c r="AH3"/>
  <c r="BC3"/>
  <c r="BH3" s="1"/>
  <c r="DN3"/>
  <c r="R3"/>
  <c r="AE3"/>
  <c r="AV3"/>
  <c r="BO3"/>
  <c r="G56"/>
  <c r="Q56"/>
  <c r="Y56"/>
  <c r="AM56"/>
  <c r="BJ56"/>
  <c r="R42"/>
  <c r="AE42"/>
  <c r="AV42"/>
  <c r="I42" s="1"/>
  <c r="BO42"/>
  <c r="CT42"/>
  <c r="R34"/>
  <c r="AE34"/>
  <c r="AV34"/>
  <c r="I34" s="1"/>
  <c r="BO34"/>
  <c r="CT34"/>
  <c r="L29"/>
  <c r="S29"/>
  <c r="AH29"/>
  <c r="BC29"/>
  <c r="BH29" s="1"/>
  <c r="CJ29"/>
  <c r="DB29"/>
  <c r="G23"/>
  <c r="Q23"/>
  <c r="Y23"/>
  <c r="AM23"/>
  <c r="BJ23"/>
  <c r="CQ23"/>
  <c r="R18"/>
  <c r="AE18"/>
  <c r="AV18"/>
  <c r="I18" s="1"/>
  <c r="BO18"/>
  <c r="CT18"/>
  <c r="L13"/>
  <c r="S13"/>
  <c r="AH13"/>
  <c r="BC13"/>
  <c r="BH13" s="1"/>
  <c r="CJ13"/>
  <c r="DB13"/>
  <c r="G7"/>
  <c r="Q7"/>
  <c r="Y7"/>
  <c r="AM7"/>
  <c r="BJ7"/>
  <c r="CQ7"/>
  <c r="DB55"/>
  <c r="BJ55"/>
  <c r="AL55"/>
  <c r="S55"/>
  <c r="G55"/>
  <c r="CT41"/>
  <c r="BJ41"/>
  <c r="AL41"/>
  <c r="R41"/>
  <c r="G41"/>
  <c r="CT33"/>
  <c r="BJ33"/>
  <c r="AL33"/>
  <c r="R33"/>
  <c r="G33"/>
  <c r="DB27"/>
  <c r="BO27"/>
  <c r="AL27"/>
  <c r="S27"/>
  <c r="DB22"/>
  <c r="BJ22"/>
  <c r="AL22"/>
  <c r="S22"/>
  <c r="G22"/>
  <c r="CT17"/>
  <c r="BJ17"/>
  <c r="AL17"/>
  <c r="R17"/>
  <c r="G17"/>
  <c r="DB11"/>
  <c r="BO11"/>
  <c r="AL11"/>
  <c r="S11"/>
  <c r="BJ4"/>
  <c r="Y4"/>
  <c r="G4"/>
  <c r="BJ2"/>
  <c r="Y2"/>
  <c r="G2"/>
  <c r="DN55"/>
  <c r="CJ55"/>
  <c r="AM55"/>
  <c r="T55"/>
  <c r="L55"/>
  <c r="CT49"/>
  <c r="BJ49"/>
  <c r="AL49"/>
  <c r="R49"/>
  <c r="G49"/>
  <c r="DN41"/>
  <c r="BO41"/>
  <c r="AM41"/>
  <c r="T41"/>
  <c r="DB39"/>
  <c r="BO39"/>
  <c r="AL39"/>
  <c r="S39"/>
  <c r="CT36"/>
  <c r="BJ36"/>
  <c r="AL36"/>
  <c r="R36"/>
  <c r="G36"/>
  <c r="DN33"/>
  <c r="BO33"/>
  <c r="AM33"/>
  <c r="T33"/>
  <c r="DB31"/>
  <c r="BO31"/>
  <c r="AL31"/>
  <c r="S31"/>
  <c r="DN27"/>
  <c r="CJ27"/>
  <c r="AV27"/>
  <c r="I27" s="1"/>
  <c r="T27"/>
  <c r="L27"/>
  <c r="DB26"/>
  <c r="BJ26"/>
  <c r="AL26"/>
  <c r="S26"/>
  <c r="G26"/>
  <c r="DN22"/>
  <c r="CJ22"/>
  <c r="AM22"/>
  <c r="T22"/>
  <c r="L22"/>
  <c r="CT21"/>
  <c r="BJ21"/>
  <c r="AL21"/>
  <c r="R21"/>
  <c r="G21"/>
  <c r="DN17"/>
  <c r="BO17"/>
  <c r="AM17"/>
  <c r="T17"/>
  <c r="DB15"/>
  <c r="BO15"/>
  <c r="AL15"/>
  <c r="S15"/>
  <c r="DN11"/>
  <c r="CJ11"/>
  <c r="AV11"/>
  <c r="I11" s="1"/>
  <c r="T11"/>
  <c r="L11"/>
  <c r="DB10"/>
  <c r="BJ10"/>
  <c r="AL10"/>
  <c r="S10"/>
  <c r="G10"/>
  <c r="DN6"/>
  <c r="CJ6"/>
  <c r="AH6"/>
  <c r="L6"/>
  <c r="AL4"/>
  <c r="P4"/>
  <c r="AL2"/>
  <c r="P2"/>
  <c r="CO55"/>
  <c r="BC55"/>
  <c r="BH55" s="1"/>
  <c r="Y55"/>
  <c r="P55"/>
  <c r="DN49"/>
  <c r="BO49"/>
  <c r="AM49"/>
  <c r="T49"/>
  <c r="DB43"/>
  <c r="BO43"/>
  <c r="AL43"/>
  <c r="S43"/>
  <c r="CO41"/>
  <c r="AV41"/>
  <c r="I41" s="1"/>
  <c r="Y41"/>
  <c r="P41"/>
  <c r="DN39"/>
  <c r="CJ39"/>
  <c r="AV39"/>
  <c r="I39" s="1"/>
  <c r="T39"/>
  <c r="L39"/>
  <c r="DN36"/>
  <c r="BO36"/>
  <c r="AM36"/>
  <c r="T36"/>
  <c r="DB35"/>
  <c r="BO35"/>
  <c r="AL35"/>
  <c r="S35"/>
  <c r="CO33"/>
  <c r="AV33"/>
  <c r="I33" s="1"/>
  <c r="Y33"/>
  <c r="P33"/>
  <c r="DN31"/>
  <c r="CJ31"/>
  <c r="AV31"/>
  <c r="I31" s="1"/>
  <c r="T31"/>
  <c r="L31"/>
  <c r="DB30"/>
  <c r="BJ30"/>
  <c r="AL30"/>
  <c r="S30"/>
  <c r="G30"/>
  <c r="CO27"/>
  <c r="BC27"/>
  <c r="BH27" s="1"/>
  <c r="AE27"/>
  <c r="P27"/>
  <c r="DN26"/>
  <c r="CJ26"/>
  <c r="AM26"/>
  <c r="T26"/>
  <c r="L26"/>
  <c r="CT25"/>
  <c r="BJ25"/>
  <c r="AL25"/>
  <c r="R25"/>
  <c r="G25"/>
  <c r="CO22"/>
  <c r="BC22"/>
  <c r="BH22" s="1"/>
  <c r="Y22"/>
  <c r="P22"/>
  <c r="DN21"/>
  <c r="BO21"/>
  <c r="AM21"/>
  <c r="T21"/>
  <c r="DB19"/>
  <c r="BO19"/>
  <c r="AL19"/>
  <c r="S19"/>
  <c r="CO17"/>
  <c r="AV17"/>
  <c r="I17" s="1"/>
  <c r="Y17"/>
  <c r="P17"/>
  <c r="DN15"/>
  <c r="CJ15"/>
  <c r="AV15"/>
  <c r="I15" s="1"/>
  <c r="T15"/>
  <c r="L15"/>
  <c r="DB14"/>
  <c r="BJ14"/>
  <c r="AL14"/>
  <c r="S14"/>
  <c r="G14"/>
  <c r="CO11"/>
  <c r="BC11"/>
  <c r="BH11" s="1"/>
  <c r="AE11"/>
  <c r="P11"/>
  <c r="DN10"/>
  <c r="CJ10"/>
  <c r="AM10"/>
  <c r="T10"/>
  <c r="L10"/>
  <c r="CT9"/>
  <c r="BJ9"/>
  <c r="AL9"/>
  <c r="R9"/>
  <c r="G9"/>
  <c r="CO6"/>
  <c r="AL6"/>
  <c r="P6"/>
  <c r="BJ5"/>
  <c r="Y5"/>
  <c r="G5"/>
  <c r="AM4"/>
  <c r="Q4"/>
  <c r="BJ3"/>
  <c r="Y3"/>
  <c r="G3"/>
  <c r="AM2"/>
  <c r="Q2"/>
  <c r="L9" i="35"/>
  <c r="J7"/>
  <c r="I11" i="44"/>
  <c r="L11" i="46"/>
  <c r="J7" i="43"/>
  <c r="M9" i="45"/>
  <c r="N13" i="41"/>
  <c r="N5" i="42"/>
  <c r="P91" i="41"/>
  <c r="R33"/>
  <c r="I9" i="43"/>
  <c r="Q7" i="35"/>
  <c r="K9"/>
  <c r="M11" i="41"/>
  <c r="Q29" i="42"/>
  <c r="H13" i="43"/>
  <c r="P7" i="41"/>
  <c r="H13" i="46"/>
  <c r="J11" i="35"/>
  <c r="I9" i="41"/>
  <c r="M5" i="44"/>
  <c r="M11" i="45"/>
  <c r="P25" i="43"/>
  <c r="Q7" i="45"/>
  <c r="I9" i="44"/>
  <c r="H49" i="35"/>
  <c r="T7" i="42"/>
  <c r="F7" i="45"/>
  <c r="G53"/>
  <c r="O5"/>
  <c r="H5" i="46"/>
  <c r="N7"/>
  <c r="F11"/>
  <c r="W7"/>
  <c r="F9" i="45"/>
  <c r="I49" i="42"/>
  <c r="F9" i="46"/>
  <c r="G13" i="45"/>
  <c r="H5"/>
  <c r="J49" i="42"/>
  <c r="V7"/>
  <c r="L13" i="46"/>
  <c r="H15" i="45"/>
  <c r="M5" i="42"/>
  <c r="Y7" i="46"/>
  <c r="Q33" i="45"/>
  <c r="I87"/>
  <c r="G11"/>
  <c r="G15" i="42"/>
  <c r="Y7"/>
  <c r="I7" i="45"/>
  <c r="W7" i="42"/>
  <c r="I7" i="46"/>
  <c r="Z7" i="45"/>
  <c r="N7"/>
  <c r="M5"/>
  <c r="BB59"/>
  <c r="H9" i="41"/>
  <c r="T7" i="43"/>
  <c r="M13" i="46"/>
  <c r="I11" i="43"/>
  <c r="P7" i="35"/>
  <c r="BB63" i="41"/>
  <c r="K9" i="45"/>
  <c r="I9"/>
  <c r="G61"/>
  <c r="G11" i="46"/>
  <c r="G11" i="42"/>
  <c r="G15" i="45"/>
  <c r="I61" i="46"/>
  <c r="G13" i="42"/>
  <c r="G49"/>
  <c r="H11" i="45"/>
  <c r="M5" i="35"/>
  <c r="O7" i="44"/>
  <c r="J7" i="45"/>
  <c r="M13" i="43"/>
  <c r="I13" i="45"/>
  <c r="J7" i="41"/>
  <c r="L11" i="44"/>
  <c r="F65" i="41"/>
  <c r="G65"/>
  <c r="L9"/>
  <c r="Q7"/>
  <c r="T7" i="44"/>
  <c r="BB47" i="35"/>
  <c r="K9" i="42"/>
  <c r="J7" i="46"/>
  <c r="J11" i="41"/>
  <c r="I11" i="46"/>
  <c r="L9" i="45"/>
  <c r="I13" i="35"/>
  <c r="M13" i="44"/>
  <c r="H13" i="42"/>
  <c r="K9" i="43"/>
  <c r="S23" i="35"/>
  <c r="U7" i="41"/>
  <c r="H61" i="45"/>
  <c r="I9" i="46"/>
  <c r="F7"/>
  <c r="F7" i="42"/>
  <c r="N7"/>
  <c r="I15" i="45"/>
  <c r="J61" i="46"/>
  <c r="G61"/>
  <c r="L5" i="45"/>
  <c r="F11" i="42"/>
  <c r="V59" i="45"/>
  <c r="J87"/>
  <c r="H13"/>
  <c r="P69" i="35"/>
  <c r="K9" i="46"/>
  <c r="P33" i="44"/>
  <c r="T7" i="46"/>
  <c r="M11" i="35"/>
  <c r="I13" i="41"/>
  <c r="O7" i="42"/>
  <c r="T33" i="45"/>
  <c r="H15" i="46"/>
  <c r="I5" i="42"/>
  <c r="L5" i="46"/>
  <c r="I13"/>
  <c r="L13" i="42"/>
  <c r="F49" i="35"/>
  <c r="H13" i="44"/>
  <c r="N13" i="45"/>
  <c r="N5" i="43"/>
  <c r="J11" i="45"/>
  <c r="M5" i="41"/>
  <c r="K9" i="44"/>
  <c r="M13" i="42"/>
  <c r="U7" i="35"/>
  <c r="P7" i="44"/>
  <c r="P7" i="46"/>
  <c r="P7" i="42"/>
  <c r="M9" i="35"/>
  <c r="L11" i="42"/>
  <c r="M5" i="46"/>
  <c r="O7" i="43"/>
  <c r="O7" i="46"/>
  <c r="F61" i="45"/>
  <c r="AB21" i="35"/>
  <c r="J7" i="44"/>
  <c r="I11" i="42"/>
  <c r="L11" i="43"/>
  <c r="G49" i="35"/>
  <c r="P7" i="43"/>
  <c r="I9" i="35"/>
  <c r="I9" i="42"/>
  <c r="M13" i="45"/>
  <c r="G87"/>
  <c r="H15" i="42"/>
  <c r="I13"/>
  <c r="P5"/>
  <c r="I7"/>
  <c r="F9"/>
  <c r="W7" i="45"/>
  <c r="O87"/>
  <c r="O5" i="46"/>
  <c r="X7" i="45"/>
  <c r="N13" i="35"/>
  <c r="P7" i="45"/>
  <c r="J7" i="42"/>
  <c r="U7" i="45"/>
  <c r="N9" i="41"/>
  <c r="P87" i="45"/>
  <c r="H65" i="41"/>
  <c r="F11" i="45"/>
  <c r="G13" i="46"/>
  <c r="J13" i="45"/>
  <c r="O7"/>
  <c r="G15" i="46"/>
  <c r="I4" i="40" l="1"/>
  <c r="I7"/>
  <c r="I3"/>
  <c r="I6"/>
  <c r="I8"/>
  <c r="I36"/>
  <c r="I35"/>
  <c r="F67" i="45"/>
  <c r="R87" s="1"/>
  <c r="I5" i="40"/>
  <c r="I2"/>
  <c r="G11" i="44"/>
  <c r="I15" i="41"/>
  <c r="I13" i="44"/>
  <c r="F11"/>
  <c r="X7" i="35"/>
  <c r="G15"/>
  <c r="Z7" i="41"/>
  <c r="F5" i="43"/>
  <c r="J43" i="35"/>
  <c r="G61" i="44"/>
  <c r="L5" i="41"/>
  <c r="G11" i="35"/>
  <c r="I7" i="41"/>
  <c r="G13"/>
  <c r="F11" i="43"/>
  <c r="W7" i="44"/>
  <c r="L13" i="43"/>
  <c r="H11" i="35"/>
  <c r="M13"/>
  <c r="V47"/>
  <c r="H5"/>
  <c r="N7" i="44"/>
  <c r="H5"/>
  <c r="M13" i="41"/>
  <c r="G33" i="43"/>
  <c r="V7" i="44"/>
  <c r="F9" i="35"/>
  <c r="Y7"/>
  <c r="O5" i="44"/>
  <c r="V63" i="41"/>
  <c r="W7" i="35"/>
  <c r="H15"/>
  <c r="O5"/>
  <c r="J33" i="43"/>
  <c r="I13"/>
  <c r="J69" i="35"/>
  <c r="G69"/>
  <c r="F11"/>
  <c r="F9" i="43"/>
  <c r="I7" i="44"/>
  <c r="G13" i="35"/>
  <c r="J91" i="41"/>
  <c r="F7" i="35"/>
  <c r="X7" i="44"/>
  <c r="G57" i="41"/>
  <c r="L5" i="44"/>
  <c r="M5" i="43"/>
  <c r="I69" i="35"/>
  <c r="W7" i="41"/>
  <c r="J13"/>
  <c r="G11" i="43"/>
  <c r="Z7" i="35"/>
  <c r="G45"/>
  <c r="O7"/>
  <c r="G13" i="44"/>
  <c r="H11" i="41"/>
  <c r="H13"/>
  <c r="I7" i="43"/>
  <c r="H15" i="41"/>
  <c r="F11"/>
  <c r="G15" i="43"/>
  <c r="P5"/>
  <c r="N7" i="41"/>
  <c r="H5"/>
  <c r="X7" i="43"/>
  <c r="O91" i="41"/>
  <c r="I61" i="44"/>
  <c r="I5" i="43"/>
  <c r="Y7" i="44"/>
  <c r="F7"/>
  <c r="F5" i="41"/>
  <c r="H15" i="43"/>
  <c r="P43" i="35"/>
  <c r="J61" i="44"/>
  <c r="I7" i="35"/>
  <c r="J13"/>
  <c r="F5" i="44"/>
  <c r="F7" i="41"/>
  <c r="L5" i="35"/>
  <c r="S43"/>
  <c r="G15" i="44"/>
  <c r="F7" i="43"/>
  <c r="M43" i="35"/>
  <c r="X7" i="41"/>
  <c r="F5" i="35"/>
  <c r="I15"/>
  <c r="N7" i="43"/>
  <c r="Y7"/>
  <c r="G91" i="41"/>
  <c r="O33"/>
  <c r="O69" i="35"/>
  <c r="F9" i="41"/>
  <c r="W7" i="43"/>
  <c r="G11" i="41"/>
  <c r="O7"/>
  <c r="P23" i="35"/>
  <c r="L13" i="44"/>
  <c r="V7" i="43"/>
  <c r="G15" i="41"/>
  <c r="G13" i="43"/>
  <c r="H15" i="44"/>
  <c r="I91" i="41"/>
  <c r="H13" i="35"/>
  <c r="N7"/>
  <c r="I33" i="43"/>
  <c r="O5" i="41"/>
  <c r="F9" i="44"/>
  <c r="Y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<sst xmlns="http://schemas.openxmlformats.org/spreadsheetml/2006/main" count="8564" uniqueCount="929">
  <si>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</si>
  <si>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</si>
  <si>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</si>
  <si>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</si>
  <si>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</si>
  <si>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</si>
  <si>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</si>
  <si>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</si>
  <si>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</si>
  <si>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</si>
  <si>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</si>
  <si>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</si>
  <si>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</si>
  <si>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</si>
  <si>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</si>
  <si>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</si>
  <si>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</si>
  <si>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</si>
  <si>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</si>
  <si>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</si>
  <si>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</si>
  <si>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</si>
  <si>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</si>
  <si>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</si>
  <si>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</si>
  <si>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</si>
  <si>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</si>
  <si>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</si>
  <si>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</si>
  <si>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</si>
  <si>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</si>
  <si>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</si>
  <si>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</si>
  <si>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</si>
  <si>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</si>
  <si>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</si>
  <si>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</si>
  <si>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</si>
  <si>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</si>
  <si>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</si>
  <si>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</si>
  <si>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</si>
  <si>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</si>
  <si>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</si>
  <si>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</si>
  <si>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</si>
  <si>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</si>
  <si>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</si>
  <si>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</si>
  <si>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</si>
  <si>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</si>
  <si>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</si>
  <si>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</si>
  <si>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</si>
  <si>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</si>
  <si>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</si>
  <si>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</si>
  <si>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</si>
  <si>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</si>
  <si>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</si>
  <si>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</si>
  <si>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</si>
  <si>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</si>
  <si>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</si>
  <si>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</si>
  <si>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</si>
  <si>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</si>
  <si>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</si>
  <si>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</si>
  <si>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</si>
  <si>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</si>
  <si>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</si>
  <si>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</si>
  <si>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</si>
  <si>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</si>
  <si>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</si>
  <si>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</si>
  <si>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</si>
  <si>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</si>
  <si>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</si>
  <si>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</si>
  <si>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</si>
  <si>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</si>
  <si>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</si>
  <si>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</si>
  <si>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</si>
  <si>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</si>
  <si>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</si>
  <si>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</si>
  <si>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</si>
  <si>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</si>
  <si>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</si>
  <si>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</si>
  <si>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</si>
  <si>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</si>
  <si>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</si>
  <si>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</si>
  <si>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</si>
  <si>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</si>
  <si>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</si>
  <si>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</si>
  <si>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</si>
  <si>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</si>
  <si>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</si>
  <si>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</si>
  <si>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</si>
  <si>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</si>
  <si>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</si>
  <si>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</si>
  <si>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</si>
  <si>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</si>
  <si>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</si>
  <si>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</si>
  <si>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</si>
  <si>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</si>
  <si>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</si>
  <si>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</si>
  <si>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</si>
  <si>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</si>
  <si>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</si>
  <si>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</si>
  <si>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</si>
  <si>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</si>
  <si>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</si>
  <si>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</si>
  <si>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</si>
  <si>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</si>
  <si>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</si>
  <si>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</si>
  <si>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</si>
  <si>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</si>
  <si>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</si>
  <si>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</si>
  <si>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</si>
  <si>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</si>
  <si>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</si>
  <si>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</si>
  <si>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</si>
  <si>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</si>
  <si>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</si>
  <si>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</si>
  <si>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</si>
  <si>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</si>
  <si>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</si>
  <si>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</si>
  <si>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</si>
  <si>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</si>
  <si>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</si>
  <si>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</si>
  <si>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</si>
  <si>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</si>
  <si>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</si>
  <si>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</si>
  <si>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</si>
  <si>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</si>
  <si>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</si>
  <si>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</si>
  <si>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</si>
  <si>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</si>
  <si>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</si>
  <si>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</si>
  <si>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</si>
  <si>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</si>
  <si>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</si>
  <si>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</si>
  <si>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</si>
  <si>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</si>
  <si>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</si>
  <si>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</si>
  <si>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</si>
  <si>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</si>
  <si>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</si>
  <si>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</si>
  <si>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</si>
  <si>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</si>
  <si>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</si>
  <si>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</si>
  <si>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</si>
  <si>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</si>
  <si>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</si>
  <si>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</si>
  <si>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</si>
  <si>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</si>
  <si>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</si>
  <si>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</si>
  <si>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</si>
  <si>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</si>
  <si>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</si>
  <si>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</si>
  <si>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</si>
  <si>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</si>
  <si>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</si>
  <si>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</si>
  <si>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</si>
  <si>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</si>
  <si>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</si>
  <si>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</si>
  <si>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</si>
  <si>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</si>
  <si>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</si>
  <si>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</si>
  <si>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</si>
  <si>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</si>
  <si>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</si>
  <si>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</si>
  <si>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</si>
  <si>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</si>
  <si>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</si>
  <si>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</si>
  <si>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</si>
  <si>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</si>
  <si>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</si>
  <si>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</si>
  <si>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</si>
  <si>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</si>
  <si>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</si>
  <si>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</si>
  <si>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</si>
  <si>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</si>
  <si>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</si>
  <si>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</si>
  <si>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</si>
  <si>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</si>
  <si>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</si>
  <si>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</si>
  <si>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</si>
  <si>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</si>
  <si>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</si>
  <si>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</si>
  <si>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</si>
  <si>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</si>
  <si>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</si>
  <si>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</si>
  <si>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</si>
  <si>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</si>
  <si>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</si>
  <si>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</si>
  <si>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</si>
  <si>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</si>
  <si>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</si>
  <si>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</si>
  <si>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</si>
  <si>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</si>
  <si>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</si>
  <si>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</si>
  <si>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</si>
  <si>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</si>
  <si>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</si>
  <si>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</si>
  <si>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</si>
  <si>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</si>
  <si>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</si>
  <si>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</si>
  <si>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</si>
  <si>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</si>
  <si>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</si>
  <si>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</si>
  <si>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</si>
  <si>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</si>
  <si>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</si>
  <si>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</si>
  <si>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</si>
  <si>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</si>
  <si>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</si>
  <si>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</si>
  <si>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</si>
  <si>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</si>
  <si>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</si>
  <si>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</si>
  <si>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</si>
  <si>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</si>
  <si>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</si>
  <si>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</si>
  <si>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</si>
  <si>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</si>
  <si>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</si>
  <si>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</si>
  <si>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</si>
  <si>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</si>
  <si>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</si>
  <si>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</si>
  <si>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</si>
  <si>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</si>
  <si>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</si>
  <si>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</si>
  <si>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</si>
  <si>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</si>
  <si>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</si>
  <si>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</si>
  <si>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</si>
  <si>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</si>
  <si>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</si>
  <si>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</si>
  <si>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</si>
  <si>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</si>
  <si>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</si>
  <si>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</si>
  <si>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</si>
  <si>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</si>
  <si>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</si>
  <si>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</si>
  <si>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</si>
  <si>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</si>
  <si>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</si>
  <si>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</si>
  <si>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</si>
  <si>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</si>
  <si>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</si>
  <si>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</si>
  <si>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</si>
  <si>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</si>
  <si>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</si>
  <si>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</si>
  <si>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</si>
  <si>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</si>
  <si>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</si>
  <si>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</si>
  <si>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</si>
  <si>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</si>
  <si>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</si>
  <si>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</si>
  <si>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</si>
  <si>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</si>
  <si>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</si>
  <si>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</si>
  <si>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</si>
  <si>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</si>
  <si>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</si>
  <si>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</si>
  <si>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</si>
  <si>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</si>
  <si>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</si>
  <si>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</si>
  <si>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</si>
  <si>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</si>
  <si>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</si>
  <si>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</si>
  <si>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</si>
  <si>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</si>
  <si>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</si>
  <si>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</si>
  <si>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</si>
  <si>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</si>
  <si>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</si>
  <si>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</si>
  <si>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</si>
  <si>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</si>
  <si>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</si>
  <si>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</si>
  <si>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</si>
  <si>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</si>
  <si>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</si>
  <si>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</si>
  <si>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</si>
  <si>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</si>
  <si>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</si>
  <si>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</si>
  <si>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</si>
  <si>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</si>
  <si>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</si>
  <si>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</si>
  <si>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</si>
  <si>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</si>
  <si>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</si>
  <si>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</si>
  <si>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</si>
  <si>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</si>
  <si>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</si>
  <si>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</si>
  <si>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</si>
  <si>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</si>
  <si>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</si>
  <si>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</si>
  <si>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</si>
  <si>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</si>
  <si>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</si>
  <si>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</si>
  <si>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</si>
  <si>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</si>
  <si>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</si>
  <si>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</si>
  <si>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</si>
  <si>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</si>
  <si>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</si>
  <si>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</si>
  <si>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</si>
  <si>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</si>
  <si>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</si>
  <si>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</si>
  <si>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</si>
  <si>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</si>
  <si>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</si>
  <si>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</si>
  <si>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</si>
  <si>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</si>
  <si>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</si>
  <si>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</si>
  <si>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</si>
  <si>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</si>
  <si>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</si>
  <si>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</si>
  <si>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</si>
  <si>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</si>
  <si>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</si>
  <si>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</si>
  <si>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</si>
  <si>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</si>
  <si>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</si>
  <si>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</si>
  <si>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</si>
  <si>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</si>
  <si>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</si>
  <si>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</si>
  <si>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</si>
  <si>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</si>
  <si>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</si>
  <si>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</si>
  <si>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</si>
  <si>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</si>
  <si>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</si>
  <si>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</si>
  <si>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</si>
  <si>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</si>
  <si>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</si>
  <si>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</si>
  <si>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</si>
  <si>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</si>
  <si>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</si>
  <si>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</si>
  <si>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</si>
  <si>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</si>
  <si>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</si>
  <si>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</si>
  <si>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</si>
  <si>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</si>
  <si>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</si>
  <si>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</si>
  <si>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</si>
  <si>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</si>
  <si>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</si>
  <si>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</si>
  <si>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</si>
  <si>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</si>
  <si>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</si>
  <si>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</si>
  <si>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</si>
  <si>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</si>
  <si>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</si>
  <si>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</si>
  <si>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</si>
  <si>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</si>
  <si>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</si>
  <si>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</si>
  <si>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</si>
  <si>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</si>
  <si>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</si>
  <si>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</si>
  <si>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</si>
  <si>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</si>
  <si>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</si>
  <si>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</si>
  <si>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</si>
  <si>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</si>
  <si>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</si>
  <si>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</si>
  <si>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</si>
  <si>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</si>
  <si>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</si>
  <si>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</si>
  <si>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</si>
  <si>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</si>
  <si>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</si>
  <si>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</si>
  <si>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</si>
  <si>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</si>
  <si>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</si>
  <si>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</si>
  <si>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</si>
  <si>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</si>
  <si>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</si>
  <si>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</si>
  <si>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</si>
  <si>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</si>
  <si>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</si>
  <si>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</si>
  <si>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</si>
  <si>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</si>
  <si>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</si>
  <si>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</si>
  <si>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</si>
  <si>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</si>
  <si>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</si>
  <si>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</si>
  <si>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</si>
  <si>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</si>
  <si>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</si>
  <si>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</si>
  <si>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</si>
  <si>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</si>
  <si>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</si>
  <si>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</si>
  <si>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</si>
  <si>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</si>
  <si>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</si>
  <si>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</si>
  <si>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</si>
  <si>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</si>
  <si>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</si>
  <si>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</si>
  <si>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</si>
  <si>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</si>
  <si>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</si>
  <si>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</si>
  <si>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</si>
  <si>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</si>
  <si>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</si>
  <si>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</si>
  <si>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</si>
  <si>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</si>
  <si>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</si>
  <si>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</si>
  <si>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</si>
  <si>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</si>
  <si>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</si>
  <si>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</si>
  <si>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</si>
  <si>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</si>
  <si>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</si>
  <si>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</si>
  <si>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</si>
  <si>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</si>
  <si>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</si>
  <si>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</si>
  <si>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</si>
  <si>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</si>
  <si>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</si>
  <si>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</si>
  <si>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</si>
  <si>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</si>
  <si>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</si>
  <si>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</si>
  <si>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</si>
  <si>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</si>
  <si>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</si>
  <si>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</si>
  <si>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</si>
  <si>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</si>
  <si>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</si>
  <si>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</si>
  <si>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</si>
  <si>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</si>
  <si>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</si>
  <si>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</si>
  <si>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</si>
  <si>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</si>
  <si>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</si>
  <si>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</si>
  <si>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</si>
  <si>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</si>
  <si>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</si>
  <si>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</si>
  <si>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</si>
  <si>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</si>
  <si>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</si>
  <si>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</si>
  <si>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</si>
  <si>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</si>
  <si>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</si>
  <si>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</si>
  <si>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</si>
  <si>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</si>
  <si>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</si>
  <si>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</si>
  <si>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</si>
  <si>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</si>
  <si>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</si>
  <si>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</si>
  <si>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</si>
  <si>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</si>
  <si>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</si>
  <si>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</si>
  <si>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</si>
  <si>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</si>
  <si>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</si>
  <si>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</si>
  <si>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</si>
  <si>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</si>
  <si>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</si>
  <si>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</si>
  <si>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</si>
  <si>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</si>
  <si>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</si>
  <si>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</si>
  <si>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</si>
  <si>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</si>
  <si>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</si>
  <si>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</si>
  <si>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</si>
  <si>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</si>
  <si>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</si>
  <si>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</si>
  <si>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</si>
  <si>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</si>
  <si>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</si>
  <si>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</si>
  <si>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</si>
  <si>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</si>
  <si>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</si>
  <si>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</si>
  <si>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</si>
  <si>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</si>
  <si>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</si>
  <si>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</si>
  <si>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</si>
  <si>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</si>
  <si>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</si>
  <si>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</si>
  <si>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</si>
  <si>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</si>
  <si>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</si>
  <si>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</si>
  <si>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</si>
  <si>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</si>
  <si>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</si>
  <si>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</si>
  <si>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</si>
  <si>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</si>
  <si>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</si>
  <si>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</si>
  <si>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</si>
  <si>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</si>
  <si>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</si>
  <si>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</si>
  <si>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</si>
  <si>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</si>
  <si>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</si>
  <si>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</si>
  <si>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</si>
  <si>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</si>
  <si>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</si>
  <si>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</si>
  <si>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</si>
  <si>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</si>
  <si>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</si>
  <si>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</si>
  <si>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</si>
  <si>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</si>
  <si>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</si>
  <si>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</si>
  <si>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</si>
  <si>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</si>
  <si>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</si>
  <si>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</si>
  <si>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</si>
  <si>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</si>
  <si>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</si>
  <si>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</si>
  <si>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</si>
  <si>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</si>
  <si>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</si>
  <si>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</si>
  <si>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</si>
  <si>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</si>
  <si>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</si>
  <si>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</si>
  <si>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</si>
  <si>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</si>
  <si>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</si>
  <si>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</si>
  <si>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</si>
  <si>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</si>
  <si>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</si>
  <si>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</si>
  <si>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</si>
  <si>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</si>
  <si>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</si>
  <si>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</si>
  <si>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</si>
  <si>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</si>
  <si>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</si>
  <si>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</si>
  <si>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</si>
  <si>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</si>
  <si>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</si>
  <si>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</si>
  <si>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</si>
  <si>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</si>
  <si>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</si>
  <si>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</si>
  <si>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</si>
  <si>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</si>
  <si>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</si>
  <si>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</si>
  <si>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</si>
  <si>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</si>
  <si>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</si>
  <si>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</si>
  <si>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</si>
  <si>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</si>
  <si>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</si>
  <si>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</si>
  <si>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</si>
  <si>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</si>
  <si>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</si>
  <si>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</si>
  <si>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</si>
  <si>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</si>
  <si>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</si>
  <si>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</si>
  <si>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</si>
  <si>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</si>
  <si>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</si>
  <si>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</si>
  <si>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</si>
  <si>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</si>
  <si>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</si>
  <si>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</si>
  <si>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</si>
  <si>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</si>
  <si>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</si>
  <si>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</si>
  <si>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</si>
  <si>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</si>
  <si>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</si>
  <si>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</si>
  <si>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</si>
  <si>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</si>
  <si>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</si>
  <si>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</si>
  <si>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</si>
  <si>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</si>
  <si>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</si>
  <si>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</si>
  <si>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</si>
  <si>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</si>
  <si>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</si>
  <si>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</si>
  <si>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</si>
  <si>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</si>
  <si>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</si>
  <si>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</si>
  <si>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</si>
  <si>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</si>
  <si>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</si>
  <si>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</si>
  <si>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</si>
  <si>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</si>
  <si>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</si>
  <si>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</si>
  <si>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</si>
  <si>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</si>
  <si>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</si>
  <si>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</si>
  <si>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</si>
  <si>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</si>
  <si>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</si>
  <si>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</si>
  <si>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</si>
  <si>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</si>
  <si>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</si>
  <si>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</si>
  <si>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</si>
  <si>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</si>
  <si>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</si>
  <si>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</si>
  <si>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</si>
  <si>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</si>
  <si>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</si>
  <si>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</si>
  <si>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</si>
  <si>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</si>
  <si>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</si>
  <si>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</si>
  <si>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</si>
  <si>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</si>
  <si>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</si>
  <si>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</si>
  <si>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</si>
  <si>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</si>
  <si>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</si>
  <si>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</si>
  <si>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</si>
  <si>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</si>
  <si>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</si>
  <si>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</si>
  <si>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</si>
  <si>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</si>
  <si>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</si>
  <si>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</si>
  <si>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</si>
  <si>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</si>
  <si>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</si>
  <si>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</si>
  <si>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</si>
  <si>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</si>
  <si>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</si>
  <si>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</si>
  <si>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</si>
  <si>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</si>
  <si>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</si>
  <si>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</si>
  <si>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</si>
  <si>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</si>
  <si>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</si>
  <si>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</si>
  <si>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</si>
  <si>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</si>
  <si>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</si>
  <si>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</si>
  <si>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</si>
  <si>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</si>
  <si>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</si>
  <si>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</si>
  <si>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</si>
  <si>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</si>
  <si>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</si>
  <si>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</si>
  <si>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</si>
  <si>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</si>
  <si>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</si>
  <si>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</si>
  <si>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</si>
  <si>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</si>
  <si>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</si>
  <si>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</si>
  <si>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</si>
  <si>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</si>
  <si>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</si>
  <si>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</si>
  <si>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</si>
  <si>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</si>
  <si>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</si>
  <si>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</si>
  <si>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</si>
  <si>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</si>
  <si>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</si>
  <si>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</si>
  <si>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</si>
  <si>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</si>
  <si>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</si>
  <si>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</si>
  <si>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</si>
  <si>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</si>
  <si>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</si>
  <si>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</si>
  <si>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</si>
  <si>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</si>
  <si>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</si>
  <si>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</si>
  <si>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</si>
  <si>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</si>
  <si>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</si>
  <si>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</si>
  <si>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</si>
  <si>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</si>
  <si>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</si>
  <si>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</si>
  <si>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</si>
  <si>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</si>
  <si>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</si>
  <si>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</si>
  <si>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</si>
  <si>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</si>
  <si>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</si>
  <si>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</si>
  <si>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</si>
  <si>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</si>
  <si>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</si>
  <si>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</si>
  <si>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</si>
  <si>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</si>
  <si>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</si>
  <si>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</si>
  <si>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</si>
  <si>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</si>
  <si>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</si>
  <si>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</si>
  <si>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</si>
  <si>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</si>
  <si>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</si>
  <si>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</si>
  <si>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</si>
  <si>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</si>
  <si>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</si>
  <si>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</si>
  <si>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</si>
  <si>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</si>
  <si>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</si>
  <si>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</si>
  <si>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</si>
  <si>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</si>
  <si>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</si>
  <si>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</si>
  <si>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</si>
  <si>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</si>
  <si>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</si>
  <si>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</si>
  <si>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</si>
  <si>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</si>
  <si>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</si>
  <si>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</si>
  <si>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</si>
  <si>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</si>
  <si>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</si>
  <si>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</si>
  <si>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</si>
  <si>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</si>
  <si>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</si>
  <si>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</si>
  <si>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</si>
  <si>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</si>
  <si>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</si>
  <si>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</si>
  <si>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</si>
  <si>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</si>
  <si>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</si>
  <si>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</si>
  <si>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</si>
  <si>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</si>
  <si>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</si>
  <si>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</si>
  <si>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</si>
  <si>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</si>
  <si>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</si>
  <si>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</si>
  <si>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2017-06-26 08:00</t>
  </si>
  <si>
    <t>2017-06-26 18:00</t>
  </si>
  <si>
    <t>Chrome</t>
  </si>
  <si>
    <t>USER</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</si>
</sst>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106955</v>
      </c>
      <c r="G1" s="226" t="s">
        <v>851</v>
      </c>
      <c r="H1" s="226" t="s">
        <v>725</v>
      </c>
      <c r="I1" s="226" t="s">
        <v>852</v>
      </c>
      <c r="J1" s="226" t="s">
        <v>852</v>
      </c>
    </row>
    <row r="2" spans="1:10">
      <c r="A2" s="36" t="s">
        <v>5</v>
      </c>
      <c r="B2" s="236" t="s">
        <v>925</v>
      </c>
      <c r="C2" s="25"/>
      <c r="D2" s="9"/>
      <c r="G2" s="227"/>
      <c r="H2" s="228"/>
      <c r="I2" s="227"/>
      <c r="J2" s="227"/>
    </row>
    <row r="3" spans="1:10">
      <c r="A3" s="36" t="s">
        <v>4</v>
      </c>
      <c r="B3" s="237" t="s">
        <v>926</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68"/>
  <sheetViews>
    <sheetView tabSelected="1" zoomScale="115" zoomScaleNormal="115" workbookViewId="0">
      <selection activeCell="B6" sqref="B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928</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106956</v>
      </c>
      <c r="E2" s="16" t="s">
        <v>47</v>
      </c>
      <c r="F2" s="14" t="s">
        <v>730</v>
      </c>
      <c r="G2" s="14" t="str">
        <f t="shared" ref="G2:G5" si="0">("Access Dtls-" &amp; D2)</f>
        <v>Access Dtls-106956</v>
      </c>
      <c r="H2" s="16" t="s">
        <v>277</v>
      </c>
      <c r="I2" s="14" t="str">
        <f>("MR. Test_"&amp; AV2 &amp;"_EXCH14")</f>
        <v>MR. Test_106956_EXCH14</v>
      </c>
      <c r="J2" s="14"/>
      <c r="K2" s="20" t="s">
        <v>434</v>
      </c>
      <c r="L2" s="14" t="str">
        <f t="shared" ref="L2:L5" si="1">("Cust. Ref-" &amp; D2)</f>
        <v>Cust. Ref-106956</v>
      </c>
      <c r="M2" s="16" t="s">
        <v>48</v>
      </c>
      <c r="N2" s="16" t="s">
        <v>434</v>
      </c>
      <c r="O2" s="14"/>
      <c r="P2" s="14" t="str">
        <f t="shared" ref="P2:P5" si="2">("SN-" &amp; D2)</f>
        <v>SN-106956</v>
      </c>
      <c r="Q2" s="14" t="str">
        <f t="shared" ref="Q2:Q5" si="3">("SI-" &amp; D2)</f>
        <v>SI-106956</v>
      </c>
      <c r="R2" s="14" t="str">
        <f t="shared" ref="R2:R5" si="4">("SE-" &amp; D2)</f>
        <v>SE-106956</v>
      </c>
      <c r="S2" s="141" t="str">
        <f t="shared" ref="S2:S5" si="5">("Prev_RA-" &amp; D2)</f>
        <v>Prev_RA-106956</v>
      </c>
      <c r="T2" s="141" t="str">
        <f t="shared" ref="T2:T5" si="6">("Prev_Comms-" &amp; D2)</f>
        <v>Prev_Comms-106956</v>
      </c>
      <c r="U2" s="18" t="s">
        <v>75</v>
      </c>
      <c r="V2" s="16" t="s">
        <v>406</v>
      </c>
      <c r="W2" s="18" t="s">
        <v>75</v>
      </c>
      <c r="X2" s="16" t="s">
        <v>401</v>
      </c>
      <c r="Y2" s="14" t="str">
        <f t="shared" ref="Y2:Y5" si="7">("Forward Add-" &amp; D2)</f>
        <v>Forward Add-106956</v>
      </c>
      <c r="Z2" s="16" t="s">
        <v>406</v>
      </c>
      <c r="AA2" s="142" t="str">
        <f>'Run Parameters'!$B$2</f>
        <v>2017-06-26 08:00</v>
      </c>
      <c r="AB2" s="238" t="str">
        <f>'Run Parameters'!B$3</f>
        <v>2017-06-26 18:00</v>
      </c>
      <c r="AC2" s="27">
        <f>('Run Parameters'!$B$2) - 7</f>
        <v>42905.333333333336</v>
      </c>
      <c r="AD2" s="18" t="s">
        <v>75</v>
      </c>
      <c r="AE2" s="14" t="str">
        <f t="shared" ref="AE2:AE5" si="8">("LAST_METER-" &amp; D2)</f>
        <v>LAST_METER-106956</v>
      </c>
      <c r="AF2" s="142" t="str">
        <f>'Run Parameters'!$B$2</f>
        <v>2017-06-26 08:00</v>
      </c>
      <c r="AG2" s="14" t="str">
        <f>'Run Parameters'!B$4</f>
        <v xml:space="preserve">AUTOTEST </v>
      </c>
      <c r="AH2" s="141" t="str">
        <f t="shared" ref="AH2:AH5" si="9">("Site_Contact_" &amp; D2)</f>
        <v>Site_Contact_106956</v>
      </c>
      <c r="AI2" s="142" t="str">
        <f>'Run Parameters'!B$2</f>
        <v>2017-06-26 08:00</v>
      </c>
      <c r="AJ2" s="238" t="str">
        <f>'Run Parameters'!B$3</f>
        <v>2017-06-26 18:00</v>
      </c>
      <c r="AK2" s="14" t="s">
        <v>401</v>
      </c>
      <c r="AL2" s="141" t="str">
        <f t="shared" ref="AL2:AL5" si="10">"01159" &amp; D2</f>
        <v>01159106956</v>
      </c>
      <c r="AM2" s="14" t="str">
        <f t="shared" ref="AM2:AM5" si="11">("0115" &amp; D2)</f>
        <v>0115106956</v>
      </c>
      <c r="AN2" s="16"/>
      <c r="AO2" s="16"/>
      <c r="AP2" s="14">
        <v>1</v>
      </c>
      <c r="AQ2" s="16" t="s">
        <v>49</v>
      </c>
      <c r="AR2" s="16"/>
      <c r="AS2" s="14"/>
      <c r="AT2" s="13"/>
      <c r="AU2" s="13"/>
      <c r="AV2" s="14">
        <f t="shared" ref="AV2:AV5" si="12">D2</f>
        <v>106956</v>
      </c>
      <c r="AW2" s="14" t="s">
        <v>731</v>
      </c>
      <c r="AX2" s="14" t="s">
        <v>428</v>
      </c>
      <c r="AY2" s="14" t="s">
        <v>429</v>
      </c>
      <c r="AZ2" s="16" t="s">
        <v>338</v>
      </c>
      <c r="BA2" s="16" t="s">
        <v>155</v>
      </c>
      <c r="BB2" s="22">
        <v>1</v>
      </c>
      <c r="BC2" s="22">
        <f t="shared" ref="BC2:BC5" si="13">D2</f>
        <v>106956</v>
      </c>
      <c r="BD2" s="18" t="s">
        <v>732</v>
      </c>
      <c r="BE2" s="18" t="s">
        <v>395</v>
      </c>
      <c r="BF2" s="18" t="s">
        <v>395</v>
      </c>
      <c r="BG2" s="22" t="s">
        <v>730</v>
      </c>
      <c r="BH2" s="22" t="str">
        <f>BC2&amp;"_"&amp;BB2</f>
        <v>106956_1</v>
      </c>
      <c r="BI2" s="22"/>
      <c r="BJ2" s="22" t="str">
        <f t="shared" ref="BJ2:BJ5" si="14">"10000000" &amp; D2</f>
        <v>10000000106956</v>
      </c>
      <c r="BK2" s="18" t="s">
        <v>51</v>
      </c>
      <c r="BL2" s="18" t="s">
        <v>54</v>
      </c>
      <c r="BM2" s="22" t="s">
        <v>417</v>
      </c>
      <c r="BN2" s="18" t="s">
        <v>51</v>
      </c>
      <c r="BO2" s="22" t="str">
        <f t="shared" ref="BO2:BO5" si="15">"S05S" &amp; D2</f>
        <v>S05S106956</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5" si="16">("DS_Pass-" &amp; $D2)</f>
        <v>DS_Pass-106956</v>
      </c>
      <c r="DO2" s="42"/>
      <c r="DP2" s="42"/>
      <c r="DQ2" s="42"/>
      <c r="DR2" s="43"/>
      <c r="DS2" s="43"/>
      <c r="DT2" s="42"/>
      <c r="DU2" s="42"/>
      <c r="DV2" s="42"/>
      <c r="DW2" s="43"/>
      <c r="DX2" s="42"/>
      <c r="DY2" s="42"/>
      <c r="DZ2" s="42" t="s">
        <v>408</v>
      </c>
      <c r="EA2" s="144"/>
      <c r="EB2" s="42"/>
      <c r="EC2" s="42"/>
      <c r="ED2" s="18"/>
      <c r="EE2" s="3"/>
      <c r="EF2" s="145"/>
    </row>
    <row r="3" spans="1:136" s="146" customFormat="1">
      <c r="A3" s="234"/>
      <c r="B3" s="234"/>
      <c r="C3" s="234"/>
      <c r="D3" s="14">
        <f>'Run Parameters'!$B$1 + ROW()-1</f>
        <v>106957</v>
      </c>
      <c r="E3" s="16" t="s">
        <v>47</v>
      </c>
      <c r="F3" s="14" t="s">
        <v>753</v>
      </c>
      <c r="G3" s="14" t="str">
        <f t="shared" si="0"/>
        <v>Access Dtls-106957</v>
      </c>
      <c r="H3" s="16" t="s">
        <v>277</v>
      </c>
      <c r="I3" s="14" t="str">
        <f>("MR. Test_"&amp; AV3 &amp;"_NMEX5")</f>
        <v>MR. Test_106957_NMEX5</v>
      </c>
      <c r="J3" s="14"/>
      <c r="K3" s="20" t="s">
        <v>434</v>
      </c>
      <c r="L3" s="14" t="str">
        <f t="shared" si="1"/>
        <v>Cust. Ref-106957</v>
      </c>
      <c r="M3" s="16" t="s">
        <v>48</v>
      </c>
      <c r="N3" s="16" t="s">
        <v>434</v>
      </c>
      <c r="O3" s="14"/>
      <c r="P3" s="14" t="str">
        <f t="shared" si="2"/>
        <v>SN-106957</v>
      </c>
      <c r="Q3" s="14" t="str">
        <f t="shared" si="3"/>
        <v>SI-106957</v>
      </c>
      <c r="R3" s="14" t="str">
        <f t="shared" si="4"/>
        <v>SE-106957</v>
      </c>
      <c r="S3" s="141" t="str">
        <f t="shared" si="5"/>
        <v>Prev_RA-106957</v>
      </c>
      <c r="T3" s="141" t="str">
        <f t="shared" si="6"/>
        <v>Prev_Comms-106957</v>
      </c>
      <c r="U3" s="18" t="s">
        <v>75</v>
      </c>
      <c r="V3" s="16" t="s">
        <v>406</v>
      </c>
      <c r="W3" s="18" t="s">
        <v>75</v>
      </c>
      <c r="X3" s="16" t="s">
        <v>401</v>
      </c>
      <c r="Y3" s="14" t="str">
        <f t="shared" si="7"/>
        <v>Forward Add-106957</v>
      </c>
      <c r="Z3" s="16" t="s">
        <v>406</v>
      </c>
      <c r="AA3" s="142" t="str">
        <f>'Run Parameters'!$B$2</f>
        <v>2017-06-26 08:00</v>
      </c>
      <c r="AB3" s="238" t="str">
        <f>'Run Parameters'!B$3</f>
        <v>2017-06-26 18:00</v>
      </c>
      <c r="AC3" s="27">
        <f>('Run Parameters'!$B$2) - 7</f>
        <v>42905.333333333336</v>
      </c>
      <c r="AD3" s="18" t="s">
        <v>75</v>
      </c>
      <c r="AE3" s="14" t="str">
        <f t="shared" si="8"/>
        <v>LAST_METER-106957</v>
      </c>
      <c r="AF3" s="142" t="str">
        <f>'Run Parameters'!$B$2</f>
        <v>2017-06-26 08:00</v>
      </c>
      <c r="AG3" s="14" t="str">
        <f>'Run Parameters'!B$4</f>
        <v xml:space="preserve">AUTOTEST </v>
      </c>
      <c r="AH3" s="141" t="str">
        <f t="shared" si="9"/>
        <v>Site_Contact_106957</v>
      </c>
      <c r="AI3" s="142" t="str">
        <f>'Run Parameters'!B$2</f>
        <v>2017-06-26 08:00</v>
      </c>
      <c r="AJ3" s="238" t="str">
        <f>'Run Parameters'!B$3</f>
        <v>2017-06-26 18:00</v>
      </c>
      <c r="AK3" s="14" t="s">
        <v>401</v>
      </c>
      <c r="AL3" s="141" t="str">
        <f t="shared" si="10"/>
        <v>01159106957</v>
      </c>
      <c r="AM3" s="14" t="str">
        <f t="shared" si="11"/>
        <v>0115106957</v>
      </c>
      <c r="AN3" s="16"/>
      <c r="AO3" s="16"/>
      <c r="AP3" s="14">
        <v>1</v>
      </c>
      <c r="AQ3" s="16" t="s">
        <v>49</v>
      </c>
      <c r="AR3" s="16"/>
      <c r="AS3" s="14"/>
      <c r="AT3" s="13"/>
      <c r="AU3" s="13"/>
      <c r="AV3" s="14">
        <f t="shared" si="12"/>
        <v>106957</v>
      </c>
      <c r="AW3" s="14" t="s">
        <v>754</v>
      </c>
      <c r="AX3" s="14" t="s">
        <v>428</v>
      </c>
      <c r="AY3" s="14" t="s">
        <v>429</v>
      </c>
      <c r="AZ3" s="16" t="s">
        <v>338</v>
      </c>
      <c r="BA3" s="16" t="s">
        <v>155</v>
      </c>
      <c r="BB3" s="22">
        <v>1</v>
      </c>
      <c r="BC3" s="22">
        <f t="shared" si="13"/>
        <v>106957</v>
      </c>
      <c r="BD3" s="18" t="s">
        <v>755</v>
      </c>
      <c r="BE3" s="18" t="s">
        <v>395</v>
      </c>
      <c r="BF3" s="18" t="s">
        <v>395</v>
      </c>
      <c r="BG3" s="22" t="s">
        <v>753</v>
      </c>
      <c r="BH3" s="22" t="str">
        <f t="shared" ref="BH3:BH5" si="17">BC3&amp;"_"&amp;BB3</f>
        <v>106957_1</v>
      </c>
      <c r="BI3" s="22"/>
      <c r="BJ3" s="22" t="str">
        <f t="shared" si="14"/>
        <v>10000000106957</v>
      </c>
      <c r="BK3" s="18" t="s">
        <v>51</v>
      </c>
      <c r="BL3" s="18" t="s">
        <v>54</v>
      </c>
      <c r="BM3" s="22" t="s">
        <v>756</v>
      </c>
      <c r="BN3" s="18" t="s">
        <v>51</v>
      </c>
      <c r="BO3" s="22" t="str">
        <f t="shared" si="15"/>
        <v>S05S106957</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DS_Pass-106957</v>
      </c>
      <c r="DO3" s="42"/>
      <c r="DP3" s="42"/>
      <c r="DQ3" s="42"/>
      <c r="DR3" s="43"/>
      <c r="DS3" s="43"/>
      <c r="DT3" s="42"/>
      <c r="DU3" s="42"/>
      <c r="DV3" s="42"/>
      <c r="DW3" s="43"/>
      <c r="DX3" s="42"/>
      <c r="DY3" s="42"/>
      <c r="DZ3" s="42" t="s">
        <v>415</v>
      </c>
      <c r="EA3" s="144"/>
      <c r="EB3" s="42"/>
      <c r="EC3" s="42"/>
      <c r="ED3" s="18"/>
      <c r="EE3" s="3"/>
      <c r="EF3" s="145"/>
    </row>
    <row r="4" spans="1:136">
      <c r="A4" s="234"/>
      <c r="B4" s="234"/>
      <c r="C4" s="234"/>
      <c r="D4" s="14">
        <f>'Run Parameters'!$B$1 + ROW()-1</f>
        <v>106958</v>
      </c>
      <c r="E4" s="16" t="s">
        <v>47</v>
      </c>
      <c r="F4" s="19" t="s">
        <v>806</v>
      </c>
      <c r="G4" s="14" t="str">
        <f t="shared" si="0"/>
        <v>Access Dtls-106958</v>
      </c>
      <c r="H4" s="16" t="s">
        <v>277</v>
      </c>
      <c r="I4" s="14" t="str">
        <f>("MR. Test_"&amp; AV4 &amp;"_FLTY5")</f>
        <v>MR. Test_106958_FLTY5</v>
      </c>
      <c r="J4" s="19"/>
      <c r="K4" s="20" t="s">
        <v>434</v>
      </c>
      <c r="L4" s="14" t="str">
        <f t="shared" si="1"/>
        <v>Cust. Ref-106958</v>
      </c>
      <c r="M4" s="16" t="s">
        <v>48</v>
      </c>
      <c r="N4" s="16" t="s">
        <v>434</v>
      </c>
      <c r="O4" s="14"/>
      <c r="P4" s="14" t="str">
        <f t="shared" si="2"/>
        <v>SN-106958</v>
      </c>
      <c r="Q4" s="14" t="str">
        <f t="shared" si="3"/>
        <v>SI-106958</v>
      </c>
      <c r="R4" s="14" t="str">
        <f t="shared" si="4"/>
        <v>SE-106958</v>
      </c>
      <c r="S4" s="56" t="str">
        <f t="shared" si="5"/>
        <v>Prev_RA-106958</v>
      </c>
      <c r="T4" s="56" t="str">
        <f t="shared" si="6"/>
        <v>Prev_Comms-106958</v>
      </c>
      <c r="U4" s="18" t="s">
        <v>75</v>
      </c>
      <c r="V4" s="16" t="s">
        <v>406</v>
      </c>
      <c r="W4" s="18" t="s">
        <v>75</v>
      </c>
      <c r="X4" s="16" t="s">
        <v>401</v>
      </c>
      <c r="Y4" s="14" t="str">
        <f t="shared" si="7"/>
        <v>Forward Add-106958</v>
      </c>
      <c r="Z4" s="16" t="s">
        <v>406</v>
      </c>
      <c r="AA4" s="142" t="str">
        <f>'Run Parameters'!$B$2</f>
        <v>2017-06-26 08:00</v>
      </c>
      <c r="AB4" s="238" t="str">
        <f>'Run Parameters'!B$3</f>
        <v>2017-06-26 18:00</v>
      </c>
      <c r="AC4" s="27">
        <f>('Run Parameters'!$B$2) - 7</f>
        <v>42905.333333333336</v>
      </c>
      <c r="AD4" s="18" t="s">
        <v>75</v>
      </c>
      <c r="AE4" s="19" t="str">
        <f t="shared" si="8"/>
        <v>LAST_METER-106958</v>
      </c>
      <c r="AF4" s="142" t="str">
        <f>'Run Parameters'!$B$2</f>
        <v>2017-06-26 08:00</v>
      </c>
      <c r="AG4" s="14" t="str">
        <f>'Run Parameters'!B$4</f>
        <v xml:space="preserve">AUTOTEST </v>
      </c>
      <c r="AH4" s="56" t="str">
        <f t="shared" si="9"/>
        <v>Site_Contact_106958</v>
      </c>
      <c r="AI4" s="142" t="str">
        <f>'Run Parameters'!B$2</f>
        <v>2017-06-26 08:00</v>
      </c>
      <c r="AJ4" s="238" t="str">
        <f>'Run Parameters'!B$3</f>
        <v>2017-06-26 18:00</v>
      </c>
      <c r="AK4" s="14" t="s">
        <v>401</v>
      </c>
      <c r="AL4" s="56" t="str">
        <f t="shared" si="10"/>
        <v>01159106958</v>
      </c>
      <c r="AM4" s="14" t="str">
        <f t="shared" si="11"/>
        <v>0115106958</v>
      </c>
      <c r="AN4" s="16"/>
      <c r="AO4" s="54"/>
      <c r="AP4" s="14">
        <v>1</v>
      </c>
      <c r="AQ4" s="55" t="s">
        <v>49</v>
      </c>
      <c r="AR4" s="16"/>
      <c r="AS4" s="14"/>
      <c r="AT4" s="8"/>
      <c r="AU4" s="8"/>
      <c r="AV4" s="14">
        <f t="shared" si="12"/>
        <v>106958</v>
      </c>
      <c r="AW4" s="14" t="s">
        <v>776</v>
      </c>
      <c r="AX4" s="14" t="s">
        <v>428</v>
      </c>
      <c r="AY4" s="14" t="s">
        <v>429</v>
      </c>
      <c r="AZ4" s="16" t="s">
        <v>338</v>
      </c>
      <c r="BA4" s="15" t="s">
        <v>155</v>
      </c>
      <c r="BB4" s="22">
        <v>1</v>
      </c>
      <c r="BC4" s="21">
        <f t="shared" si="13"/>
        <v>106958</v>
      </c>
      <c r="BD4" s="17" t="s">
        <v>777</v>
      </c>
      <c r="BE4" s="17" t="s">
        <v>395</v>
      </c>
      <c r="BF4" s="17" t="s">
        <v>394</v>
      </c>
      <c r="BG4" s="21" t="s">
        <v>775</v>
      </c>
      <c r="BH4" s="21" t="str">
        <f t="shared" si="17"/>
        <v>106958_1</v>
      </c>
      <c r="BI4" s="22"/>
      <c r="BJ4" s="22" t="str">
        <f t="shared" si="14"/>
        <v>10000000106958</v>
      </c>
      <c r="BK4" s="17" t="s">
        <v>51</v>
      </c>
      <c r="BL4" s="17" t="s">
        <v>54</v>
      </c>
      <c r="BM4" s="21" t="s">
        <v>778</v>
      </c>
      <c r="BN4" s="17" t="s">
        <v>51</v>
      </c>
      <c r="BO4" s="21" t="str">
        <f t="shared" si="15"/>
        <v>S05S106958</v>
      </c>
      <c r="BP4" s="17" t="s">
        <v>779</v>
      </c>
      <c r="BQ4" s="17" t="s">
        <v>779</v>
      </c>
      <c r="BR4" s="21" t="s">
        <v>162</v>
      </c>
      <c r="BS4" s="17" t="s">
        <v>780</v>
      </c>
      <c r="BT4" s="17" t="s">
        <v>160</v>
      </c>
      <c r="BU4" s="17" t="s">
        <v>398</v>
      </c>
      <c r="BV4" s="17" t="s">
        <v>51</v>
      </c>
      <c r="BW4" s="17" t="s">
        <v>155</v>
      </c>
      <c r="BX4" s="17"/>
      <c r="BY4" s="17"/>
      <c r="BZ4" s="17" t="s">
        <v>158</v>
      </c>
      <c r="CA4" s="17" t="s">
        <v>270</v>
      </c>
      <c r="CB4" s="17" t="s">
        <v>418</v>
      </c>
      <c r="CC4" s="17" t="s">
        <v>781</v>
      </c>
      <c r="CD4" s="17" t="s">
        <v>396</v>
      </c>
      <c r="CE4" s="17" t="s">
        <v>401</v>
      </c>
      <c r="CF4" s="17" t="s">
        <v>403</v>
      </c>
      <c r="CG4" s="17" t="s">
        <v>782</v>
      </c>
      <c r="CH4" s="17" t="s">
        <v>160</v>
      </c>
      <c r="CI4" s="12"/>
      <c r="CJ4" s="12"/>
      <c r="CK4" s="13"/>
      <c r="CL4" s="8"/>
      <c r="CM4" s="8"/>
      <c r="CN4" s="12"/>
      <c r="CO4" s="7"/>
      <c r="CP4" s="8"/>
      <c r="CQ4" s="7"/>
      <c r="CR4" s="12"/>
      <c r="CS4" s="8"/>
      <c r="CT4" s="28"/>
      <c r="CU4" s="12"/>
      <c r="CV4" s="8"/>
      <c r="CW4" s="8"/>
      <c r="CX4" s="8"/>
      <c r="CY4" s="8"/>
      <c r="CZ4" s="8"/>
      <c r="DA4" s="8"/>
      <c r="DB4" s="7"/>
      <c r="DC4" s="8"/>
      <c r="DD4" s="13"/>
      <c r="DE4" s="8"/>
      <c r="DF4" s="8"/>
      <c r="DG4" s="8"/>
      <c r="DH4" s="8"/>
      <c r="DI4" s="8"/>
      <c r="DJ4" s="11"/>
      <c r="DK4" s="13"/>
      <c r="DL4" s="42"/>
      <c r="DM4" s="42"/>
      <c r="DN4" s="40" t="str">
        <f t="shared" si="16"/>
        <v>DS_Pass-106958</v>
      </c>
      <c r="DO4" s="42"/>
      <c r="DP4" s="42"/>
      <c r="DQ4" s="42"/>
      <c r="DR4" s="43"/>
      <c r="DS4" s="43"/>
      <c r="DT4" s="42"/>
      <c r="DU4" s="42"/>
      <c r="DV4" s="42"/>
      <c r="DW4" s="43"/>
      <c r="DX4" s="42"/>
      <c r="DY4" s="42"/>
      <c r="DZ4" s="39" t="s">
        <v>408</v>
      </c>
      <c r="EA4" s="41"/>
      <c r="EB4" s="39"/>
      <c r="EC4" s="39"/>
      <c r="ED4" s="17"/>
      <c r="EE4" s="2"/>
      <c r="EF4" s="57"/>
    </row>
    <row r="5" spans="1:136">
      <c r="A5" s="234"/>
      <c r="B5" s="234"/>
      <c r="C5" s="234"/>
      <c r="D5" s="14">
        <f>'Run Parameters'!$B$1 + ROW()-1</f>
        <v>106959</v>
      </c>
      <c r="E5" s="16" t="s">
        <v>47</v>
      </c>
      <c r="F5" s="19" t="s">
        <v>409</v>
      </c>
      <c r="G5" s="14" t="str">
        <f t="shared" si="0"/>
        <v>Access Dtls-106959</v>
      </c>
      <c r="H5" s="16" t="s">
        <v>277</v>
      </c>
      <c r="I5" s="14" t="str">
        <f>("MR. Test_"&amp; AV5 &amp;"_EXCH2")</f>
        <v>MR. Test_106959_EXCH2</v>
      </c>
      <c r="J5" s="19"/>
      <c r="K5" s="20" t="s">
        <v>434</v>
      </c>
      <c r="L5" s="14" t="str">
        <f t="shared" si="1"/>
        <v>Cust. Ref-106959</v>
      </c>
      <c r="M5" s="16" t="s">
        <v>48</v>
      </c>
      <c r="N5" s="16" t="s">
        <v>434</v>
      </c>
      <c r="O5" s="14"/>
      <c r="P5" s="14" t="str">
        <f t="shared" si="2"/>
        <v>SN-106959</v>
      </c>
      <c r="Q5" s="14" t="str">
        <f t="shared" si="3"/>
        <v>SI-106959</v>
      </c>
      <c r="R5" s="14" t="str">
        <f t="shared" si="4"/>
        <v>SE-106959</v>
      </c>
      <c r="S5" s="56" t="str">
        <f t="shared" si="5"/>
        <v>Prev_RA-106959</v>
      </c>
      <c r="T5" s="56" t="str">
        <f t="shared" si="6"/>
        <v>Prev_Comms-106959</v>
      </c>
      <c r="U5" s="18" t="s">
        <v>75</v>
      </c>
      <c r="V5" s="16" t="s">
        <v>406</v>
      </c>
      <c r="W5" s="18" t="s">
        <v>75</v>
      </c>
      <c r="X5" s="16" t="s">
        <v>401</v>
      </c>
      <c r="Y5" s="14" t="str">
        <f t="shared" si="7"/>
        <v>Forward Add-106959</v>
      </c>
      <c r="Z5" s="16" t="s">
        <v>406</v>
      </c>
      <c r="AA5" s="142" t="str">
        <f>'Run Parameters'!$B$2</f>
        <v>2017-06-26 08:00</v>
      </c>
      <c r="AB5" s="238" t="str">
        <f>'Run Parameters'!B$3</f>
        <v>2017-06-26 18:00</v>
      </c>
      <c r="AC5" s="27">
        <f>('Run Parameters'!$B$2) - 7</f>
        <v>42905.333333333336</v>
      </c>
      <c r="AD5" s="18" t="s">
        <v>75</v>
      </c>
      <c r="AE5" s="19" t="str">
        <f t="shared" si="8"/>
        <v>LAST_METER-106959</v>
      </c>
      <c r="AF5" s="142" t="str">
        <f>'Run Parameters'!$B$2</f>
        <v>2017-06-26 08:00</v>
      </c>
      <c r="AG5" s="14" t="str">
        <f>'Run Parameters'!B$4</f>
        <v xml:space="preserve">AUTOTEST </v>
      </c>
      <c r="AH5" s="56" t="str">
        <f t="shared" si="9"/>
        <v>Site_Contact_106959</v>
      </c>
      <c r="AI5" s="142" t="str">
        <f>'Run Parameters'!B$2</f>
        <v>2017-06-26 08:00</v>
      </c>
      <c r="AJ5" s="238" t="str">
        <f>'Run Parameters'!B$3</f>
        <v>2017-06-26 18:00</v>
      </c>
      <c r="AK5" s="14" t="s">
        <v>401</v>
      </c>
      <c r="AL5" s="56" t="str">
        <f t="shared" si="10"/>
        <v>01159106959</v>
      </c>
      <c r="AM5" s="14" t="str">
        <f t="shared" si="11"/>
        <v>0115106959</v>
      </c>
      <c r="AN5" s="16"/>
      <c r="AO5" s="54"/>
      <c r="AP5" s="14">
        <v>1</v>
      </c>
      <c r="AQ5" s="55" t="s">
        <v>49</v>
      </c>
      <c r="AR5" s="16"/>
      <c r="AS5" s="14"/>
      <c r="AT5" s="8"/>
      <c r="AU5" s="8"/>
      <c r="AV5" s="14">
        <f t="shared" si="12"/>
        <v>106959</v>
      </c>
      <c r="AW5" s="14" t="s">
        <v>432</v>
      </c>
      <c r="AX5" s="14" t="s">
        <v>428</v>
      </c>
      <c r="AY5" s="14" t="s">
        <v>429</v>
      </c>
      <c r="AZ5" s="16" t="s">
        <v>338</v>
      </c>
      <c r="BA5" s="15" t="s">
        <v>155</v>
      </c>
      <c r="BB5" s="22">
        <v>1</v>
      </c>
      <c r="BC5" s="21">
        <f t="shared" si="13"/>
        <v>106959</v>
      </c>
      <c r="BD5" s="17" t="s">
        <v>416</v>
      </c>
      <c r="BE5" s="17" t="s">
        <v>395</v>
      </c>
      <c r="BF5" s="17" t="s">
        <v>395</v>
      </c>
      <c r="BG5" s="21" t="s">
        <v>409</v>
      </c>
      <c r="BH5" s="21" t="str">
        <f t="shared" si="17"/>
        <v>106959_1</v>
      </c>
      <c r="BI5" s="22"/>
      <c r="BJ5" s="22" t="str">
        <f t="shared" si="14"/>
        <v>10000000106959</v>
      </c>
      <c r="BK5" s="17" t="s">
        <v>51</v>
      </c>
      <c r="BL5" s="17" t="s">
        <v>54</v>
      </c>
      <c r="BM5" s="21" t="s">
        <v>417</v>
      </c>
      <c r="BN5" s="17" t="s">
        <v>51</v>
      </c>
      <c r="BO5" s="21" t="str">
        <f t="shared" si="15"/>
        <v>S05S106959</v>
      </c>
      <c r="BP5" s="17" t="s">
        <v>408</v>
      </c>
      <c r="BQ5" s="17" t="s">
        <v>408</v>
      </c>
      <c r="BR5" s="21" t="s">
        <v>162</v>
      </c>
      <c r="BS5" s="17" t="s">
        <v>50</v>
      </c>
      <c r="BT5" s="17" t="s">
        <v>136</v>
      </c>
      <c r="BU5" s="17" t="s">
        <v>398</v>
      </c>
      <c r="BV5" s="17" t="s">
        <v>51</v>
      </c>
      <c r="BW5" s="17" t="s">
        <v>155</v>
      </c>
      <c r="BX5" s="17"/>
      <c r="BY5" s="17"/>
      <c r="BZ5" s="17" t="s">
        <v>158</v>
      </c>
      <c r="CA5" s="17" t="s">
        <v>270</v>
      </c>
      <c r="CB5" s="17" t="s">
        <v>418</v>
      </c>
      <c r="CC5" s="17" t="s">
        <v>804</v>
      </c>
      <c r="CD5" s="17" t="s">
        <v>396</v>
      </c>
      <c r="CE5" s="17" t="s">
        <v>401</v>
      </c>
      <c r="CF5" s="17" t="s">
        <v>403</v>
      </c>
      <c r="CG5" s="17" t="s">
        <v>424</v>
      </c>
      <c r="CH5" s="17" t="s">
        <v>160</v>
      </c>
      <c r="CI5" s="12"/>
      <c r="CJ5" s="12"/>
      <c r="CK5" s="13"/>
      <c r="CL5" s="8"/>
      <c r="CM5" s="8"/>
      <c r="CN5" s="12"/>
      <c r="CO5" s="7"/>
      <c r="CP5" s="8"/>
      <c r="CQ5" s="7"/>
      <c r="CR5" s="12"/>
      <c r="CS5" s="8"/>
      <c r="CT5" s="28"/>
      <c r="CU5" s="12"/>
      <c r="CV5" s="8"/>
      <c r="CW5" s="8"/>
      <c r="CX5" s="8"/>
      <c r="CY5" s="8"/>
      <c r="CZ5" s="8"/>
      <c r="DA5" s="8"/>
      <c r="DB5" s="7"/>
      <c r="DC5" s="8"/>
      <c r="DD5" s="13"/>
      <c r="DE5" s="8"/>
      <c r="DF5" s="8"/>
      <c r="DG5" s="8"/>
      <c r="DH5" s="8"/>
      <c r="DI5" s="8"/>
      <c r="DJ5" s="11"/>
      <c r="DK5" s="13"/>
      <c r="DL5" s="42"/>
      <c r="DM5" s="42"/>
      <c r="DN5" s="40" t="str">
        <f t="shared" si="16"/>
        <v>DS_Pass-106959</v>
      </c>
      <c r="DO5" s="42"/>
      <c r="DP5" s="42"/>
      <c r="DQ5" s="42"/>
      <c r="DR5" s="43"/>
      <c r="DS5" s="43"/>
      <c r="DT5" s="42"/>
      <c r="DU5" s="42"/>
      <c r="DV5" s="42"/>
      <c r="DW5" s="43"/>
      <c r="DX5" s="42"/>
      <c r="DY5" s="42"/>
      <c r="DZ5" s="39" t="s">
        <v>408</v>
      </c>
      <c r="EA5" s="41"/>
      <c r="EB5" s="39"/>
      <c r="EC5" s="39"/>
      <c r="ED5" s="17"/>
      <c r="EE5" s="2"/>
      <c r="EF5" s="57"/>
    </row>
    <row r="6" spans="1:136">
      <c r="A6" s="234" t="s">
        <v>897</v>
      </c>
      <c r="B6" s="234" t="s">
        <v>927</v>
      </c>
      <c r="C6" s="234" t="s">
        <v>893</v>
      </c>
      <c r="D6" s="14">
        <f>'Run Parameters'!$B$1 + ROW()-1</f>
        <v>106960</v>
      </c>
      <c r="E6" s="16" t="s">
        <v>47</v>
      </c>
      <c r="F6" s="19" t="s">
        <v>789</v>
      </c>
      <c r="G6" s="14" t="str">
        <f t="shared" ref="G6:G36" si="18">("Access Dtls-" &amp; D6)</f>
        <v>Access Dtls-106960</v>
      </c>
      <c r="H6" s="16" t="s">
        <v>277</v>
      </c>
      <c r="I6" s="14" t="str">
        <f t="shared" ref="I6:I33" si="19">("MR. Test_"&amp; AV6 &amp;"_EXCH3")</f>
        <v>MR. Test_106960_EXCH3</v>
      </c>
      <c r="J6" s="19"/>
      <c r="K6" s="20" t="s">
        <v>434</v>
      </c>
      <c r="L6" s="14" t="str">
        <f t="shared" ref="L6:L36" si="20">("Cust. Ref-" &amp; D6)</f>
        <v>Cust. Ref-106960</v>
      </c>
      <c r="M6" s="16" t="s">
        <v>48</v>
      </c>
      <c r="N6" s="16" t="s">
        <v>434</v>
      </c>
      <c r="O6" s="14"/>
      <c r="P6" s="14" t="str">
        <f t="shared" ref="P6:P36" si="21">("SN-" &amp; D6)</f>
        <v>SN-106960</v>
      </c>
      <c r="Q6" s="14" t="str">
        <f t="shared" ref="Q6:Q36" si="22">("SI-" &amp; D6)</f>
        <v>SI-106960</v>
      </c>
      <c r="R6" s="14" t="str">
        <f t="shared" ref="R6:R36" si="23">("SE-" &amp; D6)</f>
        <v>SE-106960</v>
      </c>
      <c r="S6" s="56" t="str">
        <f t="shared" ref="S6:S36" si="24">("Prev_RA-" &amp; D6)</f>
        <v>Prev_RA-106960</v>
      </c>
      <c r="T6" s="56" t="str">
        <f t="shared" ref="T6:T36" si="25">("Prev_Comms-" &amp; D6)</f>
        <v>Prev_Comms-106960</v>
      </c>
      <c r="U6" s="18" t="s">
        <v>75</v>
      </c>
      <c r="V6" s="16" t="s">
        <v>406</v>
      </c>
      <c r="W6" s="18" t="s">
        <v>75</v>
      </c>
      <c r="X6" s="16" t="s">
        <v>401</v>
      </c>
      <c r="Y6" s="14" t="str">
        <f t="shared" ref="Y6:Y36" si="26">("Forward Add-" &amp; D6)</f>
        <v>Forward Add-106960</v>
      </c>
      <c r="Z6" s="16" t="s">
        <v>406</v>
      </c>
      <c r="AA6" s="142" t="str">
        <f>'Run Parameters'!$B$2</f>
        <v>2017-06-26 08:00</v>
      </c>
      <c r="AB6" s="238" t="str">
        <f>'Run Parameters'!B$3</f>
        <v>2017-06-26 18:00</v>
      </c>
      <c r="AC6" s="27">
        <f>('Run Parameters'!$B$2) - 7</f>
        <v>42905.333333333336</v>
      </c>
      <c r="AD6" s="18" t="s">
        <v>75</v>
      </c>
      <c r="AE6" s="19" t="str">
        <f t="shared" ref="AE6:AE36" si="27">("LAST_METER-" &amp; D6)</f>
        <v>LAST_METER-106960</v>
      </c>
      <c r="AF6" s="142" t="str">
        <f>'Run Parameters'!$B$2</f>
        <v>2017-06-26 08:00</v>
      </c>
      <c r="AG6" s="14" t="str">
        <f>'Run Parameters'!B$4</f>
        <v xml:space="preserve">AUTOTEST </v>
      </c>
      <c r="AH6" s="56" t="str">
        <f t="shared" ref="AH6:AH36" si="28">("Site_Contact_" &amp; D6)</f>
        <v>Site_Contact_106960</v>
      </c>
      <c r="AI6" s="142" t="str">
        <f>'Run Parameters'!B$2</f>
        <v>2017-06-26 08:00</v>
      </c>
      <c r="AJ6" s="238" t="str">
        <f>'Run Parameters'!B$3</f>
        <v>2017-06-26 18:00</v>
      </c>
      <c r="AK6" s="14" t="s">
        <v>401</v>
      </c>
      <c r="AL6" s="56" t="str">
        <f t="shared" ref="AL6:AL36" si="29">"01159" &amp; D6</f>
        <v>01159106960</v>
      </c>
      <c r="AM6" s="14" t="str">
        <f t="shared" ref="AM6:AM36" si="30">("0115" &amp; D6)</f>
        <v>0115106960</v>
      </c>
      <c r="AN6" s="16"/>
      <c r="AO6" s="54"/>
      <c r="AP6" s="14">
        <v>1</v>
      </c>
      <c r="AQ6" s="55" t="s">
        <v>49</v>
      </c>
      <c r="AR6" s="16"/>
      <c r="AS6" s="14"/>
      <c r="AT6" s="8" t="s">
        <v>405</v>
      </c>
      <c r="AU6" s="8"/>
      <c r="AV6" s="14">
        <f t="shared" ref="AV6:AV36" si="31">D6</f>
        <v>106960</v>
      </c>
      <c r="AW6" s="14" t="s">
        <v>790</v>
      </c>
      <c r="AX6" s="14" t="s">
        <v>428</v>
      </c>
      <c r="AY6" s="14" t="s">
        <v>429</v>
      </c>
      <c r="AZ6" s="16" t="s">
        <v>338</v>
      </c>
      <c r="BA6" s="15" t="s">
        <v>155</v>
      </c>
      <c r="BB6" s="22">
        <v>1</v>
      </c>
      <c r="BC6" s="21">
        <f t="shared" ref="BC6:BC36" si="32">D6</f>
        <v>106960</v>
      </c>
      <c r="BD6" s="17" t="s">
        <v>791</v>
      </c>
      <c r="BE6" s="17" t="s">
        <v>395</v>
      </c>
      <c r="BF6" s="17" t="s">
        <v>395</v>
      </c>
      <c r="BG6" s="21" t="s">
        <v>789</v>
      </c>
      <c r="BH6" s="21" t="str">
        <f t="shared" ref="BH6:BH36" si="33">BC6&amp;"_"&amp;BB6</f>
        <v>106960_1</v>
      </c>
      <c r="BI6" s="22"/>
      <c r="BJ6" s="22" t="str">
        <f t="shared" ref="BJ6:BJ36" si="34">"10000000" &amp; D6</f>
        <v>10000000106960</v>
      </c>
      <c r="BK6" s="17" t="s">
        <v>51</v>
      </c>
      <c r="BL6" s="17" t="s">
        <v>54</v>
      </c>
      <c r="BM6" s="21" t="s">
        <v>792</v>
      </c>
      <c r="BN6" s="17" t="s">
        <v>51</v>
      </c>
      <c r="BO6" s="21" t="str">
        <f t="shared" ref="BO6:BO36" si="35">"S05S" &amp; D6</f>
        <v>S05S106960</v>
      </c>
      <c r="BP6" s="17" t="s">
        <v>793</v>
      </c>
      <c r="BQ6" s="17" t="s">
        <v>793</v>
      </c>
      <c r="BR6" s="21" t="s">
        <v>162</v>
      </c>
      <c r="BS6" s="17" t="s">
        <v>50</v>
      </c>
      <c r="BT6" s="17" t="s">
        <v>47</v>
      </c>
      <c r="BU6" s="17" t="s">
        <v>398</v>
      </c>
      <c r="BV6" s="17" t="s">
        <v>51</v>
      </c>
      <c r="BW6" s="17" t="s">
        <v>155</v>
      </c>
      <c r="BX6" s="17"/>
      <c r="BY6" s="17"/>
      <c r="BZ6" s="17" t="s">
        <v>158</v>
      </c>
      <c r="CA6" s="17" t="s">
        <v>270</v>
      </c>
      <c r="CB6" s="17" t="s">
        <v>418</v>
      </c>
      <c r="CC6" s="17" t="s">
        <v>794</v>
      </c>
      <c r="CD6" s="17" t="s">
        <v>396</v>
      </c>
      <c r="CE6" s="17" t="s">
        <v>401</v>
      </c>
      <c r="CF6" s="17" t="s">
        <v>403</v>
      </c>
      <c r="CG6" s="17" t="s">
        <v>268</v>
      </c>
      <c r="CH6" s="17" t="s">
        <v>160</v>
      </c>
      <c r="CI6" s="7">
        <v>1</v>
      </c>
      <c r="CJ6" s="7" t="str">
        <f t="shared" ref="CJ6:CJ33" si="36">("GAS_ENQ_NO-" &amp; D6)</f>
        <v>GAS_ENQ_NO-106960</v>
      </c>
      <c r="CK6" s="8" t="s">
        <v>166</v>
      </c>
      <c r="CL6" s="8" t="s">
        <v>395</v>
      </c>
      <c r="CM6" s="8" t="s">
        <v>395</v>
      </c>
      <c r="CN6" s="7" t="s">
        <v>281</v>
      </c>
      <c r="CO6" s="7" t="str">
        <f t="shared" ref="CO6:CO33" si="37">("GAS_JOB_ID-" &amp; D6)</f>
        <v>GAS_JOB_ID-106960</v>
      </c>
      <c r="CP6" s="8"/>
      <c r="CQ6" s="7" t="str">
        <f t="shared" ref="CQ6:CQ33" si="38">"10000" &amp; D6</f>
        <v>10000106960</v>
      </c>
      <c r="CR6" s="7" t="s">
        <v>155</v>
      </c>
      <c r="CS6" s="8" t="s">
        <v>51</v>
      </c>
      <c r="CT6" s="28" t="str">
        <f t="shared" ref="CT6:CT33" si="39">"GMETER" &amp; D6</f>
        <v>GMETER106960</v>
      </c>
      <c r="CU6" s="7" t="s">
        <v>162</v>
      </c>
      <c r="CV6" s="8" t="s">
        <v>166</v>
      </c>
      <c r="CW6" s="8" t="s">
        <v>795</v>
      </c>
      <c r="CX6" s="8"/>
      <c r="CY6" s="8"/>
      <c r="CZ6" s="8" t="s">
        <v>399</v>
      </c>
      <c r="DA6" s="8" t="s">
        <v>400</v>
      </c>
      <c r="DB6" s="7" t="str">
        <f t="shared" ref="DB6:DB36" si="40">("GAS_INST_ID-" &amp; $D6)</f>
        <v>GAS_INST_ID-106960</v>
      </c>
      <c r="DC6" s="8" t="s">
        <v>162</v>
      </c>
      <c r="DD6" s="8"/>
      <c r="DE6" s="8" t="s">
        <v>51</v>
      </c>
      <c r="DF6" s="8" t="s">
        <v>265</v>
      </c>
      <c r="DG6" s="8"/>
      <c r="DH6" s="8" t="s">
        <v>402</v>
      </c>
      <c r="DI6" s="8" t="s">
        <v>404</v>
      </c>
      <c r="DJ6" s="11" t="s">
        <v>268</v>
      </c>
      <c r="DK6" s="8" t="s">
        <v>141</v>
      </c>
      <c r="DL6" s="42"/>
      <c r="DM6" s="42"/>
      <c r="DN6" s="40" t="str">
        <f t="shared" ref="DN6:DN36" si="41">("DS_Pass-" &amp; $D6)</f>
        <v>DS_Pass-106960</v>
      </c>
      <c r="DO6" s="42"/>
      <c r="DP6" s="42"/>
      <c r="DQ6" s="42"/>
      <c r="DR6" s="43"/>
      <c r="DS6" s="43"/>
      <c r="DT6" s="42"/>
      <c r="DU6" s="42"/>
      <c r="DV6" s="42"/>
      <c r="DW6" s="43"/>
      <c r="DX6" s="42"/>
      <c r="DY6" s="42"/>
      <c r="DZ6" s="39" t="s">
        <v>793</v>
      </c>
      <c r="EA6" s="41"/>
      <c r="EB6" s="39"/>
      <c r="EC6" s="39"/>
      <c r="ED6" s="17"/>
      <c r="EE6" s="2"/>
      <c r="EF6" s="57"/>
    </row>
    <row r="7" spans="1:136">
      <c r="A7" s="234" t="s">
        <v>898</v>
      </c>
      <c r="B7" s="234" t="s">
        <v>896</v>
      </c>
      <c r="C7" s="234" t="s">
        <v>893</v>
      </c>
      <c r="D7" s="14">
        <f>'Run Parameters'!$B$1 + ROW()-1</f>
        <v>106961</v>
      </c>
      <c r="E7" s="16" t="s">
        <v>47</v>
      </c>
      <c r="F7" s="19" t="s">
        <v>789</v>
      </c>
      <c r="G7" s="14" t="str">
        <f t="shared" si="18"/>
        <v>Access Dtls-106961</v>
      </c>
      <c r="H7" s="16" t="s">
        <v>277</v>
      </c>
      <c r="I7" s="14" t="str">
        <f t="shared" si="19"/>
        <v>MR. Test_106961_EXCH3</v>
      </c>
      <c r="J7" s="19"/>
      <c r="K7" s="20" t="s">
        <v>434</v>
      </c>
      <c r="L7" s="14" t="str">
        <f t="shared" si="20"/>
        <v>Cust. Ref-106961</v>
      </c>
      <c r="M7" s="16" t="s">
        <v>48</v>
      </c>
      <c r="N7" s="16" t="s">
        <v>434</v>
      </c>
      <c r="O7" s="14"/>
      <c r="P7" s="14" t="str">
        <f t="shared" si="21"/>
        <v>SN-106961</v>
      </c>
      <c r="Q7" s="14" t="str">
        <f t="shared" si="22"/>
        <v>SI-106961</v>
      </c>
      <c r="R7" s="14" t="str">
        <f t="shared" si="23"/>
        <v>SE-106961</v>
      </c>
      <c r="S7" s="56" t="str">
        <f t="shared" si="24"/>
        <v>Prev_RA-106961</v>
      </c>
      <c r="T7" s="56" t="str">
        <f t="shared" si="25"/>
        <v>Prev_Comms-106961</v>
      </c>
      <c r="U7" s="18" t="s">
        <v>75</v>
      </c>
      <c r="V7" s="16" t="s">
        <v>406</v>
      </c>
      <c r="W7" s="18" t="s">
        <v>75</v>
      </c>
      <c r="X7" s="16" t="s">
        <v>401</v>
      </c>
      <c r="Y7" s="14" t="str">
        <f t="shared" si="26"/>
        <v>Forward Add-106961</v>
      </c>
      <c r="Z7" s="16" t="s">
        <v>406</v>
      </c>
      <c r="AA7" s="142" t="str">
        <f>'Run Parameters'!$B$2</f>
        <v>2017-06-26 08:00</v>
      </c>
      <c r="AB7" s="238" t="str">
        <f>'Run Parameters'!B$3</f>
        <v>2017-06-26 18:00</v>
      </c>
      <c r="AC7" s="27">
        <f>('Run Parameters'!$B$2) - 7</f>
        <v>42905.333333333336</v>
      </c>
      <c r="AD7" s="18" t="s">
        <v>75</v>
      </c>
      <c r="AE7" s="19" t="str">
        <f t="shared" si="27"/>
        <v>LAST_METER-106961</v>
      </c>
      <c r="AF7" s="142" t="str">
        <f>'Run Parameters'!$B$2</f>
        <v>2017-06-26 08:00</v>
      </c>
      <c r="AG7" s="14" t="str">
        <f>'Run Parameters'!B$4</f>
        <v xml:space="preserve">AUTOTEST </v>
      </c>
      <c r="AH7" s="56" t="str">
        <f t="shared" si="28"/>
        <v>Site_Contact_106961</v>
      </c>
      <c r="AI7" s="142" t="str">
        <f>'Run Parameters'!B$2</f>
        <v>2017-06-26 08:00</v>
      </c>
      <c r="AJ7" s="238" t="str">
        <f>'Run Parameters'!B$3</f>
        <v>2017-06-26 18:00</v>
      </c>
      <c r="AK7" s="14" t="s">
        <v>401</v>
      </c>
      <c r="AL7" s="56" t="str">
        <f t="shared" si="29"/>
        <v>01159106961</v>
      </c>
      <c r="AM7" s="14" t="str">
        <f t="shared" si="30"/>
        <v>0115106961</v>
      </c>
      <c r="AN7" s="16"/>
      <c r="AO7" s="54"/>
      <c r="AP7" s="14">
        <v>1</v>
      </c>
      <c r="AQ7" s="55" t="s">
        <v>49</v>
      </c>
      <c r="AR7" s="16"/>
      <c r="AS7" s="14"/>
      <c r="AT7" s="8" t="s">
        <v>405</v>
      </c>
      <c r="AU7" s="8"/>
      <c r="AV7" s="14">
        <f t="shared" si="31"/>
        <v>106961</v>
      </c>
      <c r="AW7" s="14" t="s">
        <v>790</v>
      </c>
      <c r="AX7" s="14" t="s">
        <v>428</v>
      </c>
      <c r="AY7" s="14" t="s">
        <v>429</v>
      </c>
      <c r="AZ7" s="16" t="s">
        <v>338</v>
      </c>
      <c r="BA7" s="15" t="s">
        <v>155</v>
      </c>
      <c r="BB7" s="22">
        <v>1</v>
      </c>
      <c r="BC7" s="21">
        <f t="shared" si="32"/>
        <v>106961</v>
      </c>
      <c r="BD7" s="17" t="s">
        <v>791</v>
      </c>
      <c r="BE7" s="17" t="s">
        <v>395</v>
      </c>
      <c r="BF7" s="17" t="s">
        <v>395</v>
      </c>
      <c r="BG7" s="21" t="s">
        <v>789</v>
      </c>
      <c r="BH7" s="21" t="str">
        <f t="shared" si="33"/>
        <v>106961_1</v>
      </c>
      <c r="BI7" s="22"/>
      <c r="BJ7" s="22" t="str">
        <f t="shared" si="34"/>
        <v>10000000106961</v>
      </c>
      <c r="BK7" s="17" t="s">
        <v>51</v>
      </c>
      <c r="BL7" s="17" t="s">
        <v>54</v>
      </c>
      <c r="BM7" s="21" t="s">
        <v>792</v>
      </c>
      <c r="BN7" s="17" t="s">
        <v>51</v>
      </c>
      <c r="BO7" s="21" t="str">
        <f t="shared" si="35"/>
        <v>S05S106961</v>
      </c>
      <c r="BP7" s="17" t="s">
        <v>793</v>
      </c>
      <c r="BQ7" s="17" t="s">
        <v>793</v>
      </c>
      <c r="BR7" s="21" t="s">
        <v>162</v>
      </c>
      <c r="BS7" s="17" t="s">
        <v>50</v>
      </c>
      <c r="BT7" s="17" t="s">
        <v>47</v>
      </c>
      <c r="BU7" s="17" t="s">
        <v>398</v>
      </c>
      <c r="BV7" s="17" t="s">
        <v>51</v>
      </c>
      <c r="BW7" s="17" t="s">
        <v>155</v>
      </c>
      <c r="BX7" s="17"/>
      <c r="BY7" s="17"/>
      <c r="BZ7" s="17" t="s">
        <v>158</v>
      </c>
      <c r="CA7" s="17" t="s">
        <v>270</v>
      </c>
      <c r="CB7" s="17" t="s">
        <v>418</v>
      </c>
      <c r="CC7" s="17" t="s">
        <v>794</v>
      </c>
      <c r="CD7" s="17" t="s">
        <v>396</v>
      </c>
      <c r="CE7" s="17" t="s">
        <v>401</v>
      </c>
      <c r="CF7" s="17" t="s">
        <v>403</v>
      </c>
      <c r="CG7" s="17" t="s">
        <v>268</v>
      </c>
      <c r="CH7" s="17" t="s">
        <v>160</v>
      </c>
      <c r="CI7" s="7">
        <v>1</v>
      </c>
      <c r="CJ7" s="7" t="str">
        <f t="shared" si="36"/>
        <v>GAS_ENQ_NO-106961</v>
      </c>
      <c r="CK7" s="8" t="s">
        <v>166</v>
      </c>
      <c r="CL7" s="8" t="s">
        <v>395</v>
      </c>
      <c r="CM7" s="8" t="s">
        <v>395</v>
      </c>
      <c r="CN7" s="7" t="s">
        <v>281</v>
      </c>
      <c r="CO7" s="7" t="str">
        <f t="shared" si="37"/>
        <v>GAS_JOB_ID-106961</v>
      </c>
      <c r="CP7" s="8"/>
      <c r="CQ7" s="7" t="str">
        <f t="shared" si="38"/>
        <v>10000106961</v>
      </c>
      <c r="CR7" s="7" t="s">
        <v>155</v>
      </c>
      <c r="CS7" s="8" t="s">
        <v>51</v>
      </c>
      <c r="CT7" s="28" t="str">
        <f t="shared" si="39"/>
        <v>GMETER106961</v>
      </c>
      <c r="CU7" s="7" t="s">
        <v>162</v>
      </c>
      <c r="CV7" s="8" t="s">
        <v>166</v>
      </c>
      <c r="CW7" s="8" t="s">
        <v>795</v>
      </c>
      <c r="CX7" s="8"/>
      <c r="CY7" s="8"/>
      <c r="CZ7" s="8" t="s">
        <v>399</v>
      </c>
      <c r="DA7" s="8" t="s">
        <v>400</v>
      </c>
      <c r="DB7" s="7" t="str">
        <f t="shared" si="40"/>
        <v>GAS_INST_ID-106961</v>
      </c>
      <c r="DC7" s="8" t="s">
        <v>162</v>
      </c>
      <c r="DD7" s="8"/>
      <c r="DE7" s="8" t="s">
        <v>51</v>
      </c>
      <c r="DF7" s="8" t="s">
        <v>265</v>
      </c>
      <c r="DG7" s="8"/>
      <c r="DH7" s="8" t="s">
        <v>402</v>
      </c>
      <c r="DI7" s="8" t="s">
        <v>404</v>
      </c>
      <c r="DJ7" s="11" t="s">
        <v>268</v>
      </c>
      <c r="DK7" s="8" t="s">
        <v>141</v>
      </c>
      <c r="DL7" s="42"/>
      <c r="DM7" s="42"/>
      <c r="DN7" s="40" t="str">
        <f t="shared" si="41"/>
        <v>DS_Pass-106961</v>
      </c>
      <c r="DO7" s="42"/>
      <c r="DP7" s="42"/>
      <c r="DQ7" s="42"/>
      <c r="DR7" s="43"/>
      <c r="DS7" s="43"/>
      <c r="DT7" s="42"/>
      <c r="DU7" s="42"/>
      <c r="DV7" s="42"/>
      <c r="DW7" s="43"/>
      <c r="DX7" s="42"/>
      <c r="DY7" s="42"/>
      <c r="DZ7" s="39" t="s">
        <v>793</v>
      </c>
      <c r="EA7" s="41"/>
      <c r="EB7" s="39"/>
      <c r="EC7" s="39"/>
      <c r="ED7" s="17"/>
      <c r="EE7" s="2"/>
      <c r="EF7" s="57"/>
    </row>
    <row r="8" spans="1:136">
      <c r="A8" s="234" t="s">
        <v>899</v>
      </c>
      <c r="B8" s="234" t="s">
        <v>927</v>
      </c>
      <c r="C8" s="234" t="s">
        <v>893</v>
      </c>
      <c r="D8" s="14">
        <f>'Run Parameters'!$B$1 + ROW()-1</f>
        <v>106962</v>
      </c>
      <c r="E8" s="16" t="s">
        <v>47</v>
      </c>
      <c r="F8" s="19" t="s">
        <v>789</v>
      </c>
      <c r="G8" s="14" t="str">
        <f t="shared" ref="G8:G9" si="42">("Access Dtls-" &amp; D8)</f>
        <v>Access Dtls-106962</v>
      </c>
      <c r="H8" s="16" t="s">
        <v>277</v>
      </c>
      <c r="I8" s="14" t="str">
        <f t="shared" si="19"/>
        <v>MR. Test_106962_EXCH3</v>
      </c>
      <c r="J8" s="19"/>
      <c r="K8" s="20" t="s">
        <v>434</v>
      </c>
      <c r="L8" s="14" t="str">
        <f t="shared" ref="L8:L9" si="43">("Cust. Ref-" &amp; D8)</f>
        <v>Cust. Ref-106962</v>
      </c>
      <c r="M8" s="16" t="s">
        <v>48</v>
      </c>
      <c r="N8" s="16" t="s">
        <v>434</v>
      </c>
      <c r="O8" s="14"/>
      <c r="P8" s="14" t="str">
        <f t="shared" ref="P8:P9" si="44">("SN-" &amp; D8)</f>
        <v>SN-106962</v>
      </c>
      <c r="Q8" s="14" t="str">
        <f t="shared" ref="Q8:Q9" si="45">("SI-" &amp; D8)</f>
        <v>SI-106962</v>
      </c>
      <c r="R8" s="14" t="str">
        <f t="shared" ref="R8:R9" si="46">("SE-" &amp; D8)</f>
        <v>SE-106962</v>
      </c>
      <c r="S8" s="56" t="str">
        <f t="shared" ref="S8:S9" si="47">("Prev_RA-" &amp; D8)</f>
        <v>Prev_RA-106962</v>
      </c>
      <c r="T8" s="56" t="str">
        <f t="shared" ref="T8:T9" si="48">("Prev_Comms-" &amp; D8)</f>
        <v>Prev_Comms-106962</v>
      </c>
      <c r="U8" s="18" t="s">
        <v>75</v>
      </c>
      <c r="V8" s="16" t="s">
        <v>406</v>
      </c>
      <c r="W8" s="18" t="s">
        <v>75</v>
      </c>
      <c r="X8" s="16" t="s">
        <v>401</v>
      </c>
      <c r="Y8" s="14" t="str">
        <f t="shared" ref="Y8:Y9" si="49">("Forward Add-" &amp; D8)</f>
        <v>Forward Add-106962</v>
      </c>
      <c r="Z8" s="16" t="s">
        <v>406</v>
      </c>
      <c r="AA8" s="142" t="str">
        <f>'Run Parameters'!$B$2</f>
        <v>2017-06-26 08:00</v>
      </c>
      <c r="AB8" s="238" t="str">
        <f>'Run Parameters'!B$3</f>
        <v>2017-06-26 18:00</v>
      </c>
      <c r="AC8" s="27">
        <f>('Run Parameters'!$B$2) - 7</f>
        <v>42905.333333333336</v>
      </c>
      <c r="AD8" s="18" t="s">
        <v>75</v>
      </c>
      <c r="AE8" s="19" t="str">
        <f t="shared" ref="AE8:AE9" si="50">("LAST_METER-" &amp; D8)</f>
        <v>LAST_METER-106962</v>
      </c>
      <c r="AF8" s="142" t="str">
        <f>'Run Parameters'!$B$2</f>
        <v>2017-06-26 08:00</v>
      </c>
      <c r="AG8" s="14" t="str">
        <f>'Run Parameters'!B$4</f>
        <v xml:space="preserve">AUTOTEST </v>
      </c>
      <c r="AH8" s="56" t="str">
        <f t="shared" ref="AH8:AH9" si="51">("Site_Contact_" &amp; D8)</f>
        <v>Site_Contact_106962</v>
      </c>
      <c r="AI8" s="142" t="str">
        <f>'Run Parameters'!B$2</f>
        <v>2017-06-26 08:00</v>
      </c>
      <c r="AJ8" s="238" t="str">
        <f>'Run Parameters'!B$3</f>
        <v>2017-06-26 18:00</v>
      </c>
      <c r="AK8" s="14" t="s">
        <v>401</v>
      </c>
      <c r="AL8" s="56" t="str">
        <f t="shared" ref="AL8:AL9" si="52">"01159" &amp; D8</f>
        <v>01159106962</v>
      </c>
      <c r="AM8" s="14" t="str">
        <f t="shared" ref="AM8:AM9" si="53">("0115" &amp; D8)</f>
        <v>0115106962</v>
      </c>
      <c r="AN8" s="16"/>
      <c r="AO8" s="54"/>
      <c r="AP8" s="14">
        <v>1</v>
      </c>
      <c r="AQ8" s="55" t="s">
        <v>49</v>
      </c>
      <c r="AR8" s="16"/>
      <c r="AS8" s="14"/>
      <c r="AT8" s="8" t="s">
        <v>405</v>
      </c>
      <c r="AU8" s="8"/>
      <c r="AV8" s="14">
        <f t="shared" ref="AV8:AV9" si="54">D8</f>
        <v>106962</v>
      </c>
      <c r="AW8" s="14" t="s">
        <v>790</v>
      </c>
      <c r="AX8" s="14" t="s">
        <v>428</v>
      </c>
      <c r="AY8" s="14" t="s">
        <v>429</v>
      </c>
      <c r="AZ8" s="16" t="s">
        <v>338</v>
      </c>
      <c r="BA8" s="15" t="s">
        <v>155</v>
      </c>
      <c r="BB8" s="22">
        <v>1</v>
      </c>
      <c r="BC8" s="21">
        <f t="shared" ref="BC8:BC9" si="55">D8</f>
        <v>106962</v>
      </c>
      <c r="BD8" s="17" t="s">
        <v>791</v>
      </c>
      <c r="BE8" s="17" t="s">
        <v>395</v>
      </c>
      <c r="BF8" s="17" t="s">
        <v>395</v>
      </c>
      <c r="BG8" s="21" t="s">
        <v>789</v>
      </c>
      <c r="BH8" s="21" t="str">
        <f t="shared" ref="BH8:BH9" si="56">BC8&amp;"_"&amp;BB8</f>
        <v>106962_1</v>
      </c>
      <c r="BI8" s="22"/>
      <c r="BJ8" s="22" t="str">
        <f t="shared" ref="BJ8:BJ9" si="57">"10000000" &amp; D8</f>
        <v>10000000106962</v>
      </c>
      <c r="BK8" s="17" t="s">
        <v>51</v>
      </c>
      <c r="BL8" s="17" t="s">
        <v>54</v>
      </c>
      <c r="BM8" s="21" t="s">
        <v>792</v>
      </c>
      <c r="BN8" s="17" t="s">
        <v>51</v>
      </c>
      <c r="BO8" s="21" t="str">
        <f t="shared" ref="BO8:BO9" si="58">"S05S" &amp; D8</f>
        <v>S05S106962</v>
      </c>
      <c r="BP8" s="17" t="s">
        <v>793</v>
      </c>
      <c r="BQ8" s="17" t="s">
        <v>793</v>
      </c>
      <c r="BR8" s="21" t="s">
        <v>162</v>
      </c>
      <c r="BS8" s="17" t="s">
        <v>50</v>
      </c>
      <c r="BT8" s="17" t="s">
        <v>47</v>
      </c>
      <c r="BU8" s="17" t="s">
        <v>398</v>
      </c>
      <c r="BV8" s="17" t="s">
        <v>51</v>
      </c>
      <c r="BW8" s="17" t="s">
        <v>155</v>
      </c>
      <c r="BX8" s="17"/>
      <c r="BY8" s="17"/>
      <c r="BZ8" s="17" t="s">
        <v>158</v>
      </c>
      <c r="CA8" s="17" t="s">
        <v>270</v>
      </c>
      <c r="CB8" s="17" t="s">
        <v>418</v>
      </c>
      <c r="CC8" s="17" t="s">
        <v>794</v>
      </c>
      <c r="CD8" s="17" t="s">
        <v>396</v>
      </c>
      <c r="CE8" s="17" t="s">
        <v>401</v>
      </c>
      <c r="CF8" s="17" t="s">
        <v>403</v>
      </c>
      <c r="CG8" s="17" t="s">
        <v>268</v>
      </c>
      <c r="CH8" s="17" t="s">
        <v>160</v>
      </c>
      <c r="CI8" s="7">
        <v>1</v>
      </c>
      <c r="CJ8" s="7" t="str">
        <f t="shared" si="36"/>
        <v>GAS_ENQ_NO-106962</v>
      </c>
      <c r="CK8" s="8" t="s">
        <v>166</v>
      </c>
      <c r="CL8" s="8" t="s">
        <v>395</v>
      </c>
      <c r="CM8" s="8" t="s">
        <v>395</v>
      </c>
      <c r="CN8" s="7" t="s">
        <v>281</v>
      </c>
      <c r="CO8" s="7" t="str">
        <f t="shared" si="37"/>
        <v>GAS_JOB_ID-106962</v>
      </c>
      <c r="CP8" s="8"/>
      <c r="CQ8" s="7" t="str">
        <f t="shared" si="38"/>
        <v>10000106962</v>
      </c>
      <c r="CR8" s="7" t="s">
        <v>155</v>
      </c>
      <c r="CS8" s="8" t="s">
        <v>51</v>
      </c>
      <c r="CT8" s="28" t="str">
        <f t="shared" si="39"/>
        <v>GMETER106962</v>
      </c>
      <c r="CU8" s="7" t="s">
        <v>162</v>
      </c>
      <c r="CV8" s="8" t="s">
        <v>166</v>
      </c>
      <c r="CW8" s="8" t="s">
        <v>795</v>
      </c>
      <c r="CX8" s="8"/>
      <c r="CY8" s="8"/>
      <c r="CZ8" s="8" t="s">
        <v>399</v>
      </c>
      <c r="DA8" s="8" t="s">
        <v>400</v>
      </c>
      <c r="DB8" s="7" t="str">
        <f t="shared" si="40"/>
        <v>GAS_INST_ID-106962</v>
      </c>
      <c r="DC8" s="8" t="s">
        <v>162</v>
      </c>
      <c r="DD8" s="8"/>
      <c r="DE8" s="8" t="s">
        <v>51</v>
      </c>
      <c r="DF8" s="8" t="s">
        <v>265</v>
      </c>
      <c r="DG8" s="8"/>
      <c r="DH8" s="8" t="s">
        <v>402</v>
      </c>
      <c r="DI8" s="8" t="s">
        <v>404</v>
      </c>
      <c r="DJ8" s="11" t="s">
        <v>268</v>
      </c>
      <c r="DK8" s="8" t="s">
        <v>141</v>
      </c>
      <c r="DL8" s="42"/>
      <c r="DM8" s="42"/>
      <c r="DN8" s="40" t="str">
        <f t="shared" si="41"/>
        <v>DS_Pass-106962</v>
      </c>
      <c r="DO8" s="42"/>
      <c r="DP8" s="42"/>
      <c r="DQ8" s="42"/>
      <c r="DR8" s="43"/>
      <c r="DS8" s="43"/>
      <c r="DT8" s="42"/>
      <c r="DU8" s="42"/>
      <c r="DV8" s="42"/>
      <c r="DW8" s="43"/>
      <c r="DX8" s="42"/>
      <c r="DY8" s="42"/>
      <c r="DZ8" s="39" t="s">
        <v>793</v>
      </c>
      <c r="EA8" s="41"/>
      <c r="EB8" s="39"/>
      <c r="EC8" s="39"/>
      <c r="ED8" s="17"/>
      <c r="EE8" s="2"/>
      <c r="EF8" s="57"/>
    </row>
    <row r="9" spans="1:136">
      <c r="A9" s="234" t="s">
        <v>900</v>
      </c>
      <c r="B9" s="234" t="s">
        <v>896</v>
      </c>
      <c r="C9" s="234" t="s">
        <v>893</v>
      </c>
      <c r="D9" s="14">
        <f>'Run Parameters'!$B$1 + ROW()-1</f>
        <v>106963</v>
      </c>
      <c r="E9" s="16" t="s">
        <v>47</v>
      </c>
      <c r="F9" s="19" t="s">
        <v>789</v>
      </c>
      <c r="G9" s="14" t="str">
        <f t="shared" si="42"/>
        <v>Access Dtls-106963</v>
      </c>
      <c r="H9" s="16" t="s">
        <v>277</v>
      </c>
      <c r="I9" s="14" t="str">
        <f t="shared" si="19"/>
        <v>MR. Test_106963_EXCH3</v>
      </c>
      <c r="J9" s="19"/>
      <c r="K9" s="20" t="s">
        <v>434</v>
      </c>
      <c r="L9" s="14" t="str">
        <f t="shared" si="43"/>
        <v>Cust. Ref-106963</v>
      </c>
      <c r="M9" s="16" t="s">
        <v>48</v>
      </c>
      <c r="N9" s="16" t="s">
        <v>434</v>
      </c>
      <c r="O9" s="14"/>
      <c r="P9" s="14" t="str">
        <f t="shared" si="44"/>
        <v>SN-106963</v>
      </c>
      <c r="Q9" s="14" t="str">
        <f t="shared" si="45"/>
        <v>SI-106963</v>
      </c>
      <c r="R9" s="14" t="str">
        <f t="shared" si="46"/>
        <v>SE-106963</v>
      </c>
      <c r="S9" s="56" t="str">
        <f t="shared" si="47"/>
        <v>Prev_RA-106963</v>
      </c>
      <c r="T9" s="56" t="str">
        <f t="shared" si="48"/>
        <v>Prev_Comms-106963</v>
      </c>
      <c r="U9" s="18" t="s">
        <v>75</v>
      </c>
      <c r="V9" s="16" t="s">
        <v>406</v>
      </c>
      <c r="W9" s="18" t="s">
        <v>75</v>
      </c>
      <c r="X9" s="16" t="s">
        <v>401</v>
      </c>
      <c r="Y9" s="14" t="str">
        <f t="shared" si="49"/>
        <v>Forward Add-106963</v>
      </c>
      <c r="Z9" s="16" t="s">
        <v>406</v>
      </c>
      <c r="AA9" s="142" t="str">
        <f>'Run Parameters'!$B$2</f>
        <v>2017-06-26 08:00</v>
      </c>
      <c r="AB9" s="238" t="str">
        <f>'Run Parameters'!B$3</f>
        <v>2017-06-26 18:00</v>
      </c>
      <c r="AC9" s="27">
        <f>('Run Parameters'!$B$2) - 7</f>
        <v>42905.333333333336</v>
      </c>
      <c r="AD9" s="18" t="s">
        <v>75</v>
      </c>
      <c r="AE9" s="19" t="str">
        <f t="shared" si="50"/>
        <v>LAST_METER-106963</v>
      </c>
      <c r="AF9" s="142" t="str">
        <f>'Run Parameters'!$B$2</f>
        <v>2017-06-26 08:00</v>
      </c>
      <c r="AG9" s="14" t="str">
        <f>'Run Parameters'!B$4</f>
        <v xml:space="preserve">AUTOTEST </v>
      </c>
      <c r="AH9" s="56" t="str">
        <f t="shared" si="51"/>
        <v>Site_Contact_106963</v>
      </c>
      <c r="AI9" s="142" t="str">
        <f>'Run Parameters'!B$2</f>
        <v>2017-06-26 08:00</v>
      </c>
      <c r="AJ9" s="238" t="str">
        <f>'Run Parameters'!B$3</f>
        <v>2017-06-26 18:00</v>
      </c>
      <c r="AK9" s="14" t="s">
        <v>401</v>
      </c>
      <c r="AL9" s="56" t="str">
        <f t="shared" si="52"/>
        <v>01159106963</v>
      </c>
      <c r="AM9" s="14" t="str">
        <f t="shared" si="53"/>
        <v>0115106963</v>
      </c>
      <c r="AN9" s="16"/>
      <c r="AO9" s="54"/>
      <c r="AP9" s="14">
        <v>1</v>
      </c>
      <c r="AQ9" s="55" t="s">
        <v>49</v>
      </c>
      <c r="AR9" s="16"/>
      <c r="AS9" s="14"/>
      <c r="AT9" s="8" t="s">
        <v>405</v>
      </c>
      <c r="AU9" s="8"/>
      <c r="AV9" s="14">
        <f t="shared" si="54"/>
        <v>106963</v>
      </c>
      <c r="AW9" s="14" t="s">
        <v>790</v>
      </c>
      <c r="AX9" s="14" t="s">
        <v>428</v>
      </c>
      <c r="AY9" s="14" t="s">
        <v>429</v>
      </c>
      <c r="AZ9" s="16" t="s">
        <v>338</v>
      </c>
      <c r="BA9" s="15" t="s">
        <v>155</v>
      </c>
      <c r="BB9" s="22">
        <v>1</v>
      </c>
      <c r="BC9" s="21">
        <f t="shared" si="55"/>
        <v>106963</v>
      </c>
      <c r="BD9" s="17" t="s">
        <v>791</v>
      </c>
      <c r="BE9" s="17" t="s">
        <v>395</v>
      </c>
      <c r="BF9" s="17" t="s">
        <v>395</v>
      </c>
      <c r="BG9" s="21" t="s">
        <v>789</v>
      </c>
      <c r="BH9" s="21" t="str">
        <f t="shared" si="56"/>
        <v>106963_1</v>
      </c>
      <c r="BI9" s="22"/>
      <c r="BJ9" s="22" t="str">
        <f t="shared" si="57"/>
        <v>10000000106963</v>
      </c>
      <c r="BK9" s="17" t="s">
        <v>51</v>
      </c>
      <c r="BL9" s="17" t="s">
        <v>54</v>
      </c>
      <c r="BM9" s="21" t="s">
        <v>792</v>
      </c>
      <c r="BN9" s="17" t="s">
        <v>51</v>
      </c>
      <c r="BO9" s="21" t="str">
        <f t="shared" si="58"/>
        <v>S05S106963</v>
      </c>
      <c r="BP9" s="17" t="s">
        <v>793</v>
      </c>
      <c r="BQ9" s="17" t="s">
        <v>793</v>
      </c>
      <c r="BR9" s="21" t="s">
        <v>162</v>
      </c>
      <c r="BS9" s="17" t="s">
        <v>50</v>
      </c>
      <c r="BT9" s="17" t="s">
        <v>47</v>
      </c>
      <c r="BU9" s="17" t="s">
        <v>398</v>
      </c>
      <c r="BV9" s="17" t="s">
        <v>51</v>
      </c>
      <c r="BW9" s="17" t="s">
        <v>155</v>
      </c>
      <c r="BX9" s="17"/>
      <c r="BY9" s="17"/>
      <c r="BZ9" s="17" t="s">
        <v>158</v>
      </c>
      <c r="CA9" s="17" t="s">
        <v>270</v>
      </c>
      <c r="CB9" s="17" t="s">
        <v>418</v>
      </c>
      <c r="CC9" s="17" t="s">
        <v>794</v>
      </c>
      <c r="CD9" s="17" t="s">
        <v>396</v>
      </c>
      <c r="CE9" s="17" t="s">
        <v>401</v>
      </c>
      <c r="CF9" s="17" t="s">
        <v>403</v>
      </c>
      <c r="CG9" s="17" t="s">
        <v>268</v>
      </c>
      <c r="CH9" s="17" t="s">
        <v>160</v>
      </c>
      <c r="CI9" s="7">
        <v>1</v>
      </c>
      <c r="CJ9" s="7" t="str">
        <f t="shared" si="36"/>
        <v>GAS_ENQ_NO-106963</v>
      </c>
      <c r="CK9" s="8" t="s">
        <v>166</v>
      </c>
      <c r="CL9" s="8" t="s">
        <v>395</v>
      </c>
      <c r="CM9" s="8" t="s">
        <v>395</v>
      </c>
      <c r="CN9" s="7" t="s">
        <v>281</v>
      </c>
      <c r="CO9" s="7" t="str">
        <f t="shared" si="37"/>
        <v>GAS_JOB_ID-106963</v>
      </c>
      <c r="CP9" s="8"/>
      <c r="CQ9" s="7" t="str">
        <f t="shared" si="38"/>
        <v>10000106963</v>
      </c>
      <c r="CR9" s="7" t="s">
        <v>155</v>
      </c>
      <c r="CS9" s="8" t="s">
        <v>51</v>
      </c>
      <c r="CT9" s="28" t="str">
        <f t="shared" si="39"/>
        <v>GMETER106963</v>
      </c>
      <c r="CU9" s="7" t="s">
        <v>162</v>
      </c>
      <c r="CV9" s="8" t="s">
        <v>166</v>
      </c>
      <c r="CW9" s="8" t="s">
        <v>795</v>
      </c>
      <c r="CX9" s="8"/>
      <c r="CY9" s="8"/>
      <c r="CZ9" s="8" t="s">
        <v>399</v>
      </c>
      <c r="DA9" s="8" t="s">
        <v>400</v>
      </c>
      <c r="DB9" s="7" t="str">
        <f t="shared" si="40"/>
        <v>GAS_INST_ID-106963</v>
      </c>
      <c r="DC9" s="8" t="s">
        <v>162</v>
      </c>
      <c r="DD9" s="8"/>
      <c r="DE9" s="8" t="s">
        <v>51</v>
      </c>
      <c r="DF9" s="8" t="s">
        <v>265</v>
      </c>
      <c r="DG9" s="8"/>
      <c r="DH9" s="8" t="s">
        <v>402</v>
      </c>
      <c r="DI9" s="8" t="s">
        <v>404</v>
      </c>
      <c r="DJ9" s="11" t="s">
        <v>268</v>
      </c>
      <c r="DK9" s="8" t="s">
        <v>141</v>
      </c>
      <c r="DL9" s="42"/>
      <c r="DM9" s="42"/>
      <c r="DN9" s="40" t="str">
        <f t="shared" si="41"/>
        <v>DS_Pass-106963</v>
      </c>
      <c r="DO9" s="42"/>
      <c r="DP9" s="42"/>
      <c r="DQ9" s="42"/>
      <c r="DR9" s="43"/>
      <c r="DS9" s="43"/>
      <c r="DT9" s="42"/>
      <c r="DU9" s="42"/>
      <c r="DV9" s="42"/>
      <c r="DW9" s="43"/>
      <c r="DX9" s="42"/>
      <c r="DY9" s="42"/>
      <c r="DZ9" s="39" t="s">
        <v>793</v>
      </c>
      <c r="EA9" s="41"/>
      <c r="EB9" s="39"/>
      <c r="EC9" s="39"/>
      <c r="ED9" s="17"/>
      <c r="EE9" s="2"/>
      <c r="EF9" s="57"/>
    </row>
    <row r="10" spans="1:136">
      <c r="A10" s="234" t="s">
        <v>901</v>
      </c>
      <c r="B10" s="234" t="s">
        <v>927</v>
      </c>
      <c r="C10" s="234" t="s">
        <v>893</v>
      </c>
      <c r="D10" s="14">
        <f>'Run Parameters'!$B$1 + ROW()-1</f>
        <v>106964</v>
      </c>
      <c r="E10" s="16" t="s">
        <v>47</v>
      </c>
      <c r="F10" s="19" t="s">
        <v>789</v>
      </c>
      <c r="G10" s="14" t="str">
        <f t="shared" ref="G10:G11" si="59">("Access Dtls-" &amp; D10)</f>
        <v>Access Dtls-106964</v>
      </c>
      <c r="H10" s="16" t="s">
        <v>277</v>
      </c>
      <c r="I10" s="14" t="str">
        <f t="shared" si="19"/>
        <v>MR. Test_106964_EXCH3</v>
      </c>
      <c r="J10" s="19"/>
      <c r="K10" s="20" t="s">
        <v>434</v>
      </c>
      <c r="L10" s="14" t="str">
        <f t="shared" ref="L10:L11" si="60">("Cust. Ref-" &amp; D10)</f>
        <v>Cust. Ref-106964</v>
      </c>
      <c r="M10" s="16" t="s">
        <v>48</v>
      </c>
      <c r="N10" s="16" t="s">
        <v>434</v>
      </c>
      <c r="O10" s="14"/>
      <c r="P10" s="14" t="str">
        <f t="shared" ref="P10:P11" si="61">("SN-" &amp; D10)</f>
        <v>SN-106964</v>
      </c>
      <c r="Q10" s="14" t="str">
        <f t="shared" ref="Q10:Q11" si="62">("SI-" &amp; D10)</f>
        <v>SI-106964</v>
      </c>
      <c r="R10" s="14" t="str">
        <f t="shared" ref="R10:R11" si="63">("SE-" &amp; D10)</f>
        <v>SE-106964</v>
      </c>
      <c r="S10" s="56" t="str">
        <f t="shared" ref="S10:S11" si="64">("Prev_RA-" &amp; D10)</f>
        <v>Prev_RA-106964</v>
      </c>
      <c r="T10" s="56" t="str">
        <f t="shared" ref="T10:T11" si="65">("Prev_Comms-" &amp; D10)</f>
        <v>Prev_Comms-106964</v>
      </c>
      <c r="U10" s="18" t="s">
        <v>75</v>
      </c>
      <c r="V10" s="16" t="s">
        <v>406</v>
      </c>
      <c r="W10" s="18" t="s">
        <v>75</v>
      </c>
      <c r="X10" s="16" t="s">
        <v>401</v>
      </c>
      <c r="Y10" s="14" t="str">
        <f t="shared" ref="Y10:Y11" si="66">("Forward Add-" &amp; D10)</f>
        <v>Forward Add-106964</v>
      </c>
      <c r="Z10" s="16" t="s">
        <v>406</v>
      </c>
      <c r="AA10" s="142" t="str">
        <f>'Run Parameters'!$B$2</f>
        <v>2017-06-26 08:00</v>
      </c>
      <c r="AB10" s="238" t="str">
        <f>'Run Parameters'!B$3</f>
        <v>2017-06-26 18:00</v>
      </c>
      <c r="AC10" s="27">
        <f>('Run Parameters'!$B$2) - 7</f>
        <v>42905.333333333336</v>
      </c>
      <c r="AD10" s="18" t="s">
        <v>75</v>
      </c>
      <c r="AE10" s="19" t="str">
        <f t="shared" ref="AE10:AE11" si="67">("LAST_METER-" &amp; D10)</f>
        <v>LAST_METER-106964</v>
      </c>
      <c r="AF10" s="142" t="str">
        <f>'Run Parameters'!$B$2</f>
        <v>2017-06-26 08:00</v>
      </c>
      <c r="AG10" s="14" t="str">
        <f>'Run Parameters'!B$4</f>
        <v xml:space="preserve">AUTOTEST </v>
      </c>
      <c r="AH10" s="56" t="str">
        <f t="shared" ref="AH10:AH11" si="68">("Site_Contact_" &amp; D10)</f>
        <v>Site_Contact_106964</v>
      </c>
      <c r="AI10" s="142" t="str">
        <f>'Run Parameters'!B$2</f>
        <v>2017-06-26 08:00</v>
      </c>
      <c r="AJ10" s="238" t="str">
        <f>'Run Parameters'!B$3</f>
        <v>2017-06-26 18:00</v>
      </c>
      <c r="AK10" s="14" t="s">
        <v>401</v>
      </c>
      <c r="AL10" s="56" t="str">
        <f t="shared" ref="AL10:AL11" si="69">"01159" &amp; D10</f>
        <v>01159106964</v>
      </c>
      <c r="AM10" s="14" t="str">
        <f t="shared" ref="AM10:AM11" si="70">("0115" &amp; D10)</f>
        <v>0115106964</v>
      </c>
      <c r="AN10" s="16"/>
      <c r="AO10" s="54"/>
      <c r="AP10" s="14">
        <v>1</v>
      </c>
      <c r="AQ10" s="55" t="s">
        <v>49</v>
      </c>
      <c r="AR10" s="16"/>
      <c r="AS10" s="14"/>
      <c r="AT10" s="8" t="s">
        <v>405</v>
      </c>
      <c r="AU10" s="8"/>
      <c r="AV10" s="14">
        <f t="shared" ref="AV10:AV11" si="71">D10</f>
        <v>106964</v>
      </c>
      <c r="AW10" s="14" t="s">
        <v>790</v>
      </c>
      <c r="AX10" s="14" t="s">
        <v>428</v>
      </c>
      <c r="AY10" s="14" t="s">
        <v>429</v>
      </c>
      <c r="AZ10" s="16" t="s">
        <v>338</v>
      </c>
      <c r="BA10" s="15" t="s">
        <v>155</v>
      </c>
      <c r="BB10" s="22">
        <v>1</v>
      </c>
      <c r="BC10" s="21">
        <f t="shared" ref="BC10:BC11" si="72">D10</f>
        <v>106964</v>
      </c>
      <c r="BD10" s="17" t="s">
        <v>791</v>
      </c>
      <c r="BE10" s="17" t="s">
        <v>395</v>
      </c>
      <c r="BF10" s="17" t="s">
        <v>395</v>
      </c>
      <c r="BG10" s="21" t="s">
        <v>789</v>
      </c>
      <c r="BH10" s="21" t="str">
        <f t="shared" ref="BH10:BH11" si="73">BC10&amp;"_"&amp;BB10</f>
        <v>106964_1</v>
      </c>
      <c r="BI10" s="22"/>
      <c r="BJ10" s="22" t="str">
        <f t="shared" ref="BJ10:BJ11" si="74">"10000000" &amp; D10</f>
        <v>10000000106964</v>
      </c>
      <c r="BK10" s="17" t="s">
        <v>51</v>
      </c>
      <c r="BL10" s="17" t="s">
        <v>54</v>
      </c>
      <c r="BM10" s="21" t="s">
        <v>792</v>
      </c>
      <c r="BN10" s="17" t="s">
        <v>51</v>
      </c>
      <c r="BO10" s="21" t="str">
        <f t="shared" ref="BO10:BO11" si="75">"S05S" &amp; D10</f>
        <v>S05S106964</v>
      </c>
      <c r="BP10" s="17" t="s">
        <v>793</v>
      </c>
      <c r="BQ10" s="17" t="s">
        <v>793</v>
      </c>
      <c r="BR10" s="21" t="s">
        <v>162</v>
      </c>
      <c r="BS10" s="17" t="s">
        <v>50</v>
      </c>
      <c r="BT10" s="17" t="s">
        <v>47</v>
      </c>
      <c r="BU10" s="17" t="s">
        <v>398</v>
      </c>
      <c r="BV10" s="17" t="s">
        <v>51</v>
      </c>
      <c r="BW10" s="17" t="s">
        <v>155</v>
      </c>
      <c r="BX10" s="17"/>
      <c r="BY10" s="17"/>
      <c r="BZ10" s="17" t="s">
        <v>158</v>
      </c>
      <c r="CA10" s="17" t="s">
        <v>270</v>
      </c>
      <c r="CB10" s="17" t="s">
        <v>418</v>
      </c>
      <c r="CC10" s="17" t="s">
        <v>794</v>
      </c>
      <c r="CD10" s="17" t="s">
        <v>396</v>
      </c>
      <c r="CE10" s="17" t="s">
        <v>401</v>
      </c>
      <c r="CF10" s="17" t="s">
        <v>403</v>
      </c>
      <c r="CG10" s="17" t="s">
        <v>268</v>
      </c>
      <c r="CH10" s="17" t="s">
        <v>160</v>
      </c>
      <c r="CI10" s="7">
        <v>1</v>
      </c>
      <c r="CJ10" s="7" t="str">
        <f t="shared" si="36"/>
        <v>GAS_ENQ_NO-106964</v>
      </c>
      <c r="CK10" s="8" t="s">
        <v>166</v>
      </c>
      <c r="CL10" s="8" t="s">
        <v>395</v>
      </c>
      <c r="CM10" s="8" t="s">
        <v>395</v>
      </c>
      <c r="CN10" s="7" t="s">
        <v>281</v>
      </c>
      <c r="CO10" s="7" t="str">
        <f t="shared" si="37"/>
        <v>GAS_JOB_ID-106964</v>
      </c>
      <c r="CP10" s="8"/>
      <c r="CQ10" s="7" t="str">
        <f t="shared" si="38"/>
        <v>10000106964</v>
      </c>
      <c r="CR10" s="7" t="s">
        <v>155</v>
      </c>
      <c r="CS10" s="8" t="s">
        <v>51</v>
      </c>
      <c r="CT10" s="28" t="str">
        <f t="shared" si="39"/>
        <v>GMETER106964</v>
      </c>
      <c r="CU10" s="7" t="s">
        <v>162</v>
      </c>
      <c r="CV10" s="8" t="s">
        <v>166</v>
      </c>
      <c r="CW10" s="8" t="s">
        <v>795</v>
      </c>
      <c r="CX10" s="8"/>
      <c r="CY10" s="8"/>
      <c r="CZ10" s="8" t="s">
        <v>399</v>
      </c>
      <c r="DA10" s="8" t="s">
        <v>400</v>
      </c>
      <c r="DB10" s="7" t="str">
        <f t="shared" si="40"/>
        <v>GAS_INST_ID-106964</v>
      </c>
      <c r="DC10" s="8" t="s">
        <v>162</v>
      </c>
      <c r="DD10" s="8"/>
      <c r="DE10" s="8" t="s">
        <v>51</v>
      </c>
      <c r="DF10" s="8" t="s">
        <v>265</v>
      </c>
      <c r="DG10" s="8"/>
      <c r="DH10" s="8" t="s">
        <v>402</v>
      </c>
      <c r="DI10" s="8" t="s">
        <v>404</v>
      </c>
      <c r="DJ10" s="11" t="s">
        <v>268</v>
      </c>
      <c r="DK10" s="8" t="s">
        <v>141</v>
      </c>
      <c r="DL10" s="42"/>
      <c r="DM10" s="42"/>
      <c r="DN10" s="40" t="str">
        <f t="shared" si="41"/>
        <v>DS_Pass-106964</v>
      </c>
      <c r="DO10" s="42"/>
      <c r="DP10" s="42"/>
      <c r="DQ10" s="42"/>
      <c r="DR10" s="43"/>
      <c r="DS10" s="43"/>
      <c r="DT10" s="42"/>
      <c r="DU10" s="42"/>
      <c r="DV10" s="42"/>
      <c r="DW10" s="43"/>
      <c r="DX10" s="42"/>
      <c r="DY10" s="42"/>
      <c r="DZ10" s="39" t="s">
        <v>793</v>
      </c>
      <c r="EA10" s="41"/>
      <c r="EB10" s="39"/>
      <c r="EC10" s="39"/>
      <c r="ED10" s="17"/>
      <c r="EE10" s="2"/>
      <c r="EF10" s="57"/>
    </row>
    <row r="11" spans="1:136">
      <c r="A11" s="234" t="s">
        <v>902</v>
      </c>
      <c r="B11" s="234" t="s">
        <v>896</v>
      </c>
      <c r="C11" s="234" t="s">
        <v>893</v>
      </c>
      <c r="D11" s="14">
        <f>'Run Parameters'!$B$1 + ROW()-1</f>
        <v>106965</v>
      </c>
      <c r="E11" s="16" t="s">
        <v>47</v>
      </c>
      <c r="F11" s="19" t="s">
        <v>789</v>
      </c>
      <c r="G11" s="14" t="str">
        <f t="shared" si="59"/>
        <v>Access Dtls-106965</v>
      </c>
      <c r="H11" s="16" t="s">
        <v>277</v>
      </c>
      <c r="I11" s="14" t="str">
        <f t="shared" si="19"/>
        <v>MR. Test_106965_EXCH3</v>
      </c>
      <c r="J11" s="19"/>
      <c r="K11" s="20" t="s">
        <v>434</v>
      </c>
      <c r="L11" s="14" t="str">
        <f t="shared" si="60"/>
        <v>Cust. Ref-106965</v>
      </c>
      <c r="M11" s="16" t="s">
        <v>48</v>
      </c>
      <c r="N11" s="16" t="s">
        <v>434</v>
      </c>
      <c r="O11" s="14"/>
      <c r="P11" s="14" t="str">
        <f t="shared" si="61"/>
        <v>SN-106965</v>
      </c>
      <c r="Q11" s="14" t="str">
        <f t="shared" si="62"/>
        <v>SI-106965</v>
      </c>
      <c r="R11" s="14" t="str">
        <f t="shared" si="63"/>
        <v>SE-106965</v>
      </c>
      <c r="S11" s="56" t="str">
        <f t="shared" si="64"/>
        <v>Prev_RA-106965</v>
      </c>
      <c r="T11" s="56" t="str">
        <f t="shared" si="65"/>
        <v>Prev_Comms-106965</v>
      </c>
      <c r="U11" s="18" t="s">
        <v>75</v>
      </c>
      <c r="V11" s="16" t="s">
        <v>406</v>
      </c>
      <c r="W11" s="18" t="s">
        <v>75</v>
      </c>
      <c r="X11" s="16" t="s">
        <v>401</v>
      </c>
      <c r="Y11" s="14" t="str">
        <f t="shared" si="66"/>
        <v>Forward Add-106965</v>
      </c>
      <c r="Z11" s="16" t="s">
        <v>406</v>
      </c>
      <c r="AA11" s="142" t="str">
        <f>'Run Parameters'!$B$2</f>
        <v>2017-06-26 08:00</v>
      </c>
      <c r="AB11" s="238" t="str">
        <f>'Run Parameters'!B$3</f>
        <v>2017-06-26 18:00</v>
      </c>
      <c r="AC11" s="27">
        <f>('Run Parameters'!$B$2) - 7</f>
        <v>42905.333333333336</v>
      </c>
      <c r="AD11" s="18" t="s">
        <v>75</v>
      </c>
      <c r="AE11" s="19" t="str">
        <f t="shared" si="67"/>
        <v>LAST_METER-106965</v>
      </c>
      <c r="AF11" s="142" t="str">
        <f>'Run Parameters'!$B$2</f>
        <v>2017-06-26 08:00</v>
      </c>
      <c r="AG11" s="14" t="str">
        <f>'Run Parameters'!B$4</f>
        <v xml:space="preserve">AUTOTEST </v>
      </c>
      <c r="AH11" s="56" t="str">
        <f t="shared" si="68"/>
        <v>Site_Contact_106965</v>
      </c>
      <c r="AI11" s="142" t="str">
        <f>'Run Parameters'!B$2</f>
        <v>2017-06-26 08:00</v>
      </c>
      <c r="AJ11" s="238" t="str">
        <f>'Run Parameters'!B$3</f>
        <v>2017-06-26 18:00</v>
      </c>
      <c r="AK11" s="14" t="s">
        <v>401</v>
      </c>
      <c r="AL11" s="56" t="str">
        <f t="shared" si="69"/>
        <v>01159106965</v>
      </c>
      <c r="AM11" s="14" t="str">
        <f t="shared" si="70"/>
        <v>0115106965</v>
      </c>
      <c r="AN11" s="16"/>
      <c r="AO11" s="54"/>
      <c r="AP11" s="14">
        <v>1</v>
      </c>
      <c r="AQ11" s="55" t="s">
        <v>49</v>
      </c>
      <c r="AR11" s="16"/>
      <c r="AS11" s="14"/>
      <c r="AT11" s="8" t="s">
        <v>405</v>
      </c>
      <c r="AU11" s="8"/>
      <c r="AV11" s="14">
        <f t="shared" si="71"/>
        <v>106965</v>
      </c>
      <c r="AW11" s="14" t="s">
        <v>790</v>
      </c>
      <c r="AX11" s="14" t="s">
        <v>428</v>
      </c>
      <c r="AY11" s="14" t="s">
        <v>429</v>
      </c>
      <c r="AZ11" s="16" t="s">
        <v>338</v>
      </c>
      <c r="BA11" s="15" t="s">
        <v>155</v>
      </c>
      <c r="BB11" s="22">
        <v>1</v>
      </c>
      <c r="BC11" s="21">
        <f t="shared" si="72"/>
        <v>106965</v>
      </c>
      <c r="BD11" s="17" t="s">
        <v>791</v>
      </c>
      <c r="BE11" s="17" t="s">
        <v>395</v>
      </c>
      <c r="BF11" s="17" t="s">
        <v>395</v>
      </c>
      <c r="BG11" s="21" t="s">
        <v>789</v>
      </c>
      <c r="BH11" s="21" t="str">
        <f t="shared" si="73"/>
        <v>106965_1</v>
      </c>
      <c r="BI11" s="22"/>
      <c r="BJ11" s="22" t="str">
        <f t="shared" si="74"/>
        <v>10000000106965</v>
      </c>
      <c r="BK11" s="17" t="s">
        <v>51</v>
      </c>
      <c r="BL11" s="17" t="s">
        <v>54</v>
      </c>
      <c r="BM11" s="21" t="s">
        <v>792</v>
      </c>
      <c r="BN11" s="17" t="s">
        <v>51</v>
      </c>
      <c r="BO11" s="21" t="str">
        <f t="shared" si="75"/>
        <v>S05S106965</v>
      </c>
      <c r="BP11" s="17" t="s">
        <v>793</v>
      </c>
      <c r="BQ11" s="17" t="s">
        <v>793</v>
      </c>
      <c r="BR11" s="21" t="s">
        <v>162</v>
      </c>
      <c r="BS11" s="17" t="s">
        <v>50</v>
      </c>
      <c r="BT11" s="17" t="s">
        <v>47</v>
      </c>
      <c r="BU11" s="17" t="s">
        <v>398</v>
      </c>
      <c r="BV11" s="17" t="s">
        <v>51</v>
      </c>
      <c r="BW11" s="17" t="s">
        <v>155</v>
      </c>
      <c r="BX11" s="17"/>
      <c r="BY11" s="17"/>
      <c r="BZ11" s="17" t="s">
        <v>158</v>
      </c>
      <c r="CA11" s="17" t="s">
        <v>270</v>
      </c>
      <c r="CB11" s="17" t="s">
        <v>418</v>
      </c>
      <c r="CC11" s="17" t="s">
        <v>794</v>
      </c>
      <c r="CD11" s="17" t="s">
        <v>396</v>
      </c>
      <c r="CE11" s="17" t="s">
        <v>401</v>
      </c>
      <c r="CF11" s="17" t="s">
        <v>403</v>
      </c>
      <c r="CG11" s="17" t="s">
        <v>268</v>
      </c>
      <c r="CH11" s="17" t="s">
        <v>160</v>
      </c>
      <c r="CI11" s="7">
        <v>1</v>
      </c>
      <c r="CJ11" s="7" t="str">
        <f t="shared" si="36"/>
        <v>GAS_ENQ_NO-106965</v>
      </c>
      <c r="CK11" s="8" t="s">
        <v>166</v>
      </c>
      <c r="CL11" s="8" t="s">
        <v>395</v>
      </c>
      <c r="CM11" s="8" t="s">
        <v>395</v>
      </c>
      <c r="CN11" s="7" t="s">
        <v>281</v>
      </c>
      <c r="CO11" s="7" t="str">
        <f t="shared" si="37"/>
        <v>GAS_JOB_ID-106965</v>
      </c>
      <c r="CP11" s="8"/>
      <c r="CQ11" s="7" t="str">
        <f t="shared" si="38"/>
        <v>10000106965</v>
      </c>
      <c r="CR11" s="7" t="s">
        <v>155</v>
      </c>
      <c r="CS11" s="8" t="s">
        <v>51</v>
      </c>
      <c r="CT11" s="28" t="str">
        <f t="shared" si="39"/>
        <v>GMETER106965</v>
      </c>
      <c r="CU11" s="7" t="s">
        <v>162</v>
      </c>
      <c r="CV11" s="8" t="s">
        <v>166</v>
      </c>
      <c r="CW11" s="8" t="s">
        <v>795</v>
      </c>
      <c r="CX11" s="8"/>
      <c r="CY11" s="8"/>
      <c r="CZ11" s="8" t="s">
        <v>399</v>
      </c>
      <c r="DA11" s="8" t="s">
        <v>400</v>
      </c>
      <c r="DB11" s="7" t="str">
        <f t="shared" si="40"/>
        <v>GAS_INST_ID-106965</v>
      </c>
      <c r="DC11" s="8" t="s">
        <v>162</v>
      </c>
      <c r="DD11" s="8"/>
      <c r="DE11" s="8" t="s">
        <v>51</v>
      </c>
      <c r="DF11" s="8" t="s">
        <v>265</v>
      </c>
      <c r="DG11" s="8"/>
      <c r="DH11" s="8" t="s">
        <v>402</v>
      </c>
      <c r="DI11" s="8" t="s">
        <v>404</v>
      </c>
      <c r="DJ11" s="11" t="s">
        <v>268</v>
      </c>
      <c r="DK11" s="8" t="s">
        <v>141</v>
      </c>
      <c r="DL11" s="42"/>
      <c r="DM11" s="42"/>
      <c r="DN11" s="40" t="str">
        <f t="shared" si="41"/>
        <v>DS_Pass-106965</v>
      </c>
      <c r="DO11" s="42"/>
      <c r="DP11" s="42"/>
      <c r="DQ11" s="42"/>
      <c r="DR11" s="43"/>
      <c r="DS11" s="43"/>
      <c r="DT11" s="42"/>
      <c r="DU11" s="42"/>
      <c r="DV11" s="42"/>
      <c r="DW11" s="43"/>
      <c r="DX11" s="42"/>
      <c r="DY11" s="42"/>
      <c r="DZ11" s="39" t="s">
        <v>793</v>
      </c>
      <c r="EA11" s="41"/>
      <c r="EB11" s="39"/>
      <c r="EC11" s="39"/>
      <c r="ED11" s="17"/>
      <c r="EE11" s="2"/>
      <c r="EF11" s="57"/>
    </row>
    <row r="12" spans="1:136">
      <c r="A12" s="234" t="s">
        <v>903</v>
      </c>
      <c r="B12" s="234" t="s">
        <v>927</v>
      </c>
      <c r="C12" s="234" t="s">
        <v>893</v>
      </c>
      <c r="D12" s="14">
        <f>'Run Parameters'!$B$1 + ROW()-1</f>
        <v>106966</v>
      </c>
      <c r="E12" s="16" t="s">
        <v>47</v>
      </c>
      <c r="F12" s="19" t="s">
        <v>789</v>
      </c>
      <c r="G12" s="14" t="str">
        <f t="shared" ref="G12:G13" si="76">("Access Dtls-" &amp; D12)</f>
        <v>Access Dtls-106966</v>
      </c>
      <c r="H12" s="16" t="s">
        <v>277</v>
      </c>
      <c r="I12" s="14" t="str">
        <f t="shared" si="19"/>
        <v>MR. Test_106966_EXCH3</v>
      </c>
      <c r="J12" s="19"/>
      <c r="K12" s="20" t="s">
        <v>434</v>
      </c>
      <c r="L12" s="14" t="str">
        <f t="shared" ref="L12:L13" si="77">("Cust. Ref-" &amp; D12)</f>
        <v>Cust. Ref-106966</v>
      </c>
      <c r="M12" s="16" t="s">
        <v>48</v>
      </c>
      <c r="N12" s="16" t="s">
        <v>434</v>
      </c>
      <c r="O12" s="14"/>
      <c r="P12" s="14" t="str">
        <f t="shared" ref="P12:P13" si="78">("SN-" &amp; D12)</f>
        <v>SN-106966</v>
      </c>
      <c r="Q12" s="14" t="str">
        <f t="shared" ref="Q12:Q13" si="79">("SI-" &amp; D12)</f>
        <v>SI-106966</v>
      </c>
      <c r="R12" s="14" t="str">
        <f t="shared" ref="R12:R13" si="80">("SE-" &amp; D12)</f>
        <v>SE-106966</v>
      </c>
      <c r="S12" s="56" t="str">
        <f t="shared" ref="S12:S13" si="81">("Prev_RA-" &amp; D12)</f>
        <v>Prev_RA-106966</v>
      </c>
      <c r="T12" s="56" t="str">
        <f t="shared" ref="T12:T13" si="82">("Prev_Comms-" &amp; D12)</f>
        <v>Prev_Comms-106966</v>
      </c>
      <c r="U12" s="18" t="s">
        <v>75</v>
      </c>
      <c r="V12" s="16" t="s">
        <v>406</v>
      </c>
      <c r="W12" s="18" t="s">
        <v>75</v>
      </c>
      <c r="X12" s="16" t="s">
        <v>401</v>
      </c>
      <c r="Y12" s="14" t="str">
        <f t="shared" ref="Y12:Y13" si="83">("Forward Add-" &amp; D12)</f>
        <v>Forward Add-106966</v>
      </c>
      <c r="Z12" s="16" t="s">
        <v>406</v>
      </c>
      <c r="AA12" s="142" t="str">
        <f>'Run Parameters'!$B$2</f>
        <v>2017-06-26 08:00</v>
      </c>
      <c r="AB12" s="238" t="str">
        <f>'Run Parameters'!B$3</f>
        <v>2017-06-26 18:00</v>
      </c>
      <c r="AC12" s="27">
        <f>('Run Parameters'!$B$2) - 7</f>
        <v>42905.333333333336</v>
      </c>
      <c r="AD12" s="18" t="s">
        <v>75</v>
      </c>
      <c r="AE12" s="19" t="str">
        <f t="shared" ref="AE12:AE13" si="84">("LAST_METER-" &amp; D12)</f>
        <v>LAST_METER-106966</v>
      </c>
      <c r="AF12" s="142" t="str">
        <f>'Run Parameters'!$B$2</f>
        <v>2017-06-26 08:00</v>
      </c>
      <c r="AG12" s="14" t="str">
        <f>'Run Parameters'!B$4</f>
        <v xml:space="preserve">AUTOTEST </v>
      </c>
      <c r="AH12" s="56" t="str">
        <f t="shared" ref="AH12:AH13" si="85">("Site_Contact_" &amp; D12)</f>
        <v>Site_Contact_106966</v>
      </c>
      <c r="AI12" s="142" t="str">
        <f>'Run Parameters'!B$2</f>
        <v>2017-06-26 08:00</v>
      </c>
      <c r="AJ12" s="238" t="str">
        <f>'Run Parameters'!B$3</f>
        <v>2017-06-26 18:00</v>
      </c>
      <c r="AK12" s="14" t="s">
        <v>401</v>
      </c>
      <c r="AL12" s="56" t="str">
        <f t="shared" ref="AL12:AL13" si="86">"01159" &amp; D12</f>
        <v>01159106966</v>
      </c>
      <c r="AM12" s="14" t="str">
        <f t="shared" ref="AM12:AM13" si="87">("0115" &amp; D12)</f>
        <v>0115106966</v>
      </c>
      <c r="AN12" s="16"/>
      <c r="AO12" s="54"/>
      <c r="AP12" s="14">
        <v>1</v>
      </c>
      <c r="AQ12" s="55" t="s">
        <v>49</v>
      </c>
      <c r="AR12" s="16"/>
      <c r="AS12" s="14"/>
      <c r="AT12" s="8" t="s">
        <v>405</v>
      </c>
      <c r="AU12" s="8"/>
      <c r="AV12" s="14">
        <f t="shared" ref="AV12:AV13" si="88">D12</f>
        <v>106966</v>
      </c>
      <c r="AW12" s="14" t="s">
        <v>790</v>
      </c>
      <c r="AX12" s="14" t="s">
        <v>428</v>
      </c>
      <c r="AY12" s="14" t="s">
        <v>429</v>
      </c>
      <c r="AZ12" s="16" t="s">
        <v>338</v>
      </c>
      <c r="BA12" s="15" t="s">
        <v>155</v>
      </c>
      <c r="BB12" s="22">
        <v>1</v>
      </c>
      <c r="BC12" s="21">
        <f t="shared" ref="BC12:BC13" si="89">D12</f>
        <v>106966</v>
      </c>
      <c r="BD12" s="17" t="s">
        <v>791</v>
      </c>
      <c r="BE12" s="17" t="s">
        <v>395</v>
      </c>
      <c r="BF12" s="17" t="s">
        <v>395</v>
      </c>
      <c r="BG12" s="21" t="s">
        <v>789</v>
      </c>
      <c r="BH12" s="21" t="str">
        <f t="shared" ref="BH12:BH13" si="90">BC12&amp;"_"&amp;BB12</f>
        <v>106966_1</v>
      </c>
      <c r="BI12" s="22"/>
      <c r="BJ12" s="22" t="str">
        <f t="shared" ref="BJ12:BJ13" si="91">"10000000" &amp; D12</f>
        <v>10000000106966</v>
      </c>
      <c r="BK12" s="17" t="s">
        <v>51</v>
      </c>
      <c r="BL12" s="17" t="s">
        <v>54</v>
      </c>
      <c r="BM12" s="21" t="s">
        <v>792</v>
      </c>
      <c r="BN12" s="17" t="s">
        <v>51</v>
      </c>
      <c r="BO12" s="21" t="str">
        <f t="shared" ref="BO12:BO13" si="92">"S05S" &amp; D12</f>
        <v>S05S106966</v>
      </c>
      <c r="BP12" s="17" t="s">
        <v>793</v>
      </c>
      <c r="BQ12" s="17" t="s">
        <v>793</v>
      </c>
      <c r="BR12" s="21" t="s">
        <v>162</v>
      </c>
      <c r="BS12" s="17" t="s">
        <v>50</v>
      </c>
      <c r="BT12" s="17" t="s">
        <v>47</v>
      </c>
      <c r="BU12" s="17" t="s">
        <v>398</v>
      </c>
      <c r="BV12" s="17" t="s">
        <v>51</v>
      </c>
      <c r="BW12" s="17" t="s">
        <v>155</v>
      </c>
      <c r="BX12" s="17"/>
      <c r="BY12" s="17"/>
      <c r="BZ12" s="17" t="s">
        <v>158</v>
      </c>
      <c r="CA12" s="17" t="s">
        <v>270</v>
      </c>
      <c r="CB12" s="17" t="s">
        <v>418</v>
      </c>
      <c r="CC12" s="17" t="s">
        <v>794</v>
      </c>
      <c r="CD12" s="17" t="s">
        <v>396</v>
      </c>
      <c r="CE12" s="17" t="s">
        <v>401</v>
      </c>
      <c r="CF12" s="17" t="s">
        <v>403</v>
      </c>
      <c r="CG12" s="17" t="s">
        <v>268</v>
      </c>
      <c r="CH12" s="17" t="s">
        <v>160</v>
      </c>
      <c r="CI12" s="7">
        <v>1</v>
      </c>
      <c r="CJ12" s="7" t="str">
        <f t="shared" si="36"/>
        <v>GAS_ENQ_NO-106966</v>
      </c>
      <c r="CK12" s="8" t="s">
        <v>166</v>
      </c>
      <c r="CL12" s="8" t="s">
        <v>395</v>
      </c>
      <c r="CM12" s="8" t="s">
        <v>395</v>
      </c>
      <c r="CN12" s="7" t="s">
        <v>281</v>
      </c>
      <c r="CO12" s="7" t="str">
        <f t="shared" si="37"/>
        <v>GAS_JOB_ID-106966</v>
      </c>
      <c r="CP12" s="8"/>
      <c r="CQ12" s="7" t="str">
        <f t="shared" si="38"/>
        <v>10000106966</v>
      </c>
      <c r="CR12" s="7" t="s">
        <v>155</v>
      </c>
      <c r="CS12" s="8" t="s">
        <v>51</v>
      </c>
      <c r="CT12" s="28" t="str">
        <f t="shared" si="39"/>
        <v>GMETER106966</v>
      </c>
      <c r="CU12" s="7" t="s">
        <v>162</v>
      </c>
      <c r="CV12" s="8" t="s">
        <v>166</v>
      </c>
      <c r="CW12" s="8" t="s">
        <v>795</v>
      </c>
      <c r="CX12" s="8"/>
      <c r="CY12" s="8"/>
      <c r="CZ12" s="8" t="s">
        <v>399</v>
      </c>
      <c r="DA12" s="8" t="s">
        <v>400</v>
      </c>
      <c r="DB12" s="7" t="str">
        <f t="shared" si="40"/>
        <v>GAS_INST_ID-106966</v>
      </c>
      <c r="DC12" s="8" t="s">
        <v>162</v>
      </c>
      <c r="DD12" s="8"/>
      <c r="DE12" s="8" t="s">
        <v>51</v>
      </c>
      <c r="DF12" s="8" t="s">
        <v>265</v>
      </c>
      <c r="DG12" s="8"/>
      <c r="DH12" s="8" t="s">
        <v>402</v>
      </c>
      <c r="DI12" s="8" t="s">
        <v>404</v>
      </c>
      <c r="DJ12" s="11" t="s">
        <v>268</v>
      </c>
      <c r="DK12" s="8" t="s">
        <v>141</v>
      </c>
      <c r="DL12" s="42"/>
      <c r="DM12" s="42"/>
      <c r="DN12" s="40" t="str">
        <f t="shared" si="41"/>
        <v>DS_Pass-106966</v>
      </c>
      <c r="DO12" s="42"/>
      <c r="DP12" s="42"/>
      <c r="DQ12" s="42"/>
      <c r="DR12" s="43"/>
      <c r="DS12" s="43"/>
      <c r="DT12" s="42"/>
      <c r="DU12" s="42"/>
      <c r="DV12" s="42"/>
      <c r="DW12" s="43"/>
      <c r="DX12" s="42"/>
      <c r="DY12" s="42"/>
      <c r="DZ12" s="39" t="s">
        <v>793</v>
      </c>
      <c r="EA12" s="41"/>
      <c r="EB12" s="39"/>
      <c r="EC12" s="39"/>
      <c r="ED12" s="17"/>
      <c r="EE12" s="2"/>
      <c r="EF12" s="57"/>
    </row>
    <row r="13" spans="1:136">
      <c r="A13" s="234" t="s">
        <v>904</v>
      </c>
      <c r="B13" s="234" t="s">
        <v>896</v>
      </c>
      <c r="C13" s="234" t="s">
        <v>893</v>
      </c>
      <c r="D13" s="14">
        <f>'Run Parameters'!$B$1 + ROW()-1</f>
        <v>106967</v>
      </c>
      <c r="E13" s="16" t="s">
        <v>47</v>
      </c>
      <c r="F13" s="19" t="s">
        <v>789</v>
      </c>
      <c r="G13" s="14" t="str">
        <f t="shared" si="76"/>
        <v>Access Dtls-106967</v>
      </c>
      <c r="H13" s="16" t="s">
        <v>277</v>
      </c>
      <c r="I13" s="14" t="str">
        <f t="shared" si="19"/>
        <v>MR. Test_106967_EXCH3</v>
      </c>
      <c r="J13" s="19"/>
      <c r="K13" s="20" t="s">
        <v>434</v>
      </c>
      <c r="L13" s="14" t="str">
        <f t="shared" si="77"/>
        <v>Cust. Ref-106967</v>
      </c>
      <c r="M13" s="16" t="s">
        <v>48</v>
      </c>
      <c r="N13" s="16" t="s">
        <v>434</v>
      </c>
      <c r="O13" s="14"/>
      <c r="P13" s="14" t="str">
        <f t="shared" si="78"/>
        <v>SN-106967</v>
      </c>
      <c r="Q13" s="14" t="str">
        <f t="shared" si="79"/>
        <v>SI-106967</v>
      </c>
      <c r="R13" s="14" t="str">
        <f t="shared" si="80"/>
        <v>SE-106967</v>
      </c>
      <c r="S13" s="56" t="str">
        <f t="shared" si="81"/>
        <v>Prev_RA-106967</v>
      </c>
      <c r="T13" s="56" t="str">
        <f t="shared" si="82"/>
        <v>Prev_Comms-106967</v>
      </c>
      <c r="U13" s="18" t="s">
        <v>75</v>
      </c>
      <c r="V13" s="16" t="s">
        <v>406</v>
      </c>
      <c r="W13" s="18" t="s">
        <v>75</v>
      </c>
      <c r="X13" s="16" t="s">
        <v>401</v>
      </c>
      <c r="Y13" s="14" t="str">
        <f t="shared" si="83"/>
        <v>Forward Add-106967</v>
      </c>
      <c r="Z13" s="16" t="s">
        <v>406</v>
      </c>
      <c r="AA13" s="142" t="str">
        <f>'Run Parameters'!$B$2</f>
        <v>2017-06-26 08:00</v>
      </c>
      <c r="AB13" s="238" t="str">
        <f>'Run Parameters'!B$3</f>
        <v>2017-06-26 18:00</v>
      </c>
      <c r="AC13" s="27">
        <f>('Run Parameters'!$B$2) - 7</f>
        <v>42905.333333333336</v>
      </c>
      <c r="AD13" s="18" t="s">
        <v>75</v>
      </c>
      <c r="AE13" s="19" t="str">
        <f t="shared" si="84"/>
        <v>LAST_METER-106967</v>
      </c>
      <c r="AF13" s="142" t="str">
        <f>'Run Parameters'!$B$2</f>
        <v>2017-06-26 08:00</v>
      </c>
      <c r="AG13" s="14" t="str">
        <f>'Run Parameters'!B$4</f>
        <v xml:space="preserve">AUTOTEST </v>
      </c>
      <c r="AH13" s="56" t="str">
        <f t="shared" si="85"/>
        <v>Site_Contact_106967</v>
      </c>
      <c r="AI13" s="142" t="str">
        <f>'Run Parameters'!B$2</f>
        <v>2017-06-26 08:00</v>
      </c>
      <c r="AJ13" s="238" t="str">
        <f>'Run Parameters'!B$3</f>
        <v>2017-06-26 18:00</v>
      </c>
      <c r="AK13" s="14" t="s">
        <v>401</v>
      </c>
      <c r="AL13" s="56" t="str">
        <f t="shared" si="86"/>
        <v>01159106967</v>
      </c>
      <c r="AM13" s="14" t="str">
        <f t="shared" si="87"/>
        <v>0115106967</v>
      </c>
      <c r="AN13" s="16"/>
      <c r="AO13" s="54"/>
      <c r="AP13" s="14">
        <v>1</v>
      </c>
      <c r="AQ13" s="55" t="s">
        <v>49</v>
      </c>
      <c r="AR13" s="16"/>
      <c r="AS13" s="14"/>
      <c r="AT13" s="8" t="s">
        <v>405</v>
      </c>
      <c r="AU13" s="8"/>
      <c r="AV13" s="14">
        <f t="shared" si="88"/>
        <v>106967</v>
      </c>
      <c r="AW13" s="14" t="s">
        <v>790</v>
      </c>
      <c r="AX13" s="14" t="s">
        <v>428</v>
      </c>
      <c r="AY13" s="14" t="s">
        <v>429</v>
      </c>
      <c r="AZ13" s="16" t="s">
        <v>338</v>
      </c>
      <c r="BA13" s="15" t="s">
        <v>155</v>
      </c>
      <c r="BB13" s="22">
        <v>1</v>
      </c>
      <c r="BC13" s="21">
        <f t="shared" si="89"/>
        <v>106967</v>
      </c>
      <c r="BD13" s="17" t="s">
        <v>791</v>
      </c>
      <c r="BE13" s="17" t="s">
        <v>395</v>
      </c>
      <c r="BF13" s="17" t="s">
        <v>395</v>
      </c>
      <c r="BG13" s="21" t="s">
        <v>789</v>
      </c>
      <c r="BH13" s="21" t="str">
        <f t="shared" si="90"/>
        <v>106967_1</v>
      </c>
      <c r="BI13" s="22"/>
      <c r="BJ13" s="22" t="str">
        <f t="shared" si="91"/>
        <v>10000000106967</v>
      </c>
      <c r="BK13" s="17" t="s">
        <v>51</v>
      </c>
      <c r="BL13" s="17" t="s">
        <v>54</v>
      </c>
      <c r="BM13" s="21" t="s">
        <v>792</v>
      </c>
      <c r="BN13" s="17" t="s">
        <v>51</v>
      </c>
      <c r="BO13" s="21" t="str">
        <f t="shared" si="92"/>
        <v>S05S106967</v>
      </c>
      <c r="BP13" s="17" t="s">
        <v>793</v>
      </c>
      <c r="BQ13" s="17" t="s">
        <v>793</v>
      </c>
      <c r="BR13" s="21" t="s">
        <v>162</v>
      </c>
      <c r="BS13" s="17" t="s">
        <v>50</v>
      </c>
      <c r="BT13" s="17" t="s">
        <v>47</v>
      </c>
      <c r="BU13" s="17" t="s">
        <v>398</v>
      </c>
      <c r="BV13" s="17" t="s">
        <v>51</v>
      </c>
      <c r="BW13" s="17" t="s">
        <v>155</v>
      </c>
      <c r="BX13" s="17"/>
      <c r="BY13" s="17"/>
      <c r="BZ13" s="17" t="s">
        <v>158</v>
      </c>
      <c r="CA13" s="17" t="s">
        <v>270</v>
      </c>
      <c r="CB13" s="17" t="s">
        <v>418</v>
      </c>
      <c r="CC13" s="17" t="s">
        <v>794</v>
      </c>
      <c r="CD13" s="17" t="s">
        <v>396</v>
      </c>
      <c r="CE13" s="17" t="s">
        <v>401</v>
      </c>
      <c r="CF13" s="17" t="s">
        <v>403</v>
      </c>
      <c r="CG13" s="17" t="s">
        <v>268</v>
      </c>
      <c r="CH13" s="17" t="s">
        <v>160</v>
      </c>
      <c r="CI13" s="7">
        <v>1</v>
      </c>
      <c r="CJ13" s="7" t="str">
        <f t="shared" si="36"/>
        <v>GAS_ENQ_NO-106967</v>
      </c>
      <c r="CK13" s="8" t="s">
        <v>166</v>
      </c>
      <c r="CL13" s="8" t="s">
        <v>395</v>
      </c>
      <c r="CM13" s="8" t="s">
        <v>395</v>
      </c>
      <c r="CN13" s="7" t="s">
        <v>281</v>
      </c>
      <c r="CO13" s="7" t="str">
        <f t="shared" si="37"/>
        <v>GAS_JOB_ID-106967</v>
      </c>
      <c r="CP13" s="8"/>
      <c r="CQ13" s="7" t="str">
        <f t="shared" si="38"/>
        <v>10000106967</v>
      </c>
      <c r="CR13" s="7" t="s">
        <v>155</v>
      </c>
      <c r="CS13" s="8" t="s">
        <v>51</v>
      </c>
      <c r="CT13" s="28" t="str">
        <f t="shared" si="39"/>
        <v>GMETER106967</v>
      </c>
      <c r="CU13" s="7" t="s">
        <v>162</v>
      </c>
      <c r="CV13" s="8" t="s">
        <v>166</v>
      </c>
      <c r="CW13" s="8" t="s">
        <v>795</v>
      </c>
      <c r="CX13" s="8"/>
      <c r="CY13" s="8"/>
      <c r="CZ13" s="8" t="s">
        <v>399</v>
      </c>
      <c r="DA13" s="8" t="s">
        <v>400</v>
      </c>
      <c r="DB13" s="7" t="str">
        <f t="shared" si="40"/>
        <v>GAS_INST_ID-106967</v>
      </c>
      <c r="DC13" s="8" t="s">
        <v>162</v>
      </c>
      <c r="DD13" s="8"/>
      <c r="DE13" s="8" t="s">
        <v>51</v>
      </c>
      <c r="DF13" s="8" t="s">
        <v>265</v>
      </c>
      <c r="DG13" s="8"/>
      <c r="DH13" s="8" t="s">
        <v>402</v>
      </c>
      <c r="DI13" s="8" t="s">
        <v>404</v>
      </c>
      <c r="DJ13" s="11" t="s">
        <v>268</v>
      </c>
      <c r="DK13" s="8" t="s">
        <v>141</v>
      </c>
      <c r="DL13" s="42"/>
      <c r="DM13" s="42"/>
      <c r="DN13" s="40" t="str">
        <f t="shared" si="41"/>
        <v>DS_Pass-106967</v>
      </c>
      <c r="DO13" s="42"/>
      <c r="DP13" s="42"/>
      <c r="DQ13" s="42"/>
      <c r="DR13" s="43"/>
      <c r="DS13" s="43"/>
      <c r="DT13" s="42"/>
      <c r="DU13" s="42"/>
      <c r="DV13" s="42"/>
      <c r="DW13" s="43"/>
      <c r="DX13" s="42"/>
      <c r="DY13" s="42"/>
      <c r="DZ13" s="39" t="s">
        <v>793</v>
      </c>
      <c r="EA13" s="41"/>
      <c r="EB13" s="39"/>
      <c r="EC13" s="39"/>
      <c r="ED13" s="17"/>
      <c r="EE13" s="2"/>
      <c r="EF13" s="57"/>
    </row>
    <row r="14" spans="1:136">
      <c r="A14" s="234" t="s">
        <v>905</v>
      </c>
      <c r="B14" s="234" t="s">
        <v>927</v>
      </c>
      <c r="C14" s="234" t="s">
        <v>893</v>
      </c>
      <c r="D14" s="14">
        <f>'Run Parameters'!$B$1 + ROW()-1</f>
        <v>106968</v>
      </c>
      <c r="E14" s="16" t="s">
        <v>47</v>
      </c>
      <c r="F14" s="19" t="s">
        <v>789</v>
      </c>
      <c r="G14" s="14" t="str">
        <f t="shared" ref="G14:G15" si="93">("Access Dtls-" &amp; D14)</f>
        <v>Access Dtls-106968</v>
      </c>
      <c r="H14" s="16" t="s">
        <v>277</v>
      </c>
      <c r="I14" s="14" t="str">
        <f t="shared" si="19"/>
        <v>MR. Test_106968_EXCH3</v>
      </c>
      <c r="J14" s="19"/>
      <c r="K14" s="20" t="s">
        <v>434</v>
      </c>
      <c r="L14" s="14" t="str">
        <f t="shared" ref="L14:L15" si="94">("Cust. Ref-" &amp; D14)</f>
        <v>Cust. Ref-106968</v>
      </c>
      <c r="M14" s="16" t="s">
        <v>48</v>
      </c>
      <c r="N14" s="16" t="s">
        <v>434</v>
      </c>
      <c r="O14" s="14"/>
      <c r="P14" s="14" t="str">
        <f t="shared" ref="P14:P15" si="95">("SN-" &amp; D14)</f>
        <v>SN-106968</v>
      </c>
      <c r="Q14" s="14" t="str">
        <f t="shared" ref="Q14:Q15" si="96">("SI-" &amp; D14)</f>
        <v>SI-106968</v>
      </c>
      <c r="R14" s="14" t="str">
        <f t="shared" ref="R14:R15" si="97">("SE-" &amp; D14)</f>
        <v>SE-106968</v>
      </c>
      <c r="S14" s="56" t="str">
        <f t="shared" ref="S14:S15" si="98">("Prev_RA-" &amp; D14)</f>
        <v>Prev_RA-106968</v>
      </c>
      <c r="T14" s="56" t="str">
        <f t="shared" ref="T14:T15" si="99">("Prev_Comms-" &amp; D14)</f>
        <v>Prev_Comms-106968</v>
      </c>
      <c r="U14" s="18" t="s">
        <v>75</v>
      </c>
      <c r="V14" s="16" t="s">
        <v>406</v>
      </c>
      <c r="W14" s="18" t="s">
        <v>75</v>
      </c>
      <c r="X14" s="16" t="s">
        <v>401</v>
      </c>
      <c r="Y14" s="14" t="str">
        <f t="shared" ref="Y14:Y15" si="100">("Forward Add-" &amp; D14)</f>
        <v>Forward Add-106968</v>
      </c>
      <c r="Z14" s="16" t="s">
        <v>406</v>
      </c>
      <c r="AA14" s="142" t="str">
        <f>'Run Parameters'!$B$2</f>
        <v>2017-06-26 08:00</v>
      </c>
      <c r="AB14" s="238" t="str">
        <f>'Run Parameters'!B$3</f>
        <v>2017-06-26 18:00</v>
      </c>
      <c r="AC14" s="27">
        <f>('Run Parameters'!$B$2) - 7</f>
        <v>42905.333333333336</v>
      </c>
      <c r="AD14" s="18" t="s">
        <v>75</v>
      </c>
      <c r="AE14" s="19" t="str">
        <f t="shared" ref="AE14:AE15" si="101">("LAST_METER-" &amp; D14)</f>
        <v>LAST_METER-106968</v>
      </c>
      <c r="AF14" s="142" t="str">
        <f>'Run Parameters'!$B$2</f>
        <v>2017-06-26 08:00</v>
      </c>
      <c r="AG14" s="14" t="str">
        <f>'Run Parameters'!B$4</f>
        <v xml:space="preserve">AUTOTEST </v>
      </c>
      <c r="AH14" s="56" t="str">
        <f t="shared" ref="AH14:AH15" si="102">("Site_Contact_" &amp; D14)</f>
        <v>Site_Contact_106968</v>
      </c>
      <c r="AI14" s="142" t="str">
        <f>'Run Parameters'!B$2</f>
        <v>2017-06-26 08:00</v>
      </c>
      <c r="AJ14" s="238" t="str">
        <f>'Run Parameters'!B$3</f>
        <v>2017-06-26 18:00</v>
      </c>
      <c r="AK14" s="14" t="s">
        <v>401</v>
      </c>
      <c r="AL14" s="56" t="str">
        <f t="shared" ref="AL14:AL15" si="103">"01159" &amp; D14</f>
        <v>01159106968</v>
      </c>
      <c r="AM14" s="14" t="str">
        <f t="shared" ref="AM14:AM15" si="104">("0115" &amp; D14)</f>
        <v>0115106968</v>
      </c>
      <c r="AN14" s="16"/>
      <c r="AO14" s="54"/>
      <c r="AP14" s="14">
        <v>1</v>
      </c>
      <c r="AQ14" s="55" t="s">
        <v>49</v>
      </c>
      <c r="AR14" s="16"/>
      <c r="AS14" s="14"/>
      <c r="AT14" s="8" t="s">
        <v>405</v>
      </c>
      <c r="AU14" s="8"/>
      <c r="AV14" s="14">
        <f t="shared" ref="AV14:AV15" si="105">D14</f>
        <v>106968</v>
      </c>
      <c r="AW14" s="14" t="s">
        <v>790</v>
      </c>
      <c r="AX14" s="14" t="s">
        <v>428</v>
      </c>
      <c r="AY14" s="14" t="s">
        <v>429</v>
      </c>
      <c r="AZ14" s="16" t="s">
        <v>338</v>
      </c>
      <c r="BA14" s="15" t="s">
        <v>155</v>
      </c>
      <c r="BB14" s="22">
        <v>1</v>
      </c>
      <c r="BC14" s="21">
        <f t="shared" ref="BC14:BC15" si="106">D14</f>
        <v>106968</v>
      </c>
      <c r="BD14" s="17" t="s">
        <v>791</v>
      </c>
      <c r="BE14" s="17" t="s">
        <v>395</v>
      </c>
      <c r="BF14" s="17" t="s">
        <v>395</v>
      </c>
      <c r="BG14" s="21" t="s">
        <v>789</v>
      </c>
      <c r="BH14" s="21" t="str">
        <f t="shared" ref="BH14:BH15" si="107">BC14&amp;"_"&amp;BB14</f>
        <v>106968_1</v>
      </c>
      <c r="BI14" s="22"/>
      <c r="BJ14" s="22" t="str">
        <f t="shared" ref="BJ14:BJ15" si="108">"10000000" &amp; D14</f>
        <v>10000000106968</v>
      </c>
      <c r="BK14" s="17" t="s">
        <v>51</v>
      </c>
      <c r="BL14" s="17" t="s">
        <v>54</v>
      </c>
      <c r="BM14" s="21" t="s">
        <v>792</v>
      </c>
      <c r="BN14" s="17" t="s">
        <v>51</v>
      </c>
      <c r="BO14" s="21" t="str">
        <f t="shared" ref="BO14:BO15" si="109">"S05S" &amp; D14</f>
        <v>S05S106968</v>
      </c>
      <c r="BP14" s="17" t="s">
        <v>793</v>
      </c>
      <c r="BQ14" s="17" t="s">
        <v>793</v>
      </c>
      <c r="BR14" s="21" t="s">
        <v>162</v>
      </c>
      <c r="BS14" s="17" t="s">
        <v>50</v>
      </c>
      <c r="BT14" s="17" t="s">
        <v>47</v>
      </c>
      <c r="BU14" s="17" t="s">
        <v>398</v>
      </c>
      <c r="BV14" s="17" t="s">
        <v>51</v>
      </c>
      <c r="BW14" s="17" t="s">
        <v>155</v>
      </c>
      <c r="BX14" s="17"/>
      <c r="BY14" s="17"/>
      <c r="BZ14" s="17" t="s">
        <v>158</v>
      </c>
      <c r="CA14" s="17" t="s">
        <v>270</v>
      </c>
      <c r="CB14" s="17" t="s">
        <v>418</v>
      </c>
      <c r="CC14" s="17" t="s">
        <v>794</v>
      </c>
      <c r="CD14" s="17" t="s">
        <v>396</v>
      </c>
      <c r="CE14" s="17" t="s">
        <v>401</v>
      </c>
      <c r="CF14" s="17" t="s">
        <v>403</v>
      </c>
      <c r="CG14" s="17" t="s">
        <v>268</v>
      </c>
      <c r="CH14" s="17" t="s">
        <v>160</v>
      </c>
      <c r="CI14" s="7">
        <v>1</v>
      </c>
      <c r="CJ14" s="7" t="str">
        <f t="shared" si="36"/>
        <v>GAS_ENQ_NO-106968</v>
      </c>
      <c r="CK14" s="8" t="s">
        <v>166</v>
      </c>
      <c r="CL14" s="8" t="s">
        <v>395</v>
      </c>
      <c r="CM14" s="8" t="s">
        <v>395</v>
      </c>
      <c r="CN14" s="7" t="s">
        <v>281</v>
      </c>
      <c r="CO14" s="7" t="str">
        <f t="shared" si="37"/>
        <v>GAS_JOB_ID-106968</v>
      </c>
      <c r="CP14" s="8"/>
      <c r="CQ14" s="7" t="str">
        <f t="shared" si="38"/>
        <v>10000106968</v>
      </c>
      <c r="CR14" s="7" t="s">
        <v>155</v>
      </c>
      <c r="CS14" s="8" t="s">
        <v>51</v>
      </c>
      <c r="CT14" s="28" t="str">
        <f t="shared" si="39"/>
        <v>GMETER106968</v>
      </c>
      <c r="CU14" s="7" t="s">
        <v>162</v>
      </c>
      <c r="CV14" s="8" t="s">
        <v>166</v>
      </c>
      <c r="CW14" s="8" t="s">
        <v>795</v>
      </c>
      <c r="CX14" s="8"/>
      <c r="CY14" s="8"/>
      <c r="CZ14" s="8" t="s">
        <v>399</v>
      </c>
      <c r="DA14" s="8" t="s">
        <v>400</v>
      </c>
      <c r="DB14" s="7" t="str">
        <f t="shared" si="40"/>
        <v>GAS_INST_ID-106968</v>
      </c>
      <c r="DC14" s="8" t="s">
        <v>162</v>
      </c>
      <c r="DD14" s="8"/>
      <c r="DE14" s="8" t="s">
        <v>51</v>
      </c>
      <c r="DF14" s="8" t="s">
        <v>265</v>
      </c>
      <c r="DG14" s="8"/>
      <c r="DH14" s="8" t="s">
        <v>402</v>
      </c>
      <c r="DI14" s="8" t="s">
        <v>404</v>
      </c>
      <c r="DJ14" s="11" t="s">
        <v>268</v>
      </c>
      <c r="DK14" s="8" t="s">
        <v>141</v>
      </c>
      <c r="DL14" s="42"/>
      <c r="DM14" s="42"/>
      <c r="DN14" s="40" t="str">
        <f t="shared" si="41"/>
        <v>DS_Pass-106968</v>
      </c>
      <c r="DO14" s="42"/>
      <c r="DP14" s="42"/>
      <c r="DQ14" s="42"/>
      <c r="DR14" s="43"/>
      <c r="DS14" s="43"/>
      <c r="DT14" s="42"/>
      <c r="DU14" s="42"/>
      <c r="DV14" s="42"/>
      <c r="DW14" s="43"/>
      <c r="DX14" s="42"/>
      <c r="DY14" s="42"/>
      <c r="DZ14" s="39" t="s">
        <v>793</v>
      </c>
      <c r="EA14" s="41"/>
      <c r="EB14" s="39"/>
      <c r="EC14" s="39"/>
      <c r="ED14" s="17"/>
      <c r="EE14" s="2"/>
      <c r="EF14" s="57"/>
    </row>
    <row r="15" spans="1:136">
      <c r="A15" s="234" t="s">
        <v>906</v>
      </c>
      <c r="B15" s="234" t="s">
        <v>896</v>
      </c>
      <c r="C15" s="234" t="s">
        <v>893</v>
      </c>
      <c r="D15" s="14">
        <f>'Run Parameters'!$B$1 + ROW()-1</f>
        <v>106969</v>
      </c>
      <c r="E15" s="16" t="s">
        <v>47</v>
      </c>
      <c r="F15" s="19" t="s">
        <v>789</v>
      </c>
      <c r="G15" s="14" t="str">
        <f t="shared" si="93"/>
        <v>Access Dtls-106969</v>
      </c>
      <c r="H15" s="16" t="s">
        <v>277</v>
      </c>
      <c r="I15" s="14" t="str">
        <f t="shared" si="19"/>
        <v>MR. Test_106969_EXCH3</v>
      </c>
      <c r="J15" s="19"/>
      <c r="K15" s="20" t="s">
        <v>434</v>
      </c>
      <c r="L15" s="14" t="str">
        <f t="shared" si="94"/>
        <v>Cust. Ref-106969</v>
      </c>
      <c r="M15" s="16" t="s">
        <v>48</v>
      </c>
      <c r="N15" s="16" t="s">
        <v>434</v>
      </c>
      <c r="O15" s="14"/>
      <c r="P15" s="14" t="str">
        <f t="shared" si="95"/>
        <v>SN-106969</v>
      </c>
      <c r="Q15" s="14" t="str">
        <f t="shared" si="96"/>
        <v>SI-106969</v>
      </c>
      <c r="R15" s="14" t="str">
        <f t="shared" si="97"/>
        <v>SE-106969</v>
      </c>
      <c r="S15" s="56" t="str">
        <f t="shared" si="98"/>
        <v>Prev_RA-106969</v>
      </c>
      <c r="T15" s="56" t="str">
        <f t="shared" si="99"/>
        <v>Prev_Comms-106969</v>
      </c>
      <c r="U15" s="18" t="s">
        <v>75</v>
      </c>
      <c r="V15" s="16" t="s">
        <v>406</v>
      </c>
      <c r="W15" s="18" t="s">
        <v>75</v>
      </c>
      <c r="X15" s="16" t="s">
        <v>401</v>
      </c>
      <c r="Y15" s="14" t="str">
        <f t="shared" si="100"/>
        <v>Forward Add-106969</v>
      </c>
      <c r="Z15" s="16" t="s">
        <v>406</v>
      </c>
      <c r="AA15" s="142" t="str">
        <f>'Run Parameters'!$B$2</f>
        <v>2017-06-26 08:00</v>
      </c>
      <c r="AB15" s="238" t="str">
        <f>'Run Parameters'!B$3</f>
        <v>2017-06-26 18:00</v>
      </c>
      <c r="AC15" s="27">
        <f>('Run Parameters'!$B$2) - 7</f>
        <v>42905.333333333336</v>
      </c>
      <c r="AD15" s="18" t="s">
        <v>75</v>
      </c>
      <c r="AE15" s="19" t="str">
        <f t="shared" si="101"/>
        <v>LAST_METER-106969</v>
      </c>
      <c r="AF15" s="142" t="str">
        <f>'Run Parameters'!$B$2</f>
        <v>2017-06-26 08:00</v>
      </c>
      <c r="AG15" s="14" t="str">
        <f>'Run Parameters'!B$4</f>
        <v xml:space="preserve">AUTOTEST </v>
      </c>
      <c r="AH15" s="56" t="str">
        <f t="shared" si="102"/>
        <v>Site_Contact_106969</v>
      </c>
      <c r="AI15" s="142" t="str">
        <f>'Run Parameters'!B$2</f>
        <v>2017-06-26 08:00</v>
      </c>
      <c r="AJ15" s="238" t="str">
        <f>'Run Parameters'!B$3</f>
        <v>2017-06-26 18:00</v>
      </c>
      <c r="AK15" s="14" t="s">
        <v>401</v>
      </c>
      <c r="AL15" s="56" t="str">
        <f t="shared" si="103"/>
        <v>01159106969</v>
      </c>
      <c r="AM15" s="14" t="str">
        <f t="shared" si="104"/>
        <v>0115106969</v>
      </c>
      <c r="AN15" s="16"/>
      <c r="AO15" s="54"/>
      <c r="AP15" s="14">
        <v>1</v>
      </c>
      <c r="AQ15" s="55" t="s">
        <v>49</v>
      </c>
      <c r="AR15" s="16"/>
      <c r="AS15" s="14"/>
      <c r="AT15" s="8" t="s">
        <v>405</v>
      </c>
      <c r="AU15" s="8"/>
      <c r="AV15" s="14">
        <f t="shared" si="105"/>
        <v>106969</v>
      </c>
      <c r="AW15" s="14" t="s">
        <v>790</v>
      </c>
      <c r="AX15" s="14" t="s">
        <v>428</v>
      </c>
      <c r="AY15" s="14" t="s">
        <v>429</v>
      </c>
      <c r="AZ15" s="16" t="s">
        <v>338</v>
      </c>
      <c r="BA15" s="15" t="s">
        <v>155</v>
      </c>
      <c r="BB15" s="22">
        <v>1</v>
      </c>
      <c r="BC15" s="21">
        <f t="shared" si="106"/>
        <v>106969</v>
      </c>
      <c r="BD15" s="17" t="s">
        <v>791</v>
      </c>
      <c r="BE15" s="17" t="s">
        <v>395</v>
      </c>
      <c r="BF15" s="17" t="s">
        <v>395</v>
      </c>
      <c r="BG15" s="21" t="s">
        <v>789</v>
      </c>
      <c r="BH15" s="21" t="str">
        <f t="shared" si="107"/>
        <v>106969_1</v>
      </c>
      <c r="BI15" s="22"/>
      <c r="BJ15" s="22" t="str">
        <f t="shared" si="108"/>
        <v>10000000106969</v>
      </c>
      <c r="BK15" s="17" t="s">
        <v>51</v>
      </c>
      <c r="BL15" s="17" t="s">
        <v>54</v>
      </c>
      <c r="BM15" s="21" t="s">
        <v>792</v>
      </c>
      <c r="BN15" s="17" t="s">
        <v>51</v>
      </c>
      <c r="BO15" s="21" t="str">
        <f t="shared" si="109"/>
        <v>S05S106969</v>
      </c>
      <c r="BP15" s="17" t="s">
        <v>793</v>
      </c>
      <c r="BQ15" s="17" t="s">
        <v>793</v>
      </c>
      <c r="BR15" s="21" t="s">
        <v>162</v>
      </c>
      <c r="BS15" s="17" t="s">
        <v>50</v>
      </c>
      <c r="BT15" s="17" t="s">
        <v>47</v>
      </c>
      <c r="BU15" s="17" t="s">
        <v>398</v>
      </c>
      <c r="BV15" s="17" t="s">
        <v>51</v>
      </c>
      <c r="BW15" s="17" t="s">
        <v>155</v>
      </c>
      <c r="BX15" s="17"/>
      <c r="BY15" s="17"/>
      <c r="BZ15" s="17" t="s">
        <v>158</v>
      </c>
      <c r="CA15" s="17" t="s">
        <v>270</v>
      </c>
      <c r="CB15" s="17" t="s">
        <v>418</v>
      </c>
      <c r="CC15" s="17" t="s">
        <v>794</v>
      </c>
      <c r="CD15" s="17" t="s">
        <v>396</v>
      </c>
      <c r="CE15" s="17" t="s">
        <v>401</v>
      </c>
      <c r="CF15" s="17" t="s">
        <v>403</v>
      </c>
      <c r="CG15" s="17" t="s">
        <v>268</v>
      </c>
      <c r="CH15" s="17" t="s">
        <v>160</v>
      </c>
      <c r="CI15" s="7">
        <v>1</v>
      </c>
      <c r="CJ15" s="7" t="str">
        <f t="shared" si="36"/>
        <v>GAS_ENQ_NO-106969</v>
      </c>
      <c r="CK15" s="8" t="s">
        <v>166</v>
      </c>
      <c r="CL15" s="8" t="s">
        <v>395</v>
      </c>
      <c r="CM15" s="8" t="s">
        <v>395</v>
      </c>
      <c r="CN15" s="7" t="s">
        <v>281</v>
      </c>
      <c r="CO15" s="7" t="str">
        <f t="shared" si="37"/>
        <v>GAS_JOB_ID-106969</v>
      </c>
      <c r="CP15" s="8"/>
      <c r="CQ15" s="7" t="str">
        <f t="shared" si="38"/>
        <v>10000106969</v>
      </c>
      <c r="CR15" s="7" t="s">
        <v>155</v>
      </c>
      <c r="CS15" s="8" t="s">
        <v>51</v>
      </c>
      <c r="CT15" s="28" t="str">
        <f t="shared" si="39"/>
        <v>GMETER106969</v>
      </c>
      <c r="CU15" s="7" t="s">
        <v>162</v>
      </c>
      <c r="CV15" s="8" t="s">
        <v>166</v>
      </c>
      <c r="CW15" s="8" t="s">
        <v>795</v>
      </c>
      <c r="CX15" s="8"/>
      <c r="CY15" s="8"/>
      <c r="CZ15" s="8" t="s">
        <v>399</v>
      </c>
      <c r="DA15" s="8" t="s">
        <v>400</v>
      </c>
      <c r="DB15" s="7" t="str">
        <f t="shared" si="40"/>
        <v>GAS_INST_ID-106969</v>
      </c>
      <c r="DC15" s="8" t="s">
        <v>162</v>
      </c>
      <c r="DD15" s="8"/>
      <c r="DE15" s="8" t="s">
        <v>51</v>
      </c>
      <c r="DF15" s="8" t="s">
        <v>265</v>
      </c>
      <c r="DG15" s="8"/>
      <c r="DH15" s="8" t="s">
        <v>402</v>
      </c>
      <c r="DI15" s="8" t="s">
        <v>404</v>
      </c>
      <c r="DJ15" s="11" t="s">
        <v>268</v>
      </c>
      <c r="DK15" s="8" t="s">
        <v>141</v>
      </c>
      <c r="DL15" s="42"/>
      <c r="DM15" s="42"/>
      <c r="DN15" s="40" t="str">
        <f t="shared" si="41"/>
        <v>DS_Pass-106969</v>
      </c>
      <c r="DO15" s="42"/>
      <c r="DP15" s="42"/>
      <c r="DQ15" s="42"/>
      <c r="DR15" s="43"/>
      <c r="DS15" s="43"/>
      <c r="DT15" s="42"/>
      <c r="DU15" s="42"/>
      <c r="DV15" s="42"/>
      <c r="DW15" s="43"/>
      <c r="DX15" s="42"/>
      <c r="DY15" s="42"/>
      <c r="DZ15" s="39" t="s">
        <v>793</v>
      </c>
      <c r="EA15" s="41"/>
      <c r="EB15" s="39"/>
      <c r="EC15" s="39"/>
      <c r="ED15" s="17"/>
      <c r="EE15" s="2"/>
      <c r="EF15" s="57"/>
    </row>
    <row r="16" spans="1:136">
      <c r="A16" s="234" t="s">
        <v>907</v>
      </c>
      <c r="B16" s="234" t="s">
        <v>927</v>
      </c>
      <c r="C16" s="234" t="s">
        <v>893</v>
      </c>
      <c r="D16" s="14">
        <f>'Run Parameters'!$B$1 + ROW()-1</f>
        <v>106970</v>
      </c>
      <c r="E16" s="16" t="s">
        <v>47</v>
      </c>
      <c r="F16" s="19" t="s">
        <v>789</v>
      </c>
      <c r="G16" s="14" t="str">
        <f t="shared" ref="G16:G17" si="110">("Access Dtls-" &amp; D16)</f>
        <v>Access Dtls-106970</v>
      </c>
      <c r="H16" s="16" t="s">
        <v>277</v>
      </c>
      <c r="I16" s="14" t="str">
        <f t="shared" si="19"/>
        <v>MR. Test_106970_EXCH3</v>
      </c>
      <c r="J16" s="19"/>
      <c r="K16" s="20" t="s">
        <v>434</v>
      </c>
      <c r="L16" s="14" t="str">
        <f t="shared" ref="L16:L17" si="111">("Cust. Ref-" &amp; D16)</f>
        <v>Cust. Ref-106970</v>
      </c>
      <c r="M16" s="16" t="s">
        <v>48</v>
      </c>
      <c r="N16" s="16" t="s">
        <v>434</v>
      </c>
      <c r="O16" s="14"/>
      <c r="P16" s="14" t="str">
        <f t="shared" ref="P16:P17" si="112">("SN-" &amp; D16)</f>
        <v>SN-106970</v>
      </c>
      <c r="Q16" s="14" t="str">
        <f t="shared" ref="Q16:Q17" si="113">("SI-" &amp; D16)</f>
        <v>SI-106970</v>
      </c>
      <c r="R16" s="14" t="str">
        <f t="shared" ref="R16:R17" si="114">("SE-" &amp; D16)</f>
        <v>SE-106970</v>
      </c>
      <c r="S16" s="56" t="str">
        <f t="shared" ref="S16:S17" si="115">("Prev_RA-" &amp; D16)</f>
        <v>Prev_RA-106970</v>
      </c>
      <c r="T16" s="56" t="str">
        <f t="shared" ref="T16:T17" si="116">("Prev_Comms-" &amp; D16)</f>
        <v>Prev_Comms-106970</v>
      </c>
      <c r="U16" s="18" t="s">
        <v>75</v>
      </c>
      <c r="V16" s="16" t="s">
        <v>406</v>
      </c>
      <c r="W16" s="18" t="s">
        <v>75</v>
      </c>
      <c r="X16" s="16" t="s">
        <v>401</v>
      </c>
      <c r="Y16" s="14" t="str">
        <f t="shared" ref="Y16:Y17" si="117">("Forward Add-" &amp; D16)</f>
        <v>Forward Add-106970</v>
      </c>
      <c r="Z16" s="16" t="s">
        <v>406</v>
      </c>
      <c r="AA16" s="142" t="str">
        <f>'Run Parameters'!$B$2</f>
        <v>2017-06-26 08:00</v>
      </c>
      <c r="AB16" s="238" t="str">
        <f>'Run Parameters'!B$3</f>
        <v>2017-06-26 18:00</v>
      </c>
      <c r="AC16" s="27">
        <f>('Run Parameters'!$B$2) - 7</f>
        <v>42905.333333333336</v>
      </c>
      <c r="AD16" s="18" t="s">
        <v>75</v>
      </c>
      <c r="AE16" s="19" t="str">
        <f t="shared" ref="AE16:AE17" si="118">("LAST_METER-" &amp; D16)</f>
        <v>LAST_METER-106970</v>
      </c>
      <c r="AF16" s="142" t="str">
        <f>'Run Parameters'!$B$2</f>
        <v>2017-06-26 08:00</v>
      </c>
      <c r="AG16" s="14" t="str">
        <f>'Run Parameters'!B$4</f>
        <v xml:space="preserve">AUTOTEST </v>
      </c>
      <c r="AH16" s="56" t="str">
        <f t="shared" ref="AH16:AH17" si="119">("Site_Contact_" &amp; D16)</f>
        <v>Site_Contact_106970</v>
      </c>
      <c r="AI16" s="142" t="str">
        <f>'Run Parameters'!B$2</f>
        <v>2017-06-26 08:00</v>
      </c>
      <c r="AJ16" s="238" t="str">
        <f>'Run Parameters'!B$3</f>
        <v>2017-06-26 18:00</v>
      </c>
      <c r="AK16" s="14" t="s">
        <v>401</v>
      </c>
      <c r="AL16" s="56" t="str">
        <f t="shared" ref="AL16:AL17" si="120">"01159" &amp; D16</f>
        <v>01159106970</v>
      </c>
      <c r="AM16" s="14" t="str">
        <f t="shared" ref="AM16:AM17" si="121">("0115" &amp; D16)</f>
        <v>0115106970</v>
      </c>
      <c r="AN16" s="16"/>
      <c r="AO16" s="54"/>
      <c r="AP16" s="14">
        <v>1</v>
      </c>
      <c r="AQ16" s="55" t="s">
        <v>49</v>
      </c>
      <c r="AR16" s="16"/>
      <c r="AS16" s="14"/>
      <c r="AT16" s="8" t="s">
        <v>405</v>
      </c>
      <c r="AU16" s="8"/>
      <c r="AV16" s="14">
        <f t="shared" ref="AV16:AV17" si="122">D16</f>
        <v>106970</v>
      </c>
      <c r="AW16" s="14" t="s">
        <v>790</v>
      </c>
      <c r="AX16" s="14" t="s">
        <v>428</v>
      </c>
      <c r="AY16" s="14" t="s">
        <v>429</v>
      </c>
      <c r="AZ16" s="16" t="s">
        <v>338</v>
      </c>
      <c r="BA16" s="15" t="s">
        <v>155</v>
      </c>
      <c r="BB16" s="22">
        <v>1</v>
      </c>
      <c r="BC16" s="21">
        <f t="shared" ref="BC16:BC17" si="123">D16</f>
        <v>106970</v>
      </c>
      <c r="BD16" s="17" t="s">
        <v>791</v>
      </c>
      <c r="BE16" s="17" t="s">
        <v>395</v>
      </c>
      <c r="BF16" s="17" t="s">
        <v>395</v>
      </c>
      <c r="BG16" s="21" t="s">
        <v>789</v>
      </c>
      <c r="BH16" s="21" t="str">
        <f t="shared" ref="BH16:BH17" si="124">BC16&amp;"_"&amp;BB16</f>
        <v>106970_1</v>
      </c>
      <c r="BI16" s="22"/>
      <c r="BJ16" s="22" t="str">
        <f t="shared" ref="BJ16:BJ17" si="125">"10000000" &amp; D16</f>
        <v>10000000106970</v>
      </c>
      <c r="BK16" s="17" t="s">
        <v>51</v>
      </c>
      <c r="BL16" s="17" t="s">
        <v>54</v>
      </c>
      <c r="BM16" s="21" t="s">
        <v>792</v>
      </c>
      <c r="BN16" s="17" t="s">
        <v>51</v>
      </c>
      <c r="BO16" s="21" t="str">
        <f t="shared" ref="BO16:BO17" si="126">"S05S" &amp; D16</f>
        <v>S05S106970</v>
      </c>
      <c r="BP16" s="17" t="s">
        <v>793</v>
      </c>
      <c r="BQ16" s="17" t="s">
        <v>793</v>
      </c>
      <c r="BR16" s="21" t="s">
        <v>162</v>
      </c>
      <c r="BS16" s="17" t="s">
        <v>50</v>
      </c>
      <c r="BT16" s="17" t="s">
        <v>47</v>
      </c>
      <c r="BU16" s="17" t="s">
        <v>398</v>
      </c>
      <c r="BV16" s="17" t="s">
        <v>51</v>
      </c>
      <c r="BW16" s="17" t="s">
        <v>155</v>
      </c>
      <c r="BX16" s="17"/>
      <c r="BY16" s="17"/>
      <c r="BZ16" s="17" t="s">
        <v>158</v>
      </c>
      <c r="CA16" s="17" t="s">
        <v>270</v>
      </c>
      <c r="CB16" s="17" t="s">
        <v>418</v>
      </c>
      <c r="CC16" s="17" t="s">
        <v>794</v>
      </c>
      <c r="CD16" s="17" t="s">
        <v>396</v>
      </c>
      <c r="CE16" s="17" t="s">
        <v>401</v>
      </c>
      <c r="CF16" s="17" t="s">
        <v>403</v>
      </c>
      <c r="CG16" s="17" t="s">
        <v>268</v>
      </c>
      <c r="CH16" s="17" t="s">
        <v>160</v>
      </c>
      <c r="CI16" s="7">
        <v>1</v>
      </c>
      <c r="CJ16" s="7" t="str">
        <f t="shared" si="36"/>
        <v>GAS_ENQ_NO-106970</v>
      </c>
      <c r="CK16" s="8" t="s">
        <v>166</v>
      </c>
      <c r="CL16" s="8" t="s">
        <v>395</v>
      </c>
      <c r="CM16" s="8" t="s">
        <v>395</v>
      </c>
      <c r="CN16" s="7" t="s">
        <v>281</v>
      </c>
      <c r="CO16" s="7" t="str">
        <f t="shared" si="37"/>
        <v>GAS_JOB_ID-106970</v>
      </c>
      <c r="CP16" s="8"/>
      <c r="CQ16" s="7" t="str">
        <f t="shared" si="38"/>
        <v>10000106970</v>
      </c>
      <c r="CR16" s="7" t="s">
        <v>155</v>
      </c>
      <c r="CS16" s="8" t="s">
        <v>51</v>
      </c>
      <c r="CT16" s="28" t="str">
        <f t="shared" si="39"/>
        <v>GMETER106970</v>
      </c>
      <c r="CU16" s="7" t="s">
        <v>162</v>
      </c>
      <c r="CV16" s="8" t="s">
        <v>166</v>
      </c>
      <c r="CW16" s="8" t="s">
        <v>795</v>
      </c>
      <c r="CX16" s="8"/>
      <c r="CY16" s="8"/>
      <c r="CZ16" s="8" t="s">
        <v>399</v>
      </c>
      <c r="DA16" s="8" t="s">
        <v>400</v>
      </c>
      <c r="DB16" s="7" t="str">
        <f t="shared" si="40"/>
        <v>GAS_INST_ID-106970</v>
      </c>
      <c r="DC16" s="8" t="s">
        <v>162</v>
      </c>
      <c r="DD16" s="8"/>
      <c r="DE16" s="8" t="s">
        <v>51</v>
      </c>
      <c r="DF16" s="8" t="s">
        <v>265</v>
      </c>
      <c r="DG16" s="8"/>
      <c r="DH16" s="8" t="s">
        <v>402</v>
      </c>
      <c r="DI16" s="8" t="s">
        <v>404</v>
      </c>
      <c r="DJ16" s="11" t="s">
        <v>268</v>
      </c>
      <c r="DK16" s="8" t="s">
        <v>141</v>
      </c>
      <c r="DL16" s="42"/>
      <c r="DM16" s="42"/>
      <c r="DN16" s="40" t="str">
        <f t="shared" si="41"/>
        <v>DS_Pass-106970</v>
      </c>
      <c r="DO16" s="42"/>
      <c r="DP16" s="42"/>
      <c r="DQ16" s="42"/>
      <c r="DR16" s="43"/>
      <c r="DS16" s="43"/>
      <c r="DT16" s="42"/>
      <c r="DU16" s="42"/>
      <c r="DV16" s="42"/>
      <c r="DW16" s="43"/>
      <c r="DX16" s="42"/>
      <c r="DY16" s="42"/>
      <c r="DZ16" s="39" t="s">
        <v>793</v>
      </c>
      <c r="EA16" s="41"/>
      <c r="EB16" s="39"/>
      <c r="EC16" s="39"/>
      <c r="ED16" s="17"/>
      <c r="EE16" s="2"/>
      <c r="EF16" s="57"/>
    </row>
    <row r="17" spans="1:136">
      <c r="A17" s="234" t="s">
        <v>908</v>
      </c>
      <c r="B17" s="234" t="s">
        <v>896</v>
      </c>
      <c r="C17" s="234" t="s">
        <v>893</v>
      </c>
      <c r="D17" s="14">
        <f>'Run Parameters'!$B$1 + ROW()-1</f>
        <v>106971</v>
      </c>
      <c r="E17" s="16" t="s">
        <v>47</v>
      </c>
      <c r="F17" s="19" t="s">
        <v>789</v>
      </c>
      <c r="G17" s="14" t="str">
        <f t="shared" si="110"/>
        <v>Access Dtls-106971</v>
      </c>
      <c r="H17" s="16" t="s">
        <v>277</v>
      </c>
      <c r="I17" s="14" t="str">
        <f t="shared" si="19"/>
        <v>MR. Test_106971_EXCH3</v>
      </c>
      <c r="J17" s="19"/>
      <c r="K17" s="20" t="s">
        <v>434</v>
      </c>
      <c r="L17" s="14" t="str">
        <f t="shared" si="111"/>
        <v>Cust. Ref-106971</v>
      </c>
      <c r="M17" s="16" t="s">
        <v>48</v>
      </c>
      <c r="N17" s="16" t="s">
        <v>434</v>
      </c>
      <c r="O17" s="14"/>
      <c r="P17" s="14" t="str">
        <f t="shared" si="112"/>
        <v>SN-106971</v>
      </c>
      <c r="Q17" s="14" t="str">
        <f t="shared" si="113"/>
        <v>SI-106971</v>
      </c>
      <c r="R17" s="14" t="str">
        <f t="shared" si="114"/>
        <v>SE-106971</v>
      </c>
      <c r="S17" s="56" t="str">
        <f t="shared" si="115"/>
        <v>Prev_RA-106971</v>
      </c>
      <c r="T17" s="56" t="str">
        <f t="shared" si="116"/>
        <v>Prev_Comms-106971</v>
      </c>
      <c r="U17" s="18" t="s">
        <v>75</v>
      </c>
      <c r="V17" s="16" t="s">
        <v>406</v>
      </c>
      <c r="W17" s="18" t="s">
        <v>75</v>
      </c>
      <c r="X17" s="16" t="s">
        <v>401</v>
      </c>
      <c r="Y17" s="14" t="str">
        <f t="shared" si="117"/>
        <v>Forward Add-106971</v>
      </c>
      <c r="Z17" s="16" t="s">
        <v>406</v>
      </c>
      <c r="AA17" s="142" t="str">
        <f>'Run Parameters'!$B$2</f>
        <v>2017-06-26 08:00</v>
      </c>
      <c r="AB17" s="238" t="str">
        <f>'Run Parameters'!B$3</f>
        <v>2017-06-26 18:00</v>
      </c>
      <c r="AC17" s="27">
        <f>('Run Parameters'!$B$2) - 7</f>
        <v>42905.333333333336</v>
      </c>
      <c r="AD17" s="18" t="s">
        <v>75</v>
      </c>
      <c r="AE17" s="19" t="str">
        <f t="shared" si="118"/>
        <v>LAST_METER-106971</v>
      </c>
      <c r="AF17" s="142" t="str">
        <f>'Run Parameters'!$B$2</f>
        <v>2017-06-26 08:00</v>
      </c>
      <c r="AG17" s="14" t="str">
        <f>'Run Parameters'!B$4</f>
        <v xml:space="preserve">AUTOTEST </v>
      </c>
      <c r="AH17" s="56" t="str">
        <f t="shared" si="119"/>
        <v>Site_Contact_106971</v>
      </c>
      <c r="AI17" s="142" t="str">
        <f>'Run Parameters'!B$2</f>
        <v>2017-06-26 08:00</v>
      </c>
      <c r="AJ17" s="238" t="str">
        <f>'Run Parameters'!B$3</f>
        <v>2017-06-26 18:00</v>
      </c>
      <c r="AK17" s="14" t="s">
        <v>401</v>
      </c>
      <c r="AL17" s="56" t="str">
        <f t="shared" si="120"/>
        <v>01159106971</v>
      </c>
      <c r="AM17" s="14" t="str">
        <f t="shared" si="121"/>
        <v>0115106971</v>
      </c>
      <c r="AN17" s="16"/>
      <c r="AO17" s="54"/>
      <c r="AP17" s="14">
        <v>1</v>
      </c>
      <c r="AQ17" s="55" t="s">
        <v>49</v>
      </c>
      <c r="AR17" s="16"/>
      <c r="AS17" s="14"/>
      <c r="AT17" s="8" t="s">
        <v>405</v>
      </c>
      <c r="AU17" s="8"/>
      <c r="AV17" s="14">
        <f t="shared" si="122"/>
        <v>106971</v>
      </c>
      <c r="AW17" s="14" t="s">
        <v>790</v>
      </c>
      <c r="AX17" s="14" t="s">
        <v>428</v>
      </c>
      <c r="AY17" s="14" t="s">
        <v>429</v>
      </c>
      <c r="AZ17" s="16" t="s">
        <v>338</v>
      </c>
      <c r="BA17" s="15" t="s">
        <v>155</v>
      </c>
      <c r="BB17" s="22">
        <v>1</v>
      </c>
      <c r="BC17" s="21">
        <f t="shared" si="123"/>
        <v>106971</v>
      </c>
      <c r="BD17" s="17" t="s">
        <v>791</v>
      </c>
      <c r="BE17" s="17" t="s">
        <v>395</v>
      </c>
      <c r="BF17" s="17" t="s">
        <v>395</v>
      </c>
      <c r="BG17" s="21" t="s">
        <v>789</v>
      </c>
      <c r="BH17" s="21" t="str">
        <f t="shared" si="124"/>
        <v>106971_1</v>
      </c>
      <c r="BI17" s="22"/>
      <c r="BJ17" s="22" t="str">
        <f t="shared" si="125"/>
        <v>10000000106971</v>
      </c>
      <c r="BK17" s="17" t="s">
        <v>51</v>
      </c>
      <c r="BL17" s="17" t="s">
        <v>54</v>
      </c>
      <c r="BM17" s="21" t="s">
        <v>792</v>
      </c>
      <c r="BN17" s="17" t="s">
        <v>51</v>
      </c>
      <c r="BO17" s="21" t="str">
        <f t="shared" si="126"/>
        <v>S05S106971</v>
      </c>
      <c r="BP17" s="17" t="s">
        <v>793</v>
      </c>
      <c r="BQ17" s="17" t="s">
        <v>793</v>
      </c>
      <c r="BR17" s="21" t="s">
        <v>162</v>
      </c>
      <c r="BS17" s="17" t="s">
        <v>50</v>
      </c>
      <c r="BT17" s="17" t="s">
        <v>47</v>
      </c>
      <c r="BU17" s="17" t="s">
        <v>398</v>
      </c>
      <c r="BV17" s="17" t="s">
        <v>51</v>
      </c>
      <c r="BW17" s="17" t="s">
        <v>155</v>
      </c>
      <c r="BX17" s="17"/>
      <c r="BY17" s="17"/>
      <c r="BZ17" s="17" t="s">
        <v>158</v>
      </c>
      <c r="CA17" s="17" t="s">
        <v>270</v>
      </c>
      <c r="CB17" s="17" t="s">
        <v>418</v>
      </c>
      <c r="CC17" s="17" t="s">
        <v>794</v>
      </c>
      <c r="CD17" s="17" t="s">
        <v>396</v>
      </c>
      <c r="CE17" s="17" t="s">
        <v>401</v>
      </c>
      <c r="CF17" s="17" t="s">
        <v>403</v>
      </c>
      <c r="CG17" s="17" t="s">
        <v>268</v>
      </c>
      <c r="CH17" s="17" t="s">
        <v>160</v>
      </c>
      <c r="CI17" s="7">
        <v>1</v>
      </c>
      <c r="CJ17" s="7" t="str">
        <f t="shared" si="36"/>
        <v>GAS_ENQ_NO-106971</v>
      </c>
      <c r="CK17" s="8" t="s">
        <v>166</v>
      </c>
      <c r="CL17" s="8" t="s">
        <v>395</v>
      </c>
      <c r="CM17" s="8" t="s">
        <v>395</v>
      </c>
      <c r="CN17" s="7" t="s">
        <v>281</v>
      </c>
      <c r="CO17" s="7" t="str">
        <f t="shared" si="37"/>
        <v>GAS_JOB_ID-106971</v>
      </c>
      <c r="CP17" s="8"/>
      <c r="CQ17" s="7" t="str">
        <f t="shared" si="38"/>
        <v>10000106971</v>
      </c>
      <c r="CR17" s="7" t="s">
        <v>155</v>
      </c>
      <c r="CS17" s="8" t="s">
        <v>51</v>
      </c>
      <c r="CT17" s="28" t="str">
        <f t="shared" si="39"/>
        <v>GMETER106971</v>
      </c>
      <c r="CU17" s="7" t="s">
        <v>162</v>
      </c>
      <c r="CV17" s="8" t="s">
        <v>166</v>
      </c>
      <c r="CW17" s="8" t="s">
        <v>795</v>
      </c>
      <c r="CX17" s="8"/>
      <c r="CY17" s="8"/>
      <c r="CZ17" s="8" t="s">
        <v>399</v>
      </c>
      <c r="DA17" s="8" t="s">
        <v>400</v>
      </c>
      <c r="DB17" s="7" t="str">
        <f t="shared" si="40"/>
        <v>GAS_INST_ID-106971</v>
      </c>
      <c r="DC17" s="8" t="s">
        <v>162</v>
      </c>
      <c r="DD17" s="8"/>
      <c r="DE17" s="8" t="s">
        <v>51</v>
      </c>
      <c r="DF17" s="8" t="s">
        <v>265</v>
      </c>
      <c r="DG17" s="8"/>
      <c r="DH17" s="8" t="s">
        <v>402</v>
      </c>
      <c r="DI17" s="8" t="s">
        <v>404</v>
      </c>
      <c r="DJ17" s="11" t="s">
        <v>268</v>
      </c>
      <c r="DK17" s="8" t="s">
        <v>141</v>
      </c>
      <c r="DL17" s="42"/>
      <c r="DM17" s="42"/>
      <c r="DN17" s="40" t="str">
        <f t="shared" si="41"/>
        <v>DS_Pass-106971</v>
      </c>
      <c r="DO17" s="42"/>
      <c r="DP17" s="42"/>
      <c r="DQ17" s="42"/>
      <c r="DR17" s="43"/>
      <c r="DS17" s="43"/>
      <c r="DT17" s="42"/>
      <c r="DU17" s="42"/>
      <c r="DV17" s="42"/>
      <c r="DW17" s="43"/>
      <c r="DX17" s="42"/>
      <c r="DY17" s="42"/>
      <c r="DZ17" s="39" t="s">
        <v>793</v>
      </c>
      <c r="EA17" s="41"/>
      <c r="EB17" s="39"/>
      <c r="EC17" s="39"/>
      <c r="ED17" s="17"/>
      <c r="EE17" s="2"/>
      <c r="EF17" s="57"/>
    </row>
    <row r="18" spans="1:136">
      <c r="A18" s="234" t="s">
        <v>909</v>
      </c>
      <c r="B18" s="234" t="s">
        <v>927</v>
      </c>
      <c r="C18" s="234" t="s">
        <v>893</v>
      </c>
      <c r="D18" s="14">
        <f>'Run Parameters'!$B$1 + ROW()-1</f>
        <v>106972</v>
      </c>
      <c r="E18" s="16" t="s">
        <v>47</v>
      </c>
      <c r="F18" s="19" t="s">
        <v>789</v>
      </c>
      <c r="G18" s="14" t="str">
        <f t="shared" ref="G18:G19" si="127">("Access Dtls-" &amp; D18)</f>
        <v>Access Dtls-106972</v>
      </c>
      <c r="H18" s="16" t="s">
        <v>277</v>
      </c>
      <c r="I18" s="14" t="str">
        <f t="shared" si="19"/>
        <v>MR. Test_106972_EXCH3</v>
      </c>
      <c r="J18" s="19"/>
      <c r="K18" s="20" t="s">
        <v>434</v>
      </c>
      <c r="L18" s="14" t="str">
        <f t="shared" ref="L18:L19" si="128">("Cust. Ref-" &amp; D18)</f>
        <v>Cust. Ref-106972</v>
      </c>
      <c r="M18" s="16" t="s">
        <v>48</v>
      </c>
      <c r="N18" s="16" t="s">
        <v>434</v>
      </c>
      <c r="O18" s="14"/>
      <c r="P18" s="14" t="str">
        <f t="shared" ref="P18:P19" si="129">("SN-" &amp; D18)</f>
        <v>SN-106972</v>
      </c>
      <c r="Q18" s="14" t="str">
        <f t="shared" ref="Q18:Q19" si="130">("SI-" &amp; D18)</f>
        <v>SI-106972</v>
      </c>
      <c r="R18" s="14" t="str">
        <f t="shared" ref="R18:R19" si="131">("SE-" &amp; D18)</f>
        <v>SE-106972</v>
      </c>
      <c r="S18" s="56" t="str">
        <f t="shared" ref="S18:S19" si="132">("Prev_RA-" &amp; D18)</f>
        <v>Prev_RA-106972</v>
      </c>
      <c r="T18" s="56" t="str">
        <f t="shared" ref="T18:T19" si="133">("Prev_Comms-" &amp; D18)</f>
        <v>Prev_Comms-106972</v>
      </c>
      <c r="U18" s="18" t="s">
        <v>75</v>
      </c>
      <c r="V18" s="16" t="s">
        <v>406</v>
      </c>
      <c r="W18" s="18" t="s">
        <v>75</v>
      </c>
      <c r="X18" s="16" t="s">
        <v>401</v>
      </c>
      <c r="Y18" s="14" t="str">
        <f t="shared" ref="Y18:Y19" si="134">("Forward Add-" &amp; D18)</f>
        <v>Forward Add-106972</v>
      </c>
      <c r="Z18" s="16" t="s">
        <v>406</v>
      </c>
      <c r="AA18" s="142" t="str">
        <f>'Run Parameters'!$B$2</f>
        <v>2017-06-26 08:00</v>
      </c>
      <c r="AB18" s="238" t="str">
        <f>'Run Parameters'!B$3</f>
        <v>2017-06-26 18:00</v>
      </c>
      <c r="AC18" s="27">
        <f>('Run Parameters'!$B$2) - 7</f>
        <v>42905.333333333336</v>
      </c>
      <c r="AD18" s="18" t="s">
        <v>75</v>
      </c>
      <c r="AE18" s="19" t="str">
        <f t="shared" ref="AE18:AE19" si="135">("LAST_METER-" &amp; D18)</f>
        <v>LAST_METER-106972</v>
      </c>
      <c r="AF18" s="142" t="str">
        <f>'Run Parameters'!$B$2</f>
        <v>2017-06-26 08:00</v>
      </c>
      <c r="AG18" s="14" t="str">
        <f>'Run Parameters'!B$4</f>
        <v xml:space="preserve">AUTOTEST </v>
      </c>
      <c r="AH18" s="56" t="str">
        <f t="shared" ref="AH18:AH19" si="136">("Site_Contact_" &amp; D18)</f>
        <v>Site_Contact_106972</v>
      </c>
      <c r="AI18" s="142" t="str">
        <f>'Run Parameters'!B$2</f>
        <v>2017-06-26 08:00</v>
      </c>
      <c r="AJ18" s="238" t="str">
        <f>'Run Parameters'!B$3</f>
        <v>2017-06-26 18:00</v>
      </c>
      <c r="AK18" s="14" t="s">
        <v>401</v>
      </c>
      <c r="AL18" s="56" t="str">
        <f t="shared" ref="AL18:AL19" si="137">"01159" &amp; D18</f>
        <v>01159106972</v>
      </c>
      <c r="AM18" s="14" t="str">
        <f t="shared" ref="AM18:AM19" si="138">("0115" &amp; D18)</f>
        <v>0115106972</v>
      </c>
      <c r="AN18" s="16"/>
      <c r="AO18" s="54"/>
      <c r="AP18" s="14">
        <v>1</v>
      </c>
      <c r="AQ18" s="55" t="s">
        <v>49</v>
      </c>
      <c r="AR18" s="16"/>
      <c r="AS18" s="14"/>
      <c r="AT18" s="8" t="s">
        <v>405</v>
      </c>
      <c r="AU18" s="8"/>
      <c r="AV18" s="14">
        <f t="shared" ref="AV18:AV19" si="139">D18</f>
        <v>106972</v>
      </c>
      <c r="AW18" s="14" t="s">
        <v>790</v>
      </c>
      <c r="AX18" s="14" t="s">
        <v>428</v>
      </c>
      <c r="AY18" s="14" t="s">
        <v>429</v>
      </c>
      <c r="AZ18" s="16" t="s">
        <v>338</v>
      </c>
      <c r="BA18" s="15" t="s">
        <v>155</v>
      </c>
      <c r="BB18" s="22">
        <v>1</v>
      </c>
      <c r="BC18" s="21">
        <f t="shared" ref="BC18:BC19" si="140">D18</f>
        <v>106972</v>
      </c>
      <c r="BD18" s="17" t="s">
        <v>791</v>
      </c>
      <c r="BE18" s="17" t="s">
        <v>395</v>
      </c>
      <c r="BF18" s="17" t="s">
        <v>395</v>
      </c>
      <c r="BG18" s="21" t="s">
        <v>789</v>
      </c>
      <c r="BH18" s="21" t="str">
        <f t="shared" ref="BH18:BH19" si="141">BC18&amp;"_"&amp;BB18</f>
        <v>106972_1</v>
      </c>
      <c r="BI18" s="22"/>
      <c r="BJ18" s="22" t="str">
        <f t="shared" ref="BJ18:BJ19" si="142">"10000000" &amp; D18</f>
        <v>10000000106972</v>
      </c>
      <c r="BK18" s="17" t="s">
        <v>51</v>
      </c>
      <c r="BL18" s="17" t="s">
        <v>54</v>
      </c>
      <c r="BM18" s="21" t="s">
        <v>792</v>
      </c>
      <c r="BN18" s="17" t="s">
        <v>51</v>
      </c>
      <c r="BO18" s="21" t="str">
        <f t="shared" ref="BO18:BO19" si="143">"S05S" &amp; D18</f>
        <v>S05S106972</v>
      </c>
      <c r="BP18" s="17" t="s">
        <v>793</v>
      </c>
      <c r="BQ18" s="17" t="s">
        <v>793</v>
      </c>
      <c r="BR18" s="21" t="s">
        <v>162</v>
      </c>
      <c r="BS18" s="17" t="s">
        <v>50</v>
      </c>
      <c r="BT18" s="17" t="s">
        <v>47</v>
      </c>
      <c r="BU18" s="17" t="s">
        <v>398</v>
      </c>
      <c r="BV18" s="17" t="s">
        <v>51</v>
      </c>
      <c r="BW18" s="17" t="s">
        <v>155</v>
      </c>
      <c r="BX18" s="17"/>
      <c r="BY18" s="17"/>
      <c r="BZ18" s="17" t="s">
        <v>158</v>
      </c>
      <c r="CA18" s="17" t="s">
        <v>270</v>
      </c>
      <c r="CB18" s="17" t="s">
        <v>418</v>
      </c>
      <c r="CC18" s="17" t="s">
        <v>794</v>
      </c>
      <c r="CD18" s="17" t="s">
        <v>396</v>
      </c>
      <c r="CE18" s="17" t="s">
        <v>401</v>
      </c>
      <c r="CF18" s="17" t="s">
        <v>403</v>
      </c>
      <c r="CG18" s="17" t="s">
        <v>268</v>
      </c>
      <c r="CH18" s="17" t="s">
        <v>160</v>
      </c>
      <c r="CI18" s="7">
        <v>1</v>
      </c>
      <c r="CJ18" s="7" t="str">
        <f t="shared" si="36"/>
        <v>GAS_ENQ_NO-106972</v>
      </c>
      <c r="CK18" s="8" t="s">
        <v>166</v>
      </c>
      <c r="CL18" s="8" t="s">
        <v>395</v>
      </c>
      <c r="CM18" s="8" t="s">
        <v>395</v>
      </c>
      <c r="CN18" s="7" t="s">
        <v>281</v>
      </c>
      <c r="CO18" s="7" t="str">
        <f t="shared" si="37"/>
        <v>GAS_JOB_ID-106972</v>
      </c>
      <c r="CP18" s="8"/>
      <c r="CQ18" s="7" t="str">
        <f t="shared" si="38"/>
        <v>10000106972</v>
      </c>
      <c r="CR18" s="7" t="s">
        <v>155</v>
      </c>
      <c r="CS18" s="8" t="s">
        <v>51</v>
      </c>
      <c r="CT18" s="28" t="str">
        <f t="shared" si="39"/>
        <v>GMETER106972</v>
      </c>
      <c r="CU18" s="7" t="s">
        <v>162</v>
      </c>
      <c r="CV18" s="8" t="s">
        <v>166</v>
      </c>
      <c r="CW18" s="8" t="s">
        <v>795</v>
      </c>
      <c r="CX18" s="8"/>
      <c r="CY18" s="8"/>
      <c r="CZ18" s="8" t="s">
        <v>399</v>
      </c>
      <c r="DA18" s="8" t="s">
        <v>400</v>
      </c>
      <c r="DB18" s="7" t="str">
        <f t="shared" si="40"/>
        <v>GAS_INST_ID-106972</v>
      </c>
      <c r="DC18" s="8" t="s">
        <v>162</v>
      </c>
      <c r="DD18" s="8"/>
      <c r="DE18" s="8" t="s">
        <v>51</v>
      </c>
      <c r="DF18" s="8" t="s">
        <v>265</v>
      </c>
      <c r="DG18" s="8"/>
      <c r="DH18" s="8" t="s">
        <v>402</v>
      </c>
      <c r="DI18" s="8" t="s">
        <v>404</v>
      </c>
      <c r="DJ18" s="11" t="s">
        <v>268</v>
      </c>
      <c r="DK18" s="8" t="s">
        <v>141</v>
      </c>
      <c r="DL18" s="42"/>
      <c r="DM18" s="42"/>
      <c r="DN18" s="40" t="str">
        <f t="shared" si="41"/>
        <v>DS_Pass-106972</v>
      </c>
      <c r="DO18" s="42"/>
      <c r="DP18" s="42"/>
      <c r="DQ18" s="42"/>
      <c r="DR18" s="43"/>
      <c r="DS18" s="43"/>
      <c r="DT18" s="42"/>
      <c r="DU18" s="42"/>
      <c r="DV18" s="42"/>
      <c r="DW18" s="43"/>
      <c r="DX18" s="42"/>
      <c r="DY18" s="42"/>
      <c r="DZ18" s="39" t="s">
        <v>793</v>
      </c>
      <c r="EA18" s="41"/>
      <c r="EB18" s="39"/>
      <c r="EC18" s="39"/>
      <c r="ED18" s="17"/>
      <c r="EE18" s="2"/>
      <c r="EF18" s="57"/>
    </row>
    <row r="19" spans="1:136">
      <c r="A19" s="234" t="s">
        <v>910</v>
      </c>
      <c r="B19" s="234" t="s">
        <v>896</v>
      </c>
      <c r="C19" s="234" t="s">
        <v>893</v>
      </c>
      <c r="D19" s="14">
        <f>'Run Parameters'!$B$1 + ROW()-1</f>
        <v>106973</v>
      </c>
      <c r="E19" s="16" t="s">
        <v>47</v>
      </c>
      <c r="F19" s="19" t="s">
        <v>789</v>
      </c>
      <c r="G19" s="14" t="str">
        <f t="shared" si="127"/>
        <v>Access Dtls-106973</v>
      </c>
      <c r="H19" s="16" t="s">
        <v>277</v>
      </c>
      <c r="I19" s="14" t="str">
        <f t="shared" si="19"/>
        <v>MR. Test_106973_EXCH3</v>
      </c>
      <c r="J19" s="19"/>
      <c r="K19" s="20" t="s">
        <v>434</v>
      </c>
      <c r="L19" s="14" t="str">
        <f t="shared" si="128"/>
        <v>Cust. Ref-106973</v>
      </c>
      <c r="M19" s="16" t="s">
        <v>48</v>
      </c>
      <c r="N19" s="16" t="s">
        <v>434</v>
      </c>
      <c r="O19" s="14"/>
      <c r="P19" s="14" t="str">
        <f t="shared" si="129"/>
        <v>SN-106973</v>
      </c>
      <c r="Q19" s="14" t="str">
        <f t="shared" si="130"/>
        <v>SI-106973</v>
      </c>
      <c r="R19" s="14" t="str">
        <f t="shared" si="131"/>
        <v>SE-106973</v>
      </c>
      <c r="S19" s="56" t="str">
        <f t="shared" si="132"/>
        <v>Prev_RA-106973</v>
      </c>
      <c r="T19" s="56" t="str">
        <f t="shared" si="133"/>
        <v>Prev_Comms-106973</v>
      </c>
      <c r="U19" s="18" t="s">
        <v>75</v>
      </c>
      <c r="V19" s="16" t="s">
        <v>406</v>
      </c>
      <c r="W19" s="18" t="s">
        <v>75</v>
      </c>
      <c r="X19" s="16" t="s">
        <v>401</v>
      </c>
      <c r="Y19" s="14" t="str">
        <f t="shared" si="134"/>
        <v>Forward Add-106973</v>
      </c>
      <c r="Z19" s="16" t="s">
        <v>406</v>
      </c>
      <c r="AA19" s="142" t="str">
        <f>'Run Parameters'!$B$2</f>
        <v>2017-06-26 08:00</v>
      </c>
      <c r="AB19" s="238" t="str">
        <f>'Run Parameters'!B$3</f>
        <v>2017-06-26 18:00</v>
      </c>
      <c r="AC19" s="27">
        <f>('Run Parameters'!$B$2) - 7</f>
        <v>42905.333333333336</v>
      </c>
      <c r="AD19" s="18" t="s">
        <v>75</v>
      </c>
      <c r="AE19" s="19" t="str">
        <f t="shared" si="135"/>
        <v>LAST_METER-106973</v>
      </c>
      <c r="AF19" s="142" t="str">
        <f>'Run Parameters'!$B$2</f>
        <v>2017-06-26 08:00</v>
      </c>
      <c r="AG19" s="14" t="str">
        <f>'Run Parameters'!B$4</f>
        <v xml:space="preserve">AUTOTEST </v>
      </c>
      <c r="AH19" s="56" t="str">
        <f t="shared" si="136"/>
        <v>Site_Contact_106973</v>
      </c>
      <c r="AI19" s="142" t="str">
        <f>'Run Parameters'!B$2</f>
        <v>2017-06-26 08:00</v>
      </c>
      <c r="AJ19" s="238" t="str">
        <f>'Run Parameters'!B$3</f>
        <v>2017-06-26 18:00</v>
      </c>
      <c r="AK19" s="14" t="s">
        <v>401</v>
      </c>
      <c r="AL19" s="56" t="str">
        <f t="shared" si="137"/>
        <v>01159106973</v>
      </c>
      <c r="AM19" s="14" t="str">
        <f t="shared" si="138"/>
        <v>0115106973</v>
      </c>
      <c r="AN19" s="16"/>
      <c r="AO19" s="54"/>
      <c r="AP19" s="14">
        <v>1</v>
      </c>
      <c r="AQ19" s="55" t="s">
        <v>49</v>
      </c>
      <c r="AR19" s="16"/>
      <c r="AS19" s="14"/>
      <c r="AT19" s="8" t="s">
        <v>405</v>
      </c>
      <c r="AU19" s="8"/>
      <c r="AV19" s="14">
        <f t="shared" si="139"/>
        <v>106973</v>
      </c>
      <c r="AW19" s="14" t="s">
        <v>790</v>
      </c>
      <c r="AX19" s="14" t="s">
        <v>428</v>
      </c>
      <c r="AY19" s="14" t="s">
        <v>429</v>
      </c>
      <c r="AZ19" s="16" t="s">
        <v>338</v>
      </c>
      <c r="BA19" s="15" t="s">
        <v>155</v>
      </c>
      <c r="BB19" s="22">
        <v>1</v>
      </c>
      <c r="BC19" s="21">
        <f t="shared" si="140"/>
        <v>106973</v>
      </c>
      <c r="BD19" s="17" t="s">
        <v>791</v>
      </c>
      <c r="BE19" s="17" t="s">
        <v>395</v>
      </c>
      <c r="BF19" s="17" t="s">
        <v>395</v>
      </c>
      <c r="BG19" s="21" t="s">
        <v>789</v>
      </c>
      <c r="BH19" s="21" t="str">
        <f t="shared" si="141"/>
        <v>106973_1</v>
      </c>
      <c r="BI19" s="22"/>
      <c r="BJ19" s="22" t="str">
        <f t="shared" si="142"/>
        <v>10000000106973</v>
      </c>
      <c r="BK19" s="17" t="s">
        <v>51</v>
      </c>
      <c r="BL19" s="17" t="s">
        <v>54</v>
      </c>
      <c r="BM19" s="21" t="s">
        <v>792</v>
      </c>
      <c r="BN19" s="17" t="s">
        <v>51</v>
      </c>
      <c r="BO19" s="21" t="str">
        <f t="shared" si="143"/>
        <v>S05S106973</v>
      </c>
      <c r="BP19" s="17" t="s">
        <v>793</v>
      </c>
      <c r="BQ19" s="17" t="s">
        <v>793</v>
      </c>
      <c r="BR19" s="21" t="s">
        <v>162</v>
      </c>
      <c r="BS19" s="17" t="s">
        <v>50</v>
      </c>
      <c r="BT19" s="17" t="s">
        <v>47</v>
      </c>
      <c r="BU19" s="17" t="s">
        <v>398</v>
      </c>
      <c r="BV19" s="17" t="s">
        <v>51</v>
      </c>
      <c r="BW19" s="17" t="s">
        <v>155</v>
      </c>
      <c r="BX19" s="17"/>
      <c r="BY19" s="17"/>
      <c r="BZ19" s="17" t="s">
        <v>158</v>
      </c>
      <c r="CA19" s="17" t="s">
        <v>270</v>
      </c>
      <c r="CB19" s="17" t="s">
        <v>418</v>
      </c>
      <c r="CC19" s="17" t="s">
        <v>794</v>
      </c>
      <c r="CD19" s="17" t="s">
        <v>396</v>
      </c>
      <c r="CE19" s="17" t="s">
        <v>401</v>
      </c>
      <c r="CF19" s="17" t="s">
        <v>403</v>
      </c>
      <c r="CG19" s="17" t="s">
        <v>268</v>
      </c>
      <c r="CH19" s="17" t="s">
        <v>160</v>
      </c>
      <c r="CI19" s="7">
        <v>1</v>
      </c>
      <c r="CJ19" s="7" t="str">
        <f t="shared" si="36"/>
        <v>GAS_ENQ_NO-106973</v>
      </c>
      <c r="CK19" s="8" t="s">
        <v>166</v>
      </c>
      <c r="CL19" s="8" t="s">
        <v>395</v>
      </c>
      <c r="CM19" s="8" t="s">
        <v>395</v>
      </c>
      <c r="CN19" s="7" t="s">
        <v>281</v>
      </c>
      <c r="CO19" s="7" t="str">
        <f t="shared" si="37"/>
        <v>GAS_JOB_ID-106973</v>
      </c>
      <c r="CP19" s="8"/>
      <c r="CQ19" s="7" t="str">
        <f t="shared" si="38"/>
        <v>10000106973</v>
      </c>
      <c r="CR19" s="7" t="s">
        <v>155</v>
      </c>
      <c r="CS19" s="8" t="s">
        <v>51</v>
      </c>
      <c r="CT19" s="28" t="str">
        <f t="shared" si="39"/>
        <v>GMETER106973</v>
      </c>
      <c r="CU19" s="7" t="s">
        <v>162</v>
      </c>
      <c r="CV19" s="8" t="s">
        <v>166</v>
      </c>
      <c r="CW19" s="8" t="s">
        <v>795</v>
      </c>
      <c r="CX19" s="8"/>
      <c r="CY19" s="8"/>
      <c r="CZ19" s="8" t="s">
        <v>399</v>
      </c>
      <c r="DA19" s="8" t="s">
        <v>400</v>
      </c>
      <c r="DB19" s="7" t="str">
        <f t="shared" si="40"/>
        <v>GAS_INST_ID-106973</v>
      </c>
      <c r="DC19" s="8" t="s">
        <v>162</v>
      </c>
      <c r="DD19" s="8"/>
      <c r="DE19" s="8" t="s">
        <v>51</v>
      </c>
      <c r="DF19" s="8" t="s">
        <v>265</v>
      </c>
      <c r="DG19" s="8"/>
      <c r="DH19" s="8" t="s">
        <v>402</v>
      </c>
      <c r="DI19" s="8" t="s">
        <v>404</v>
      </c>
      <c r="DJ19" s="11" t="s">
        <v>268</v>
      </c>
      <c r="DK19" s="8" t="s">
        <v>141</v>
      </c>
      <c r="DL19" s="42"/>
      <c r="DM19" s="42"/>
      <c r="DN19" s="40" t="str">
        <f t="shared" si="41"/>
        <v>DS_Pass-106973</v>
      </c>
      <c r="DO19" s="42"/>
      <c r="DP19" s="42"/>
      <c r="DQ19" s="42"/>
      <c r="DR19" s="43"/>
      <c r="DS19" s="43"/>
      <c r="DT19" s="42"/>
      <c r="DU19" s="42"/>
      <c r="DV19" s="42"/>
      <c r="DW19" s="43"/>
      <c r="DX19" s="42"/>
      <c r="DY19" s="42"/>
      <c r="DZ19" s="39" t="s">
        <v>793</v>
      </c>
      <c r="EA19" s="41"/>
      <c r="EB19" s="39"/>
      <c r="EC19" s="39"/>
      <c r="ED19" s="17"/>
      <c r="EE19" s="2"/>
      <c r="EF19" s="57"/>
    </row>
    <row r="20" spans="1:136">
      <c r="A20" s="234" t="s">
        <v>911</v>
      </c>
      <c r="B20" s="234" t="s">
        <v>927</v>
      </c>
      <c r="C20" s="234" t="s">
        <v>893</v>
      </c>
      <c r="D20" s="14">
        <f>'Run Parameters'!$B$1 + ROW()-1</f>
        <v>106974</v>
      </c>
      <c r="E20" s="16" t="s">
        <v>47</v>
      </c>
      <c r="F20" s="19" t="s">
        <v>789</v>
      </c>
      <c r="G20" s="14" t="str">
        <f t="shared" ref="G20:G21" si="144">("Access Dtls-" &amp; D20)</f>
        <v>Access Dtls-106974</v>
      </c>
      <c r="H20" s="16" t="s">
        <v>277</v>
      </c>
      <c r="I20" s="14" t="str">
        <f t="shared" si="19"/>
        <v>MR. Test_106974_EXCH3</v>
      </c>
      <c r="J20" s="19"/>
      <c r="K20" s="20" t="s">
        <v>434</v>
      </c>
      <c r="L20" s="14" t="str">
        <f t="shared" ref="L20:L21" si="145">("Cust. Ref-" &amp; D20)</f>
        <v>Cust. Ref-106974</v>
      </c>
      <c r="M20" s="16" t="s">
        <v>48</v>
      </c>
      <c r="N20" s="16" t="s">
        <v>434</v>
      </c>
      <c r="O20" s="14"/>
      <c r="P20" s="14" t="str">
        <f t="shared" ref="P20:P21" si="146">("SN-" &amp; D20)</f>
        <v>SN-106974</v>
      </c>
      <c r="Q20" s="14" t="str">
        <f t="shared" ref="Q20:Q21" si="147">("SI-" &amp; D20)</f>
        <v>SI-106974</v>
      </c>
      <c r="R20" s="14" t="str">
        <f t="shared" ref="R20:R21" si="148">("SE-" &amp; D20)</f>
        <v>SE-106974</v>
      </c>
      <c r="S20" s="56" t="str">
        <f t="shared" ref="S20:S21" si="149">("Prev_RA-" &amp; D20)</f>
        <v>Prev_RA-106974</v>
      </c>
      <c r="T20" s="56" t="str">
        <f t="shared" ref="T20:T21" si="150">("Prev_Comms-" &amp; D20)</f>
        <v>Prev_Comms-106974</v>
      </c>
      <c r="U20" s="18" t="s">
        <v>75</v>
      </c>
      <c r="V20" s="16" t="s">
        <v>406</v>
      </c>
      <c r="W20" s="18" t="s">
        <v>75</v>
      </c>
      <c r="X20" s="16" t="s">
        <v>401</v>
      </c>
      <c r="Y20" s="14" t="str">
        <f t="shared" ref="Y20:Y21" si="151">("Forward Add-" &amp; D20)</f>
        <v>Forward Add-106974</v>
      </c>
      <c r="Z20" s="16" t="s">
        <v>406</v>
      </c>
      <c r="AA20" s="142" t="str">
        <f>'Run Parameters'!$B$2</f>
        <v>2017-06-26 08:00</v>
      </c>
      <c r="AB20" s="238" t="str">
        <f>'Run Parameters'!B$3</f>
        <v>2017-06-26 18:00</v>
      </c>
      <c r="AC20" s="27">
        <f>('Run Parameters'!$B$2) - 7</f>
        <v>42905.333333333336</v>
      </c>
      <c r="AD20" s="18" t="s">
        <v>75</v>
      </c>
      <c r="AE20" s="19" t="str">
        <f t="shared" ref="AE20:AE21" si="152">("LAST_METER-" &amp; D20)</f>
        <v>LAST_METER-106974</v>
      </c>
      <c r="AF20" s="142" t="str">
        <f>'Run Parameters'!$B$2</f>
        <v>2017-06-26 08:00</v>
      </c>
      <c r="AG20" s="14" t="str">
        <f>'Run Parameters'!B$4</f>
        <v xml:space="preserve">AUTOTEST </v>
      </c>
      <c r="AH20" s="56" t="str">
        <f t="shared" ref="AH20:AH21" si="153">("Site_Contact_" &amp; D20)</f>
        <v>Site_Contact_106974</v>
      </c>
      <c r="AI20" s="142" t="str">
        <f>'Run Parameters'!B$2</f>
        <v>2017-06-26 08:00</v>
      </c>
      <c r="AJ20" s="238" t="str">
        <f>'Run Parameters'!B$3</f>
        <v>2017-06-26 18:00</v>
      </c>
      <c r="AK20" s="14" t="s">
        <v>401</v>
      </c>
      <c r="AL20" s="56" t="str">
        <f t="shared" ref="AL20:AL21" si="154">"01159" &amp; D20</f>
        <v>01159106974</v>
      </c>
      <c r="AM20" s="14" t="str">
        <f t="shared" ref="AM20:AM21" si="155">("0115" &amp; D20)</f>
        <v>0115106974</v>
      </c>
      <c r="AN20" s="16"/>
      <c r="AO20" s="54"/>
      <c r="AP20" s="14">
        <v>1</v>
      </c>
      <c r="AQ20" s="55" t="s">
        <v>49</v>
      </c>
      <c r="AR20" s="16"/>
      <c r="AS20" s="14"/>
      <c r="AT20" s="8" t="s">
        <v>405</v>
      </c>
      <c r="AU20" s="8"/>
      <c r="AV20" s="14">
        <f t="shared" ref="AV20:AV21" si="156">D20</f>
        <v>106974</v>
      </c>
      <c r="AW20" s="14" t="s">
        <v>790</v>
      </c>
      <c r="AX20" s="14" t="s">
        <v>428</v>
      </c>
      <c r="AY20" s="14" t="s">
        <v>429</v>
      </c>
      <c r="AZ20" s="16" t="s">
        <v>338</v>
      </c>
      <c r="BA20" s="15" t="s">
        <v>155</v>
      </c>
      <c r="BB20" s="22">
        <v>1</v>
      </c>
      <c r="BC20" s="21">
        <f t="shared" ref="BC20:BC21" si="157">D20</f>
        <v>106974</v>
      </c>
      <c r="BD20" s="17" t="s">
        <v>791</v>
      </c>
      <c r="BE20" s="17" t="s">
        <v>395</v>
      </c>
      <c r="BF20" s="17" t="s">
        <v>395</v>
      </c>
      <c r="BG20" s="21" t="s">
        <v>789</v>
      </c>
      <c r="BH20" s="21" t="str">
        <f t="shared" ref="BH20:BH21" si="158">BC20&amp;"_"&amp;BB20</f>
        <v>106974_1</v>
      </c>
      <c r="BI20" s="22"/>
      <c r="BJ20" s="22" t="str">
        <f t="shared" ref="BJ20:BJ21" si="159">"10000000" &amp; D20</f>
        <v>10000000106974</v>
      </c>
      <c r="BK20" s="17" t="s">
        <v>51</v>
      </c>
      <c r="BL20" s="17" t="s">
        <v>54</v>
      </c>
      <c r="BM20" s="21" t="s">
        <v>792</v>
      </c>
      <c r="BN20" s="17" t="s">
        <v>51</v>
      </c>
      <c r="BO20" s="21" t="str">
        <f t="shared" ref="BO20:BO21" si="160">"S05S" &amp; D20</f>
        <v>S05S106974</v>
      </c>
      <c r="BP20" s="17" t="s">
        <v>793</v>
      </c>
      <c r="BQ20" s="17" t="s">
        <v>793</v>
      </c>
      <c r="BR20" s="21" t="s">
        <v>162</v>
      </c>
      <c r="BS20" s="17" t="s">
        <v>50</v>
      </c>
      <c r="BT20" s="17" t="s">
        <v>47</v>
      </c>
      <c r="BU20" s="17" t="s">
        <v>398</v>
      </c>
      <c r="BV20" s="17" t="s">
        <v>51</v>
      </c>
      <c r="BW20" s="17" t="s">
        <v>155</v>
      </c>
      <c r="BX20" s="17"/>
      <c r="BY20" s="17"/>
      <c r="BZ20" s="17" t="s">
        <v>158</v>
      </c>
      <c r="CA20" s="17" t="s">
        <v>270</v>
      </c>
      <c r="CB20" s="17" t="s">
        <v>418</v>
      </c>
      <c r="CC20" s="17" t="s">
        <v>794</v>
      </c>
      <c r="CD20" s="17" t="s">
        <v>396</v>
      </c>
      <c r="CE20" s="17" t="s">
        <v>401</v>
      </c>
      <c r="CF20" s="17" t="s">
        <v>403</v>
      </c>
      <c r="CG20" s="17" t="s">
        <v>268</v>
      </c>
      <c r="CH20" s="17" t="s">
        <v>160</v>
      </c>
      <c r="CI20" s="7">
        <v>1</v>
      </c>
      <c r="CJ20" s="7" t="str">
        <f t="shared" si="36"/>
        <v>GAS_ENQ_NO-106974</v>
      </c>
      <c r="CK20" s="8" t="s">
        <v>166</v>
      </c>
      <c r="CL20" s="8" t="s">
        <v>395</v>
      </c>
      <c r="CM20" s="8" t="s">
        <v>395</v>
      </c>
      <c r="CN20" s="7" t="s">
        <v>281</v>
      </c>
      <c r="CO20" s="7" t="str">
        <f t="shared" si="37"/>
        <v>GAS_JOB_ID-106974</v>
      </c>
      <c r="CP20" s="8"/>
      <c r="CQ20" s="7" t="str">
        <f t="shared" si="38"/>
        <v>10000106974</v>
      </c>
      <c r="CR20" s="7" t="s">
        <v>155</v>
      </c>
      <c r="CS20" s="8" t="s">
        <v>51</v>
      </c>
      <c r="CT20" s="28" t="str">
        <f t="shared" si="39"/>
        <v>GMETER106974</v>
      </c>
      <c r="CU20" s="7" t="s">
        <v>162</v>
      </c>
      <c r="CV20" s="8" t="s">
        <v>166</v>
      </c>
      <c r="CW20" s="8" t="s">
        <v>795</v>
      </c>
      <c r="CX20" s="8"/>
      <c r="CY20" s="8"/>
      <c r="CZ20" s="8" t="s">
        <v>399</v>
      </c>
      <c r="DA20" s="8" t="s">
        <v>400</v>
      </c>
      <c r="DB20" s="7" t="str">
        <f t="shared" si="40"/>
        <v>GAS_INST_ID-106974</v>
      </c>
      <c r="DC20" s="8" t="s">
        <v>162</v>
      </c>
      <c r="DD20" s="8"/>
      <c r="DE20" s="8" t="s">
        <v>51</v>
      </c>
      <c r="DF20" s="8" t="s">
        <v>265</v>
      </c>
      <c r="DG20" s="8"/>
      <c r="DH20" s="8" t="s">
        <v>402</v>
      </c>
      <c r="DI20" s="8" t="s">
        <v>404</v>
      </c>
      <c r="DJ20" s="11" t="s">
        <v>268</v>
      </c>
      <c r="DK20" s="8" t="s">
        <v>141</v>
      </c>
      <c r="DL20" s="42"/>
      <c r="DM20" s="42"/>
      <c r="DN20" s="40" t="str">
        <f t="shared" si="41"/>
        <v>DS_Pass-106974</v>
      </c>
      <c r="DO20" s="42"/>
      <c r="DP20" s="42"/>
      <c r="DQ20" s="42"/>
      <c r="DR20" s="43"/>
      <c r="DS20" s="43"/>
      <c r="DT20" s="42"/>
      <c r="DU20" s="42"/>
      <c r="DV20" s="42"/>
      <c r="DW20" s="43"/>
      <c r="DX20" s="42"/>
      <c r="DY20" s="42"/>
      <c r="DZ20" s="39" t="s">
        <v>793</v>
      </c>
      <c r="EA20" s="41"/>
      <c r="EB20" s="39"/>
      <c r="EC20" s="39"/>
      <c r="ED20" s="17"/>
      <c r="EE20" s="2"/>
      <c r="EF20" s="57"/>
    </row>
    <row r="21" spans="1:136">
      <c r="A21" s="234" t="s">
        <v>912</v>
      </c>
      <c r="B21" s="234" t="s">
        <v>896</v>
      </c>
      <c r="C21" s="234" t="s">
        <v>893</v>
      </c>
      <c r="D21" s="14">
        <f>'Run Parameters'!$B$1 + ROW()-1</f>
        <v>106975</v>
      </c>
      <c r="E21" s="16" t="s">
        <v>47</v>
      </c>
      <c r="F21" s="19" t="s">
        <v>789</v>
      </c>
      <c r="G21" s="14" t="str">
        <f t="shared" si="144"/>
        <v>Access Dtls-106975</v>
      </c>
      <c r="H21" s="16" t="s">
        <v>277</v>
      </c>
      <c r="I21" s="14" t="str">
        <f t="shared" si="19"/>
        <v>MR. Test_106975_EXCH3</v>
      </c>
      <c r="J21" s="19"/>
      <c r="K21" s="20" t="s">
        <v>434</v>
      </c>
      <c r="L21" s="14" t="str">
        <f t="shared" si="145"/>
        <v>Cust. Ref-106975</v>
      </c>
      <c r="M21" s="16" t="s">
        <v>48</v>
      </c>
      <c r="N21" s="16" t="s">
        <v>434</v>
      </c>
      <c r="O21" s="14"/>
      <c r="P21" s="14" t="str">
        <f t="shared" si="146"/>
        <v>SN-106975</v>
      </c>
      <c r="Q21" s="14" t="str">
        <f t="shared" si="147"/>
        <v>SI-106975</v>
      </c>
      <c r="R21" s="14" t="str">
        <f t="shared" si="148"/>
        <v>SE-106975</v>
      </c>
      <c r="S21" s="56" t="str">
        <f t="shared" si="149"/>
        <v>Prev_RA-106975</v>
      </c>
      <c r="T21" s="56" t="str">
        <f t="shared" si="150"/>
        <v>Prev_Comms-106975</v>
      </c>
      <c r="U21" s="18" t="s">
        <v>75</v>
      </c>
      <c r="V21" s="16" t="s">
        <v>406</v>
      </c>
      <c r="W21" s="18" t="s">
        <v>75</v>
      </c>
      <c r="X21" s="16" t="s">
        <v>401</v>
      </c>
      <c r="Y21" s="14" t="str">
        <f t="shared" si="151"/>
        <v>Forward Add-106975</v>
      </c>
      <c r="Z21" s="16" t="s">
        <v>406</v>
      </c>
      <c r="AA21" s="142" t="str">
        <f>'Run Parameters'!$B$2</f>
        <v>2017-06-26 08:00</v>
      </c>
      <c r="AB21" s="238" t="str">
        <f>'Run Parameters'!B$3</f>
        <v>2017-06-26 18:00</v>
      </c>
      <c r="AC21" s="27">
        <f>('Run Parameters'!$B$2) - 7</f>
        <v>42905.333333333336</v>
      </c>
      <c r="AD21" s="18" t="s">
        <v>75</v>
      </c>
      <c r="AE21" s="19" t="str">
        <f t="shared" si="152"/>
        <v>LAST_METER-106975</v>
      </c>
      <c r="AF21" s="142" t="str">
        <f>'Run Parameters'!$B$2</f>
        <v>2017-06-26 08:00</v>
      </c>
      <c r="AG21" s="14" t="str">
        <f>'Run Parameters'!B$4</f>
        <v xml:space="preserve">AUTOTEST </v>
      </c>
      <c r="AH21" s="56" t="str">
        <f t="shared" si="153"/>
        <v>Site_Contact_106975</v>
      </c>
      <c r="AI21" s="142" t="str">
        <f>'Run Parameters'!B$2</f>
        <v>2017-06-26 08:00</v>
      </c>
      <c r="AJ21" s="238" t="str">
        <f>'Run Parameters'!B$3</f>
        <v>2017-06-26 18:00</v>
      </c>
      <c r="AK21" s="14" t="s">
        <v>401</v>
      </c>
      <c r="AL21" s="56" t="str">
        <f t="shared" si="154"/>
        <v>01159106975</v>
      </c>
      <c r="AM21" s="14" t="str">
        <f t="shared" si="155"/>
        <v>0115106975</v>
      </c>
      <c r="AN21" s="16"/>
      <c r="AO21" s="54"/>
      <c r="AP21" s="14">
        <v>1</v>
      </c>
      <c r="AQ21" s="55" t="s">
        <v>49</v>
      </c>
      <c r="AR21" s="16"/>
      <c r="AS21" s="14"/>
      <c r="AT21" s="8" t="s">
        <v>405</v>
      </c>
      <c r="AU21" s="8"/>
      <c r="AV21" s="14">
        <f t="shared" si="156"/>
        <v>106975</v>
      </c>
      <c r="AW21" s="14" t="s">
        <v>790</v>
      </c>
      <c r="AX21" s="14" t="s">
        <v>428</v>
      </c>
      <c r="AY21" s="14" t="s">
        <v>429</v>
      </c>
      <c r="AZ21" s="16" t="s">
        <v>338</v>
      </c>
      <c r="BA21" s="15" t="s">
        <v>155</v>
      </c>
      <c r="BB21" s="22">
        <v>1</v>
      </c>
      <c r="BC21" s="21">
        <f t="shared" si="157"/>
        <v>106975</v>
      </c>
      <c r="BD21" s="17" t="s">
        <v>791</v>
      </c>
      <c r="BE21" s="17" t="s">
        <v>395</v>
      </c>
      <c r="BF21" s="17" t="s">
        <v>395</v>
      </c>
      <c r="BG21" s="21" t="s">
        <v>789</v>
      </c>
      <c r="BH21" s="21" t="str">
        <f t="shared" si="158"/>
        <v>106975_1</v>
      </c>
      <c r="BI21" s="22"/>
      <c r="BJ21" s="22" t="str">
        <f t="shared" si="159"/>
        <v>10000000106975</v>
      </c>
      <c r="BK21" s="17" t="s">
        <v>51</v>
      </c>
      <c r="BL21" s="17" t="s">
        <v>54</v>
      </c>
      <c r="BM21" s="21" t="s">
        <v>792</v>
      </c>
      <c r="BN21" s="17" t="s">
        <v>51</v>
      </c>
      <c r="BO21" s="21" t="str">
        <f t="shared" si="160"/>
        <v>S05S106975</v>
      </c>
      <c r="BP21" s="17" t="s">
        <v>793</v>
      </c>
      <c r="BQ21" s="17" t="s">
        <v>793</v>
      </c>
      <c r="BR21" s="21" t="s">
        <v>162</v>
      </c>
      <c r="BS21" s="17" t="s">
        <v>50</v>
      </c>
      <c r="BT21" s="17" t="s">
        <v>47</v>
      </c>
      <c r="BU21" s="17" t="s">
        <v>398</v>
      </c>
      <c r="BV21" s="17" t="s">
        <v>51</v>
      </c>
      <c r="BW21" s="17" t="s">
        <v>155</v>
      </c>
      <c r="BX21" s="17"/>
      <c r="BY21" s="17"/>
      <c r="BZ21" s="17" t="s">
        <v>158</v>
      </c>
      <c r="CA21" s="17" t="s">
        <v>270</v>
      </c>
      <c r="CB21" s="17" t="s">
        <v>418</v>
      </c>
      <c r="CC21" s="17" t="s">
        <v>794</v>
      </c>
      <c r="CD21" s="17" t="s">
        <v>396</v>
      </c>
      <c r="CE21" s="17" t="s">
        <v>401</v>
      </c>
      <c r="CF21" s="17" t="s">
        <v>403</v>
      </c>
      <c r="CG21" s="17" t="s">
        <v>268</v>
      </c>
      <c r="CH21" s="17" t="s">
        <v>160</v>
      </c>
      <c r="CI21" s="7">
        <v>1</v>
      </c>
      <c r="CJ21" s="7" t="str">
        <f t="shared" si="36"/>
        <v>GAS_ENQ_NO-106975</v>
      </c>
      <c r="CK21" s="8" t="s">
        <v>166</v>
      </c>
      <c r="CL21" s="8" t="s">
        <v>395</v>
      </c>
      <c r="CM21" s="8" t="s">
        <v>395</v>
      </c>
      <c r="CN21" s="7" t="s">
        <v>281</v>
      </c>
      <c r="CO21" s="7" t="str">
        <f t="shared" si="37"/>
        <v>GAS_JOB_ID-106975</v>
      </c>
      <c r="CP21" s="8"/>
      <c r="CQ21" s="7" t="str">
        <f t="shared" si="38"/>
        <v>10000106975</v>
      </c>
      <c r="CR21" s="7" t="s">
        <v>155</v>
      </c>
      <c r="CS21" s="8" t="s">
        <v>51</v>
      </c>
      <c r="CT21" s="28" t="str">
        <f t="shared" si="39"/>
        <v>GMETER106975</v>
      </c>
      <c r="CU21" s="7" t="s">
        <v>162</v>
      </c>
      <c r="CV21" s="8" t="s">
        <v>166</v>
      </c>
      <c r="CW21" s="8" t="s">
        <v>795</v>
      </c>
      <c r="CX21" s="8"/>
      <c r="CY21" s="8"/>
      <c r="CZ21" s="8" t="s">
        <v>399</v>
      </c>
      <c r="DA21" s="8" t="s">
        <v>400</v>
      </c>
      <c r="DB21" s="7" t="str">
        <f t="shared" si="40"/>
        <v>GAS_INST_ID-106975</v>
      </c>
      <c r="DC21" s="8" t="s">
        <v>162</v>
      </c>
      <c r="DD21" s="8"/>
      <c r="DE21" s="8" t="s">
        <v>51</v>
      </c>
      <c r="DF21" s="8" t="s">
        <v>265</v>
      </c>
      <c r="DG21" s="8"/>
      <c r="DH21" s="8" t="s">
        <v>402</v>
      </c>
      <c r="DI21" s="8" t="s">
        <v>404</v>
      </c>
      <c r="DJ21" s="11" t="s">
        <v>268</v>
      </c>
      <c r="DK21" s="8" t="s">
        <v>141</v>
      </c>
      <c r="DL21" s="42"/>
      <c r="DM21" s="42"/>
      <c r="DN21" s="40" t="str">
        <f t="shared" si="41"/>
        <v>DS_Pass-106975</v>
      </c>
      <c r="DO21" s="42"/>
      <c r="DP21" s="42"/>
      <c r="DQ21" s="42"/>
      <c r="DR21" s="43"/>
      <c r="DS21" s="43"/>
      <c r="DT21" s="42"/>
      <c r="DU21" s="42"/>
      <c r="DV21" s="42"/>
      <c r="DW21" s="43"/>
      <c r="DX21" s="42"/>
      <c r="DY21" s="42"/>
      <c r="DZ21" s="39" t="s">
        <v>793</v>
      </c>
      <c r="EA21" s="41"/>
      <c r="EB21" s="39"/>
      <c r="EC21" s="39"/>
      <c r="ED21" s="17"/>
      <c r="EE21" s="2"/>
      <c r="EF21" s="57"/>
    </row>
    <row r="22" spans="1:136">
      <c r="A22" s="234" t="s">
        <v>913</v>
      </c>
      <c r="B22" s="234" t="s">
        <v>927</v>
      </c>
      <c r="C22" s="234" t="s">
        <v>893</v>
      </c>
      <c r="D22" s="14">
        <f>'Run Parameters'!$B$1 + ROW()-1</f>
        <v>106976</v>
      </c>
      <c r="E22" s="16" t="s">
        <v>47</v>
      </c>
      <c r="F22" s="19" t="s">
        <v>789</v>
      </c>
      <c r="G22" s="14" t="str">
        <f t="shared" ref="G22:G23" si="161">("Access Dtls-" &amp; D22)</f>
        <v>Access Dtls-106976</v>
      </c>
      <c r="H22" s="16" t="s">
        <v>277</v>
      </c>
      <c r="I22" s="14" t="str">
        <f t="shared" si="19"/>
        <v>MR. Test_106976_EXCH3</v>
      </c>
      <c r="J22" s="19"/>
      <c r="K22" s="20" t="s">
        <v>434</v>
      </c>
      <c r="L22" s="14" t="str">
        <f t="shared" ref="L22:L23" si="162">("Cust. Ref-" &amp; D22)</f>
        <v>Cust. Ref-106976</v>
      </c>
      <c r="M22" s="16" t="s">
        <v>48</v>
      </c>
      <c r="N22" s="16" t="s">
        <v>434</v>
      </c>
      <c r="O22" s="14"/>
      <c r="P22" s="14" t="str">
        <f t="shared" ref="P22:P23" si="163">("SN-" &amp; D22)</f>
        <v>SN-106976</v>
      </c>
      <c r="Q22" s="14" t="str">
        <f t="shared" ref="Q22:Q23" si="164">("SI-" &amp; D22)</f>
        <v>SI-106976</v>
      </c>
      <c r="R22" s="14" t="str">
        <f t="shared" ref="R22:R23" si="165">("SE-" &amp; D22)</f>
        <v>SE-106976</v>
      </c>
      <c r="S22" s="56" t="str">
        <f t="shared" ref="S22:S23" si="166">("Prev_RA-" &amp; D22)</f>
        <v>Prev_RA-106976</v>
      </c>
      <c r="T22" s="56" t="str">
        <f t="shared" ref="T22:T23" si="167">("Prev_Comms-" &amp; D22)</f>
        <v>Prev_Comms-106976</v>
      </c>
      <c r="U22" s="18" t="s">
        <v>75</v>
      </c>
      <c r="V22" s="16" t="s">
        <v>406</v>
      </c>
      <c r="W22" s="18" t="s">
        <v>75</v>
      </c>
      <c r="X22" s="16" t="s">
        <v>401</v>
      </c>
      <c r="Y22" s="14" t="str">
        <f t="shared" ref="Y22:Y23" si="168">("Forward Add-" &amp; D22)</f>
        <v>Forward Add-106976</v>
      </c>
      <c r="Z22" s="16" t="s">
        <v>406</v>
      </c>
      <c r="AA22" s="142" t="str">
        <f>'Run Parameters'!$B$2</f>
        <v>2017-06-26 08:00</v>
      </c>
      <c r="AB22" s="238" t="str">
        <f>'Run Parameters'!B$3</f>
        <v>2017-06-26 18:00</v>
      </c>
      <c r="AC22" s="27">
        <f>('Run Parameters'!$B$2) - 7</f>
        <v>42905.333333333336</v>
      </c>
      <c r="AD22" s="18" t="s">
        <v>75</v>
      </c>
      <c r="AE22" s="19" t="str">
        <f t="shared" ref="AE22:AE23" si="169">("LAST_METER-" &amp; D22)</f>
        <v>LAST_METER-106976</v>
      </c>
      <c r="AF22" s="142" t="str">
        <f>'Run Parameters'!$B$2</f>
        <v>2017-06-26 08:00</v>
      </c>
      <c r="AG22" s="14" t="str">
        <f>'Run Parameters'!B$4</f>
        <v xml:space="preserve">AUTOTEST </v>
      </c>
      <c r="AH22" s="56" t="str">
        <f t="shared" ref="AH22:AH23" si="170">("Site_Contact_" &amp; D22)</f>
        <v>Site_Contact_106976</v>
      </c>
      <c r="AI22" s="142" t="str">
        <f>'Run Parameters'!B$2</f>
        <v>2017-06-26 08:00</v>
      </c>
      <c r="AJ22" s="238" t="str">
        <f>'Run Parameters'!B$3</f>
        <v>2017-06-26 18:00</v>
      </c>
      <c r="AK22" s="14" t="s">
        <v>401</v>
      </c>
      <c r="AL22" s="56" t="str">
        <f t="shared" ref="AL22:AL23" si="171">"01159" &amp; D22</f>
        <v>01159106976</v>
      </c>
      <c r="AM22" s="14" t="str">
        <f t="shared" ref="AM22:AM23" si="172">("0115" &amp; D22)</f>
        <v>0115106976</v>
      </c>
      <c r="AN22" s="16"/>
      <c r="AO22" s="54"/>
      <c r="AP22" s="14">
        <v>1</v>
      </c>
      <c r="AQ22" s="55" t="s">
        <v>49</v>
      </c>
      <c r="AR22" s="16"/>
      <c r="AS22" s="14"/>
      <c r="AT22" s="8" t="s">
        <v>405</v>
      </c>
      <c r="AU22" s="8"/>
      <c r="AV22" s="14">
        <f t="shared" ref="AV22:AV23" si="173">D22</f>
        <v>106976</v>
      </c>
      <c r="AW22" s="14" t="s">
        <v>790</v>
      </c>
      <c r="AX22" s="14" t="s">
        <v>428</v>
      </c>
      <c r="AY22" s="14" t="s">
        <v>429</v>
      </c>
      <c r="AZ22" s="16" t="s">
        <v>338</v>
      </c>
      <c r="BA22" s="15" t="s">
        <v>155</v>
      </c>
      <c r="BB22" s="22">
        <v>1</v>
      </c>
      <c r="BC22" s="21">
        <f t="shared" ref="BC22:BC23" si="174">D22</f>
        <v>106976</v>
      </c>
      <c r="BD22" s="17" t="s">
        <v>791</v>
      </c>
      <c r="BE22" s="17" t="s">
        <v>395</v>
      </c>
      <c r="BF22" s="17" t="s">
        <v>395</v>
      </c>
      <c r="BG22" s="21" t="s">
        <v>789</v>
      </c>
      <c r="BH22" s="21" t="str">
        <f t="shared" ref="BH22:BH23" si="175">BC22&amp;"_"&amp;BB22</f>
        <v>106976_1</v>
      </c>
      <c r="BI22" s="22"/>
      <c r="BJ22" s="22" t="str">
        <f t="shared" ref="BJ22:BJ23" si="176">"10000000" &amp; D22</f>
        <v>10000000106976</v>
      </c>
      <c r="BK22" s="17" t="s">
        <v>51</v>
      </c>
      <c r="BL22" s="17" t="s">
        <v>54</v>
      </c>
      <c r="BM22" s="21" t="s">
        <v>792</v>
      </c>
      <c r="BN22" s="17" t="s">
        <v>51</v>
      </c>
      <c r="BO22" s="21" t="str">
        <f t="shared" ref="BO22:BO23" si="177">"S05S" &amp; D22</f>
        <v>S05S106976</v>
      </c>
      <c r="BP22" s="17" t="s">
        <v>793</v>
      </c>
      <c r="BQ22" s="17" t="s">
        <v>793</v>
      </c>
      <c r="BR22" s="21" t="s">
        <v>162</v>
      </c>
      <c r="BS22" s="17" t="s">
        <v>50</v>
      </c>
      <c r="BT22" s="17" t="s">
        <v>47</v>
      </c>
      <c r="BU22" s="17" t="s">
        <v>398</v>
      </c>
      <c r="BV22" s="17" t="s">
        <v>51</v>
      </c>
      <c r="BW22" s="17" t="s">
        <v>155</v>
      </c>
      <c r="BX22" s="17"/>
      <c r="BY22" s="17"/>
      <c r="BZ22" s="17" t="s">
        <v>158</v>
      </c>
      <c r="CA22" s="17" t="s">
        <v>270</v>
      </c>
      <c r="CB22" s="17" t="s">
        <v>418</v>
      </c>
      <c r="CC22" s="17" t="s">
        <v>794</v>
      </c>
      <c r="CD22" s="17" t="s">
        <v>396</v>
      </c>
      <c r="CE22" s="17" t="s">
        <v>401</v>
      </c>
      <c r="CF22" s="17" t="s">
        <v>403</v>
      </c>
      <c r="CG22" s="17" t="s">
        <v>268</v>
      </c>
      <c r="CH22" s="17" t="s">
        <v>160</v>
      </c>
      <c r="CI22" s="7">
        <v>1</v>
      </c>
      <c r="CJ22" s="7" t="str">
        <f t="shared" si="36"/>
        <v>GAS_ENQ_NO-106976</v>
      </c>
      <c r="CK22" s="8" t="s">
        <v>166</v>
      </c>
      <c r="CL22" s="8" t="s">
        <v>395</v>
      </c>
      <c r="CM22" s="8" t="s">
        <v>395</v>
      </c>
      <c r="CN22" s="7" t="s">
        <v>281</v>
      </c>
      <c r="CO22" s="7" t="str">
        <f t="shared" si="37"/>
        <v>GAS_JOB_ID-106976</v>
      </c>
      <c r="CP22" s="8"/>
      <c r="CQ22" s="7" t="str">
        <f t="shared" si="38"/>
        <v>10000106976</v>
      </c>
      <c r="CR22" s="7" t="s">
        <v>155</v>
      </c>
      <c r="CS22" s="8" t="s">
        <v>51</v>
      </c>
      <c r="CT22" s="28" t="str">
        <f t="shared" si="39"/>
        <v>GMETER106976</v>
      </c>
      <c r="CU22" s="7" t="s">
        <v>162</v>
      </c>
      <c r="CV22" s="8" t="s">
        <v>166</v>
      </c>
      <c r="CW22" s="8" t="s">
        <v>795</v>
      </c>
      <c r="CX22" s="8"/>
      <c r="CY22" s="8"/>
      <c r="CZ22" s="8" t="s">
        <v>399</v>
      </c>
      <c r="DA22" s="8" t="s">
        <v>400</v>
      </c>
      <c r="DB22" s="7" t="str">
        <f t="shared" si="40"/>
        <v>GAS_INST_ID-106976</v>
      </c>
      <c r="DC22" s="8" t="s">
        <v>162</v>
      </c>
      <c r="DD22" s="8"/>
      <c r="DE22" s="8" t="s">
        <v>51</v>
      </c>
      <c r="DF22" s="8" t="s">
        <v>265</v>
      </c>
      <c r="DG22" s="8"/>
      <c r="DH22" s="8" t="s">
        <v>402</v>
      </c>
      <c r="DI22" s="8" t="s">
        <v>404</v>
      </c>
      <c r="DJ22" s="11" t="s">
        <v>268</v>
      </c>
      <c r="DK22" s="8" t="s">
        <v>141</v>
      </c>
      <c r="DL22" s="42"/>
      <c r="DM22" s="42"/>
      <c r="DN22" s="40" t="str">
        <f t="shared" si="41"/>
        <v>DS_Pass-106976</v>
      </c>
      <c r="DO22" s="42"/>
      <c r="DP22" s="42"/>
      <c r="DQ22" s="42"/>
      <c r="DR22" s="43"/>
      <c r="DS22" s="43"/>
      <c r="DT22" s="42"/>
      <c r="DU22" s="42"/>
      <c r="DV22" s="42"/>
      <c r="DW22" s="43"/>
      <c r="DX22" s="42"/>
      <c r="DY22" s="42"/>
      <c r="DZ22" s="39" t="s">
        <v>793</v>
      </c>
      <c r="EA22" s="41"/>
      <c r="EB22" s="39"/>
      <c r="EC22" s="39"/>
      <c r="ED22" s="17"/>
      <c r="EE22" s="2"/>
      <c r="EF22" s="57"/>
    </row>
    <row r="23" spans="1:136">
      <c r="A23" s="234" t="s">
        <v>914</v>
      </c>
      <c r="B23" s="234" t="s">
        <v>896</v>
      </c>
      <c r="C23" s="234" t="s">
        <v>893</v>
      </c>
      <c r="D23" s="14">
        <f>'Run Parameters'!$B$1 + ROW()-1</f>
        <v>106977</v>
      </c>
      <c r="E23" s="16" t="s">
        <v>47</v>
      </c>
      <c r="F23" s="19" t="s">
        <v>789</v>
      </c>
      <c r="G23" s="14" t="str">
        <f t="shared" si="161"/>
        <v>Access Dtls-106977</v>
      </c>
      <c r="H23" s="16" t="s">
        <v>277</v>
      </c>
      <c r="I23" s="14" t="str">
        <f t="shared" si="19"/>
        <v>MR. Test_106977_EXCH3</v>
      </c>
      <c r="J23" s="19"/>
      <c r="K23" s="20" t="s">
        <v>434</v>
      </c>
      <c r="L23" s="14" t="str">
        <f t="shared" si="162"/>
        <v>Cust. Ref-106977</v>
      </c>
      <c r="M23" s="16" t="s">
        <v>48</v>
      </c>
      <c r="N23" s="16" t="s">
        <v>434</v>
      </c>
      <c r="O23" s="14"/>
      <c r="P23" s="14" t="str">
        <f t="shared" si="163"/>
        <v>SN-106977</v>
      </c>
      <c r="Q23" s="14" t="str">
        <f t="shared" si="164"/>
        <v>SI-106977</v>
      </c>
      <c r="R23" s="14" t="str">
        <f t="shared" si="165"/>
        <v>SE-106977</v>
      </c>
      <c r="S23" s="56" t="str">
        <f t="shared" si="166"/>
        <v>Prev_RA-106977</v>
      </c>
      <c r="T23" s="56" t="str">
        <f t="shared" si="167"/>
        <v>Prev_Comms-106977</v>
      </c>
      <c r="U23" s="18" t="s">
        <v>75</v>
      </c>
      <c r="V23" s="16" t="s">
        <v>406</v>
      </c>
      <c r="W23" s="18" t="s">
        <v>75</v>
      </c>
      <c r="X23" s="16" t="s">
        <v>401</v>
      </c>
      <c r="Y23" s="14" t="str">
        <f t="shared" si="168"/>
        <v>Forward Add-106977</v>
      </c>
      <c r="Z23" s="16" t="s">
        <v>406</v>
      </c>
      <c r="AA23" s="142" t="str">
        <f>'Run Parameters'!$B$2</f>
        <v>2017-06-26 08:00</v>
      </c>
      <c r="AB23" s="238" t="str">
        <f>'Run Parameters'!B$3</f>
        <v>2017-06-26 18:00</v>
      </c>
      <c r="AC23" s="27">
        <f>('Run Parameters'!$B$2) - 7</f>
        <v>42905.333333333336</v>
      </c>
      <c r="AD23" s="18" t="s">
        <v>75</v>
      </c>
      <c r="AE23" s="19" t="str">
        <f t="shared" si="169"/>
        <v>LAST_METER-106977</v>
      </c>
      <c r="AF23" s="142" t="str">
        <f>'Run Parameters'!$B$2</f>
        <v>2017-06-26 08:00</v>
      </c>
      <c r="AG23" s="14" t="str">
        <f>'Run Parameters'!B$4</f>
        <v xml:space="preserve">AUTOTEST </v>
      </c>
      <c r="AH23" s="56" t="str">
        <f t="shared" si="170"/>
        <v>Site_Contact_106977</v>
      </c>
      <c r="AI23" s="142" t="str">
        <f>'Run Parameters'!B$2</f>
        <v>2017-06-26 08:00</v>
      </c>
      <c r="AJ23" s="238" t="str">
        <f>'Run Parameters'!B$3</f>
        <v>2017-06-26 18:00</v>
      </c>
      <c r="AK23" s="14" t="s">
        <v>401</v>
      </c>
      <c r="AL23" s="56" t="str">
        <f t="shared" si="171"/>
        <v>01159106977</v>
      </c>
      <c r="AM23" s="14" t="str">
        <f t="shared" si="172"/>
        <v>0115106977</v>
      </c>
      <c r="AN23" s="16"/>
      <c r="AO23" s="54"/>
      <c r="AP23" s="14">
        <v>1</v>
      </c>
      <c r="AQ23" s="55" t="s">
        <v>49</v>
      </c>
      <c r="AR23" s="16"/>
      <c r="AS23" s="14"/>
      <c r="AT23" s="8" t="s">
        <v>405</v>
      </c>
      <c r="AU23" s="8"/>
      <c r="AV23" s="14">
        <f t="shared" si="173"/>
        <v>106977</v>
      </c>
      <c r="AW23" s="14" t="s">
        <v>790</v>
      </c>
      <c r="AX23" s="14" t="s">
        <v>428</v>
      </c>
      <c r="AY23" s="14" t="s">
        <v>429</v>
      </c>
      <c r="AZ23" s="16" t="s">
        <v>338</v>
      </c>
      <c r="BA23" s="15" t="s">
        <v>155</v>
      </c>
      <c r="BB23" s="22">
        <v>1</v>
      </c>
      <c r="BC23" s="21">
        <f t="shared" si="174"/>
        <v>106977</v>
      </c>
      <c r="BD23" s="17" t="s">
        <v>791</v>
      </c>
      <c r="BE23" s="17" t="s">
        <v>395</v>
      </c>
      <c r="BF23" s="17" t="s">
        <v>395</v>
      </c>
      <c r="BG23" s="21" t="s">
        <v>789</v>
      </c>
      <c r="BH23" s="21" t="str">
        <f t="shared" si="175"/>
        <v>106977_1</v>
      </c>
      <c r="BI23" s="22"/>
      <c r="BJ23" s="22" t="str">
        <f t="shared" si="176"/>
        <v>10000000106977</v>
      </c>
      <c r="BK23" s="17" t="s">
        <v>51</v>
      </c>
      <c r="BL23" s="17" t="s">
        <v>54</v>
      </c>
      <c r="BM23" s="21" t="s">
        <v>792</v>
      </c>
      <c r="BN23" s="17" t="s">
        <v>51</v>
      </c>
      <c r="BO23" s="21" t="str">
        <f t="shared" si="177"/>
        <v>S05S106977</v>
      </c>
      <c r="BP23" s="17" t="s">
        <v>793</v>
      </c>
      <c r="BQ23" s="17" t="s">
        <v>793</v>
      </c>
      <c r="BR23" s="21" t="s">
        <v>162</v>
      </c>
      <c r="BS23" s="17" t="s">
        <v>50</v>
      </c>
      <c r="BT23" s="17" t="s">
        <v>47</v>
      </c>
      <c r="BU23" s="17" t="s">
        <v>398</v>
      </c>
      <c r="BV23" s="17" t="s">
        <v>51</v>
      </c>
      <c r="BW23" s="17" t="s">
        <v>155</v>
      </c>
      <c r="BX23" s="17"/>
      <c r="BY23" s="17"/>
      <c r="BZ23" s="17" t="s">
        <v>158</v>
      </c>
      <c r="CA23" s="17" t="s">
        <v>270</v>
      </c>
      <c r="CB23" s="17" t="s">
        <v>418</v>
      </c>
      <c r="CC23" s="17" t="s">
        <v>794</v>
      </c>
      <c r="CD23" s="17" t="s">
        <v>396</v>
      </c>
      <c r="CE23" s="17" t="s">
        <v>401</v>
      </c>
      <c r="CF23" s="17" t="s">
        <v>403</v>
      </c>
      <c r="CG23" s="17" t="s">
        <v>268</v>
      </c>
      <c r="CH23" s="17" t="s">
        <v>160</v>
      </c>
      <c r="CI23" s="7">
        <v>1</v>
      </c>
      <c r="CJ23" s="7" t="str">
        <f t="shared" si="36"/>
        <v>GAS_ENQ_NO-106977</v>
      </c>
      <c r="CK23" s="8" t="s">
        <v>166</v>
      </c>
      <c r="CL23" s="8" t="s">
        <v>395</v>
      </c>
      <c r="CM23" s="8" t="s">
        <v>395</v>
      </c>
      <c r="CN23" s="7" t="s">
        <v>281</v>
      </c>
      <c r="CO23" s="7" t="str">
        <f t="shared" si="37"/>
        <v>GAS_JOB_ID-106977</v>
      </c>
      <c r="CP23" s="8"/>
      <c r="CQ23" s="7" t="str">
        <f t="shared" si="38"/>
        <v>10000106977</v>
      </c>
      <c r="CR23" s="7" t="s">
        <v>155</v>
      </c>
      <c r="CS23" s="8" t="s">
        <v>51</v>
      </c>
      <c r="CT23" s="28" t="str">
        <f t="shared" si="39"/>
        <v>GMETER106977</v>
      </c>
      <c r="CU23" s="7" t="s">
        <v>162</v>
      </c>
      <c r="CV23" s="8" t="s">
        <v>166</v>
      </c>
      <c r="CW23" s="8" t="s">
        <v>795</v>
      </c>
      <c r="CX23" s="8"/>
      <c r="CY23" s="8"/>
      <c r="CZ23" s="8" t="s">
        <v>399</v>
      </c>
      <c r="DA23" s="8" t="s">
        <v>400</v>
      </c>
      <c r="DB23" s="7" t="str">
        <f t="shared" si="40"/>
        <v>GAS_INST_ID-106977</v>
      </c>
      <c r="DC23" s="8" t="s">
        <v>162</v>
      </c>
      <c r="DD23" s="8"/>
      <c r="DE23" s="8" t="s">
        <v>51</v>
      </c>
      <c r="DF23" s="8" t="s">
        <v>265</v>
      </c>
      <c r="DG23" s="8"/>
      <c r="DH23" s="8" t="s">
        <v>402</v>
      </c>
      <c r="DI23" s="8" t="s">
        <v>404</v>
      </c>
      <c r="DJ23" s="11" t="s">
        <v>268</v>
      </c>
      <c r="DK23" s="8" t="s">
        <v>141</v>
      </c>
      <c r="DL23" s="42"/>
      <c r="DM23" s="42"/>
      <c r="DN23" s="40" t="str">
        <f t="shared" si="41"/>
        <v>DS_Pass-106977</v>
      </c>
      <c r="DO23" s="42"/>
      <c r="DP23" s="42"/>
      <c r="DQ23" s="42"/>
      <c r="DR23" s="43"/>
      <c r="DS23" s="43"/>
      <c r="DT23" s="42"/>
      <c r="DU23" s="42"/>
      <c r="DV23" s="42"/>
      <c r="DW23" s="43"/>
      <c r="DX23" s="42"/>
      <c r="DY23" s="42"/>
      <c r="DZ23" s="39" t="s">
        <v>793</v>
      </c>
      <c r="EA23" s="41"/>
      <c r="EB23" s="39"/>
      <c r="EC23" s="39"/>
      <c r="ED23" s="17"/>
      <c r="EE23" s="2"/>
      <c r="EF23" s="57"/>
    </row>
    <row r="24" spans="1:136">
      <c r="A24" s="234" t="s">
        <v>915</v>
      </c>
      <c r="B24" s="234" t="s">
        <v>927</v>
      </c>
      <c r="C24" s="234" t="s">
        <v>893</v>
      </c>
      <c r="D24" s="14">
        <f>'Run Parameters'!$B$1 + ROW()-1</f>
        <v>106978</v>
      </c>
      <c r="E24" s="16" t="s">
        <v>47</v>
      </c>
      <c r="F24" s="19" t="s">
        <v>789</v>
      </c>
      <c r="G24" s="14" t="str">
        <f t="shared" ref="G24:G25" si="178">("Access Dtls-" &amp; D24)</f>
        <v>Access Dtls-106978</v>
      </c>
      <c r="H24" s="16" t="s">
        <v>277</v>
      </c>
      <c r="I24" s="14" t="str">
        <f t="shared" si="19"/>
        <v>MR. Test_106978_EXCH3</v>
      </c>
      <c r="J24" s="19"/>
      <c r="K24" s="20" t="s">
        <v>434</v>
      </c>
      <c r="L24" s="14" t="str">
        <f t="shared" ref="L24:L25" si="179">("Cust. Ref-" &amp; D24)</f>
        <v>Cust. Ref-106978</v>
      </c>
      <c r="M24" s="16" t="s">
        <v>48</v>
      </c>
      <c r="N24" s="16" t="s">
        <v>434</v>
      </c>
      <c r="O24" s="14"/>
      <c r="P24" s="14" t="str">
        <f t="shared" ref="P24:P25" si="180">("SN-" &amp; D24)</f>
        <v>SN-106978</v>
      </c>
      <c r="Q24" s="14" t="str">
        <f t="shared" ref="Q24:Q25" si="181">("SI-" &amp; D24)</f>
        <v>SI-106978</v>
      </c>
      <c r="R24" s="14" t="str">
        <f t="shared" ref="R24:R25" si="182">("SE-" &amp; D24)</f>
        <v>SE-106978</v>
      </c>
      <c r="S24" s="56" t="str">
        <f t="shared" ref="S24:S25" si="183">("Prev_RA-" &amp; D24)</f>
        <v>Prev_RA-106978</v>
      </c>
      <c r="T24" s="56" t="str">
        <f t="shared" ref="T24:T25" si="184">("Prev_Comms-" &amp; D24)</f>
        <v>Prev_Comms-106978</v>
      </c>
      <c r="U24" s="18" t="s">
        <v>75</v>
      </c>
      <c r="V24" s="16" t="s">
        <v>406</v>
      </c>
      <c r="W24" s="18" t="s">
        <v>75</v>
      </c>
      <c r="X24" s="16" t="s">
        <v>401</v>
      </c>
      <c r="Y24" s="14" t="str">
        <f t="shared" ref="Y24:Y25" si="185">("Forward Add-" &amp; D24)</f>
        <v>Forward Add-106978</v>
      </c>
      <c r="Z24" s="16" t="s">
        <v>406</v>
      </c>
      <c r="AA24" s="142" t="str">
        <f>'Run Parameters'!$B$2</f>
        <v>2017-06-26 08:00</v>
      </c>
      <c r="AB24" s="238" t="str">
        <f>'Run Parameters'!B$3</f>
        <v>2017-06-26 18:00</v>
      </c>
      <c r="AC24" s="27">
        <f>('Run Parameters'!$B$2) - 7</f>
        <v>42905.333333333336</v>
      </c>
      <c r="AD24" s="18" t="s">
        <v>75</v>
      </c>
      <c r="AE24" s="19" t="str">
        <f t="shared" ref="AE24:AE25" si="186">("LAST_METER-" &amp; D24)</f>
        <v>LAST_METER-106978</v>
      </c>
      <c r="AF24" s="142" t="str">
        <f>'Run Parameters'!$B$2</f>
        <v>2017-06-26 08:00</v>
      </c>
      <c r="AG24" s="14" t="str">
        <f>'Run Parameters'!B$4</f>
        <v xml:space="preserve">AUTOTEST </v>
      </c>
      <c r="AH24" s="56" t="str">
        <f t="shared" ref="AH24:AH25" si="187">("Site_Contact_" &amp; D24)</f>
        <v>Site_Contact_106978</v>
      </c>
      <c r="AI24" s="142" t="str">
        <f>'Run Parameters'!B$2</f>
        <v>2017-06-26 08:00</v>
      </c>
      <c r="AJ24" s="238" t="str">
        <f>'Run Parameters'!B$3</f>
        <v>2017-06-26 18:00</v>
      </c>
      <c r="AK24" s="14" t="s">
        <v>401</v>
      </c>
      <c r="AL24" s="56" t="str">
        <f t="shared" ref="AL24:AL25" si="188">"01159" &amp; D24</f>
        <v>01159106978</v>
      </c>
      <c r="AM24" s="14" t="str">
        <f t="shared" ref="AM24:AM25" si="189">("0115" &amp; D24)</f>
        <v>0115106978</v>
      </c>
      <c r="AN24" s="16"/>
      <c r="AO24" s="54"/>
      <c r="AP24" s="14">
        <v>1</v>
      </c>
      <c r="AQ24" s="55" t="s">
        <v>49</v>
      </c>
      <c r="AR24" s="16"/>
      <c r="AS24" s="14"/>
      <c r="AT24" s="8" t="s">
        <v>405</v>
      </c>
      <c r="AU24" s="8"/>
      <c r="AV24" s="14">
        <f t="shared" ref="AV24:AV25" si="190">D24</f>
        <v>106978</v>
      </c>
      <c r="AW24" s="14" t="s">
        <v>790</v>
      </c>
      <c r="AX24" s="14" t="s">
        <v>428</v>
      </c>
      <c r="AY24" s="14" t="s">
        <v>429</v>
      </c>
      <c r="AZ24" s="16" t="s">
        <v>338</v>
      </c>
      <c r="BA24" s="15" t="s">
        <v>155</v>
      </c>
      <c r="BB24" s="22">
        <v>1</v>
      </c>
      <c r="BC24" s="21">
        <f t="shared" ref="BC24:BC25" si="191">D24</f>
        <v>106978</v>
      </c>
      <c r="BD24" s="17" t="s">
        <v>791</v>
      </c>
      <c r="BE24" s="17" t="s">
        <v>395</v>
      </c>
      <c r="BF24" s="17" t="s">
        <v>395</v>
      </c>
      <c r="BG24" s="21" t="s">
        <v>789</v>
      </c>
      <c r="BH24" s="21" t="str">
        <f t="shared" ref="BH24:BH25" si="192">BC24&amp;"_"&amp;BB24</f>
        <v>106978_1</v>
      </c>
      <c r="BI24" s="22"/>
      <c r="BJ24" s="22" t="str">
        <f t="shared" ref="BJ24:BJ25" si="193">"10000000" &amp; D24</f>
        <v>10000000106978</v>
      </c>
      <c r="BK24" s="17" t="s">
        <v>51</v>
      </c>
      <c r="BL24" s="17" t="s">
        <v>54</v>
      </c>
      <c r="BM24" s="21" t="s">
        <v>792</v>
      </c>
      <c r="BN24" s="17" t="s">
        <v>51</v>
      </c>
      <c r="BO24" s="21" t="str">
        <f t="shared" ref="BO24:BO25" si="194">"S05S" &amp; D24</f>
        <v>S05S106978</v>
      </c>
      <c r="BP24" s="17" t="s">
        <v>793</v>
      </c>
      <c r="BQ24" s="17" t="s">
        <v>793</v>
      </c>
      <c r="BR24" s="21" t="s">
        <v>162</v>
      </c>
      <c r="BS24" s="17" t="s">
        <v>50</v>
      </c>
      <c r="BT24" s="17" t="s">
        <v>47</v>
      </c>
      <c r="BU24" s="17" t="s">
        <v>398</v>
      </c>
      <c r="BV24" s="17" t="s">
        <v>51</v>
      </c>
      <c r="BW24" s="17" t="s">
        <v>155</v>
      </c>
      <c r="BX24" s="17"/>
      <c r="BY24" s="17"/>
      <c r="BZ24" s="17" t="s">
        <v>158</v>
      </c>
      <c r="CA24" s="17" t="s">
        <v>270</v>
      </c>
      <c r="CB24" s="17" t="s">
        <v>418</v>
      </c>
      <c r="CC24" s="17" t="s">
        <v>794</v>
      </c>
      <c r="CD24" s="17" t="s">
        <v>396</v>
      </c>
      <c r="CE24" s="17" t="s">
        <v>401</v>
      </c>
      <c r="CF24" s="17" t="s">
        <v>403</v>
      </c>
      <c r="CG24" s="17" t="s">
        <v>268</v>
      </c>
      <c r="CH24" s="17" t="s">
        <v>160</v>
      </c>
      <c r="CI24" s="7">
        <v>1</v>
      </c>
      <c r="CJ24" s="7" t="str">
        <f t="shared" si="36"/>
        <v>GAS_ENQ_NO-106978</v>
      </c>
      <c r="CK24" s="8" t="s">
        <v>166</v>
      </c>
      <c r="CL24" s="8" t="s">
        <v>395</v>
      </c>
      <c r="CM24" s="8" t="s">
        <v>395</v>
      </c>
      <c r="CN24" s="7" t="s">
        <v>281</v>
      </c>
      <c r="CO24" s="7" t="str">
        <f t="shared" si="37"/>
        <v>GAS_JOB_ID-106978</v>
      </c>
      <c r="CP24" s="8"/>
      <c r="CQ24" s="7" t="str">
        <f t="shared" si="38"/>
        <v>10000106978</v>
      </c>
      <c r="CR24" s="7" t="s">
        <v>155</v>
      </c>
      <c r="CS24" s="8" t="s">
        <v>51</v>
      </c>
      <c r="CT24" s="28" t="str">
        <f t="shared" si="39"/>
        <v>GMETER106978</v>
      </c>
      <c r="CU24" s="7" t="s">
        <v>162</v>
      </c>
      <c r="CV24" s="8" t="s">
        <v>166</v>
      </c>
      <c r="CW24" s="8" t="s">
        <v>795</v>
      </c>
      <c r="CX24" s="8"/>
      <c r="CY24" s="8"/>
      <c r="CZ24" s="8" t="s">
        <v>399</v>
      </c>
      <c r="DA24" s="8" t="s">
        <v>400</v>
      </c>
      <c r="DB24" s="7" t="str">
        <f t="shared" si="40"/>
        <v>GAS_INST_ID-106978</v>
      </c>
      <c r="DC24" s="8" t="s">
        <v>162</v>
      </c>
      <c r="DD24" s="8"/>
      <c r="DE24" s="8" t="s">
        <v>51</v>
      </c>
      <c r="DF24" s="8" t="s">
        <v>265</v>
      </c>
      <c r="DG24" s="8"/>
      <c r="DH24" s="8" t="s">
        <v>402</v>
      </c>
      <c r="DI24" s="8" t="s">
        <v>404</v>
      </c>
      <c r="DJ24" s="11" t="s">
        <v>268</v>
      </c>
      <c r="DK24" s="8" t="s">
        <v>141</v>
      </c>
      <c r="DL24" s="42"/>
      <c r="DM24" s="42"/>
      <c r="DN24" s="40" t="str">
        <f t="shared" si="41"/>
        <v>DS_Pass-106978</v>
      </c>
      <c r="DO24" s="42"/>
      <c r="DP24" s="42"/>
      <c r="DQ24" s="42"/>
      <c r="DR24" s="43"/>
      <c r="DS24" s="43"/>
      <c r="DT24" s="42"/>
      <c r="DU24" s="42"/>
      <c r="DV24" s="42"/>
      <c r="DW24" s="43"/>
      <c r="DX24" s="42"/>
      <c r="DY24" s="42"/>
      <c r="DZ24" s="39" t="s">
        <v>793</v>
      </c>
      <c r="EA24" s="41"/>
      <c r="EB24" s="39"/>
      <c r="EC24" s="39"/>
      <c r="ED24" s="17"/>
      <c r="EE24" s="2"/>
      <c r="EF24" s="57"/>
    </row>
    <row r="25" spans="1:136">
      <c r="A25" s="234" t="s">
        <v>916</v>
      </c>
      <c r="B25" s="234" t="s">
        <v>896</v>
      </c>
      <c r="C25" s="234" t="s">
        <v>893</v>
      </c>
      <c r="D25" s="14">
        <f>'Run Parameters'!$B$1 + ROW()-1</f>
        <v>106979</v>
      </c>
      <c r="E25" s="16" t="s">
        <v>47</v>
      </c>
      <c r="F25" s="19" t="s">
        <v>789</v>
      </c>
      <c r="G25" s="14" t="str">
        <f t="shared" si="178"/>
        <v>Access Dtls-106979</v>
      </c>
      <c r="H25" s="16" t="s">
        <v>277</v>
      </c>
      <c r="I25" s="14" t="str">
        <f t="shared" si="19"/>
        <v>MR. Test_106979_EXCH3</v>
      </c>
      <c r="J25" s="19"/>
      <c r="K25" s="20" t="s">
        <v>434</v>
      </c>
      <c r="L25" s="14" t="str">
        <f t="shared" si="179"/>
        <v>Cust. Ref-106979</v>
      </c>
      <c r="M25" s="16" t="s">
        <v>48</v>
      </c>
      <c r="N25" s="16" t="s">
        <v>434</v>
      </c>
      <c r="O25" s="14"/>
      <c r="P25" s="14" t="str">
        <f t="shared" si="180"/>
        <v>SN-106979</v>
      </c>
      <c r="Q25" s="14" t="str">
        <f t="shared" si="181"/>
        <v>SI-106979</v>
      </c>
      <c r="R25" s="14" t="str">
        <f t="shared" si="182"/>
        <v>SE-106979</v>
      </c>
      <c r="S25" s="56" t="str">
        <f t="shared" si="183"/>
        <v>Prev_RA-106979</v>
      </c>
      <c r="T25" s="56" t="str">
        <f t="shared" si="184"/>
        <v>Prev_Comms-106979</v>
      </c>
      <c r="U25" s="18" t="s">
        <v>75</v>
      </c>
      <c r="V25" s="16" t="s">
        <v>406</v>
      </c>
      <c r="W25" s="18" t="s">
        <v>75</v>
      </c>
      <c r="X25" s="16" t="s">
        <v>401</v>
      </c>
      <c r="Y25" s="14" t="str">
        <f t="shared" si="185"/>
        <v>Forward Add-106979</v>
      </c>
      <c r="Z25" s="16" t="s">
        <v>406</v>
      </c>
      <c r="AA25" s="142" t="str">
        <f>'Run Parameters'!$B$2</f>
        <v>2017-06-26 08:00</v>
      </c>
      <c r="AB25" s="238" t="str">
        <f>'Run Parameters'!B$3</f>
        <v>2017-06-26 18:00</v>
      </c>
      <c r="AC25" s="27">
        <f>('Run Parameters'!$B$2) - 7</f>
        <v>42905.333333333336</v>
      </c>
      <c r="AD25" s="18" t="s">
        <v>75</v>
      </c>
      <c r="AE25" s="19" t="str">
        <f t="shared" si="186"/>
        <v>LAST_METER-106979</v>
      </c>
      <c r="AF25" s="142" t="str">
        <f>'Run Parameters'!$B$2</f>
        <v>2017-06-26 08:00</v>
      </c>
      <c r="AG25" s="14" t="str">
        <f>'Run Parameters'!B$4</f>
        <v xml:space="preserve">AUTOTEST </v>
      </c>
      <c r="AH25" s="56" t="str">
        <f t="shared" si="187"/>
        <v>Site_Contact_106979</v>
      </c>
      <c r="AI25" s="142" t="str">
        <f>'Run Parameters'!B$2</f>
        <v>2017-06-26 08:00</v>
      </c>
      <c r="AJ25" s="238" t="str">
        <f>'Run Parameters'!B$3</f>
        <v>2017-06-26 18:00</v>
      </c>
      <c r="AK25" s="14" t="s">
        <v>401</v>
      </c>
      <c r="AL25" s="56" t="str">
        <f t="shared" si="188"/>
        <v>01159106979</v>
      </c>
      <c r="AM25" s="14" t="str">
        <f t="shared" si="189"/>
        <v>0115106979</v>
      </c>
      <c r="AN25" s="16"/>
      <c r="AO25" s="54"/>
      <c r="AP25" s="14">
        <v>1</v>
      </c>
      <c r="AQ25" s="55" t="s">
        <v>49</v>
      </c>
      <c r="AR25" s="16"/>
      <c r="AS25" s="14"/>
      <c r="AT25" s="8" t="s">
        <v>405</v>
      </c>
      <c r="AU25" s="8"/>
      <c r="AV25" s="14">
        <f t="shared" si="190"/>
        <v>106979</v>
      </c>
      <c r="AW25" s="14" t="s">
        <v>790</v>
      </c>
      <c r="AX25" s="14" t="s">
        <v>428</v>
      </c>
      <c r="AY25" s="14" t="s">
        <v>429</v>
      </c>
      <c r="AZ25" s="16" t="s">
        <v>338</v>
      </c>
      <c r="BA25" s="15" t="s">
        <v>155</v>
      </c>
      <c r="BB25" s="22">
        <v>1</v>
      </c>
      <c r="BC25" s="21">
        <f t="shared" si="191"/>
        <v>106979</v>
      </c>
      <c r="BD25" s="17" t="s">
        <v>791</v>
      </c>
      <c r="BE25" s="17" t="s">
        <v>395</v>
      </c>
      <c r="BF25" s="17" t="s">
        <v>395</v>
      </c>
      <c r="BG25" s="21" t="s">
        <v>789</v>
      </c>
      <c r="BH25" s="21" t="str">
        <f t="shared" si="192"/>
        <v>106979_1</v>
      </c>
      <c r="BI25" s="22"/>
      <c r="BJ25" s="22" t="str">
        <f t="shared" si="193"/>
        <v>10000000106979</v>
      </c>
      <c r="BK25" s="17" t="s">
        <v>51</v>
      </c>
      <c r="BL25" s="17" t="s">
        <v>54</v>
      </c>
      <c r="BM25" s="21" t="s">
        <v>792</v>
      </c>
      <c r="BN25" s="17" t="s">
        <v>51</v>
      </c>
      <c r="BO25" s="21" t="str">
        <f t="shared" si="194"/>
        <v>S05S106979</v>
      </c>
      <c r="BP25" s="17" t="s">
        <v>793</v>
      </c>
      <c r="BQ25" s="17" t="s">
        <v>793</v>
      </c>
      <c r="BR25" s="21" t="s">
        <v>162</v>
      </c>
      <c r="BS25" s="17" t="s">
        <v>50</v>
      </c>
      <c r="BT25" s="17" t="s">
        <v>47</v>
      </c>
      <c r="BU25" s="17" t="s">
        <v>398</v>
      </c>
      <c r="BV25" s="17" t="s">
        <v>51</v>
      </c>
      <c r="BW25" s="17" t="s">
        <v>155</v>
      </c>
      <c r="BX25" s="17"/>
      <c r="BY25" s="17"/>
      <c r="BZ25" s="17" t="s">
        <v>158</v>
      </c>
      <c r="CA25" s="17" t="s">
        <v>270</v>
      </c>
      <c r="CB25" s="17" t="s">
        <v>418</v>
      </c>
      <c r="CC25" s="17" t="s">
        <v>794</v>
      </c>
      <c r="CD25" s="17" t="s">
        <v>396</v>
      </c>
      <c r="CE25" s="17" t="s">
        <v>401</v>
      </c>
      <c r="CF25" s="17" t="s">
        <v>403</v>
      </c>
      <c r="CG25" s="17" t="s">
        <v>268</v>
      </c>
      <c r="CH25" s="17" t="s">
        <v>160</v>
      </c>
      <c r="CI25" s="7">
        <v>1</v>
      </c>
      <c r="CJ25" s="7" t="str">
        <f t="shared" si="36"/>
        <v>GAS_ENQ_NO-106979</v>
      </c>
      <c r="CK25" s="8" t="s">
        <v>166</v>
      </c>
      <c r="CL25" s="8" t="s">
        <v>395</v>
      </c>
      <c r="CM25" s="8" t="s">
        <v>395</v>
      </c>
      <c r="CN25" s="7" t="s">
        <v>281</v>
      </c>
      <c r="CO25" s="7" t="str">
        <f t="shared" si="37"/>
        <v>GAS_JOB_ID-106979</v>
      </c>
      <c r="CP25" s="8"/>
      <c r="CQ25" s="7" t="str">
        <f t="shared" si="38"/>
        <v>10000106979</v>
      </c>
      <c r="CR25" s="7" t="s">
        <v>155</v>
      </c>
      <c r="CS25" s="8" t="s">
        <v>51</v>
      </c>
      <c r="CT25" s="28" t="str">
        <f t="shared" si="39"/>
        <v>GMETER106979</v>
      </c>
      <c r="CU25" s="7" t="s">
        <v>162</v>
      </c>
      <c r="CV25" s="8" t="s">
        <v>166</v>
      </c>
      <c r="CW25" s="8" t="s">
        <v>795</v>
      </c>
      <c r="CX25" s="8"/>
      <c r="CY25" s="8"/>
      <c r="CZ25" s="8" t="s">
        <v>399</v>
      </c>
      <c r="DA25" s="8" t="s">
        <v>400</v>
      </c>
      <c r="DB25" s="7" t="str">
        <f t="shared" si="40"/>
        <v>GAS_INST_ID-106979</v>
      </c>
      <c r="DC25" s="8" t="s">
        <v>162</v>
      </c>
      <c r="DD25" s="8"/>
      <c r="DE25" s="8" t="s">
        <v>51</v>
      </c>
      <c r="DF25" s="8" t="s">
        <v>265</v>
      </c>
      <c r="DG25" s="8"/>
      <c r="DH25" s="8" t="s">
        <v>402</v>
      </c>
      <c r="DI25" s="8" t="s">
        <v>404</v>
      </c>
      <c r="DJ25" s="11" t="s">
        <v>268</v>
      </c>
      <c r="DK25" s="8" t="s">
        <v>141</v>
      </c>
      <c r="DL25" s="42"/>
      <c r="DM25" s="42"/>
      <c r="DN25" s="40" t="str">
        <f t="shared" si="41"/>
        <v>DS_Pass-106979</v>
      </c>
      <c r="DO25" s="42"/>
      <c r="DP25" s="42"/>
      <c r="DQ25" s="42"/>
      <c r="DR25" s="43"/>
      <c r="DS25" s="43"/>
      <c r="DT25" s="42"/>
      <c r="DU25" s="42"/>
      <c r="DV25" s="42"/>
      <c r="DW25" s="43"/>
      <c r="DX25" s="42"/>
      <c r="DY25" s="42"/>
      <c r="DZ25" s="39" t="s">
        <v>793</v>
      </c>
      <c r="EA25" s="41"/>
      <c r="EB25" s="39"/>
      <c r="EC25" s="39"/>
      <c r="ED25" s="17"/>
      <c r="EE25" s="2"/>
      <c r="EF25" s="57"/>
    </row>
    <row r="26" spans="1:136">
      <c r="A26" s="234" t="s">
        <v>917</v>
      </c>
      <c r="B26" s="234" t="s">
        <v>927</v>
      </c>
      <c r="C26" s="234" t="s">
        <v>893</v>
      </c>
      <c r="D26" s="14">
        <f>'Run Parameters'!$B$1 + ROW()-1</f>
        <v>106980</v>
      </c>
      <c r="E26" s="16" t="s">
        <v>47</v>
      </c>
      <c r="F26" s="19" t="s">
        <v>789</v>
      </c>
      <c r="G26" s="14" t="str">
        <f t="shared" ref="G26:G27" si="195">("Access Dtls-" &amp; D26)</f>
        <v>Access Dtls-106980</v>
      </c>
      <c r="H26" s="16" t="s">
        <v>277</v>
      </c>
      <c r="I26" s="14" t="str">
        <f t="shared" si="19"/>
        <v>MR. Test_106980_EXCH3</v>
      </c>
      <c r="J26" s="19"/>
      <c r="K26" s="20" t="s">
        <v>434</v>
      </c>
      <c r="L26" s="14" t="str">
        <f t="shared" ref="L26:L27" si="196">("Cust. Ref-" &amp; D26)</f>
        <v>Cust. Ref-106980</v>
      </c>
      <c r="M26" s="16" t="s">
        <v>48</v>
      </c>
      <c r="N26" s="16" t="s">
        <v>434</v>
      </c>
      <c r="O26" s="14"/>
      <c r="P26" s="14" t="str">
        <f t="shared" ref="P26:P27" si="197">("SN-" &amp; D26)</f>
        <v>SN-106980</v>
      </c>
      <c r="Q26" s="14" t="str">
        <f t="shared" ref="Q26:Q27" si="198">("SI-" &amp; D26)</f>
        <v>SI-106980</v>
      </c>
      <c r="R26" s="14" t="str">
        <f t="shared" ref="R26:R27" si="199">("SE-" &amp; D26)</f>
        <v>SE-106980</v>
      </c>
      <c r="S26" s="56" t="str">
        <f t="shared" ref="S26:S27" si="200">("Prev_RA-" &amp; D26)</f>
        <v>Prev_RA-106980</v>
      </c>
      <c r="T26" s="56" t="str">
        <f t="shared" ref="T26:T27" si="201">("Prev_Comms-" &amp; D26)</f>
        <v>Prev_Comms-106980</v>
      </c>
      <c r="U26" s="18" t="s">
        <v>75</v>
      </c>
      <c r="V26" s="16" t="s">
        <v>406</v>
      </c>
      <c r="W26" s="18" t="s">
        <v>75</v>
      </c>
      <c r="X26" s="16" t="s">
        <v>401</v>
      </c>
      <c r="Y26" s="14" t="str">
        <f t="shared" ref="Y26:Y27" si="202">("Forward Add-" &amp; D26)</f>
        <v>Forward Add-106980</v>
      </c>
      <c r="Z26" s="16" t="s">
        <v>406</v>
      </c>
      <c r="AA26" s="142" t="str">
        <f>'Run Parameters'!$B$2</f>
        <v>2017-06-26 08:00</v>
      </c>
      <c r="AB26" s="238" t="str">
        <f>'Run Parameters'!B$3</f>
        <v>2017-06-26 18:00</v>
      </c>
      <c r="AC26" s="27">
        <f>('Run Parameters'!$B$2) - 7</f>
        <v>42905.333333333336</v>
      </c>
      <c r="AD26" s="18" t="s">
        <v>75</v>
      </c>
      <c r="AE26" s="19" t="str">
        <f t="shared" ref="AE26:AE27" si="203">("LAST_METER-" &amp; D26)</f>
        <v>LAST_METER-106980</v>
      </c>
      <c r="AF26" s="142" t="str">
        <f>'Run Parameters'!$B$2</f>
        <v>2017-06-26 08:00</v>
      </c>
      <c r="AG26" s="14" t="str">
        <f>'Run Parameters'!B$4</f>
        <v xml:space="preserve">AUTOTEST </v>
      </c>
      <c r="AH26" s="56" t="str">
        <f t="shared" ref="AH26:AH27" si="204">("Site_Contact_" &amp; D26)</f>
        <v>Site_Contact_106980</v>
      </c>
      <c r="AI26" s="142" t="str">
        <f>'Run Parameters'!B$2</f>
        <v>2017-06-26 08:00</v>
      </c>
      <c r="AJ26" s="238" t="str">
        <f>'Run Parameters'!B$3</f>
        <v>2017-06-26 18:00</v>
      </c>
      <c r="AK26" s="14" t="s">
        <v>401</v>
      </c>
      <c r="AL26" s="56" t="str">
        <f t="shared" ref="AL26:AL27" si="205">"01159" &amp; D26</f>
        <v>01159106980</v>
      </c>
      <c r="AM26" s="14" t="str">
        <f t="shared" ref="AM26:AM27" si="206">("0115" &amp; D26)</f>
        <v>0115106980</v>
      </c>
      <c r="AN26" s="16"/>
      <c r="AO26" s="54"/>
      <c r="AP26" s="14">
        <v>1</v>
      </c>
      <c r="AQ26" s="55" t="s">
        <v>49</v>
      </c>
      <c r="AR26" s="16"/>
      <c r="AS26" s="14"/>
      <c r="AT26" s="8" t="s">
        <v>405</v>
      </c>
      <c r="AU26" s="8"/>
      <c r="AV26" s="14">
        <f t="shared" ref="AV26:AV27" si="207">D26</f>
        <v>106980</v>
      </c>
      <c r="AW26" s="14" t="s">
        <v>790</v>
      </c>
      <c r="AX26" s="14" t="s">
        <v>428</v>
      </c>
      <c r="AY26" s="14" t="s">
        <v>429</v>
      </c>
      <c r="AZ26" s="16" t="s">
        <v>338</v>
      </c>
      <c r="BA26" s="15" t="s">
        <v>155</v>
      </c>
      <c r="BB26" s="22">
        <v>1</v>
      </c>
      <c r="BC26" s="21">
        <f t="shared" ref="BC26:BC27" si="208">D26</f>
        <v>106980</v>
      </c>
      <c r="BD26" s="17" t="s">
        <v>791</v>
      </c>
      <c r="BE26" s="17" t="s">
        <v>395</v>
      </c>
      <c r="BF26" s="17" t="s">
        <v>395</v>
      </c>
      <c r="BG26" s="21" t="s">
        <v>789</v>
      </c>
      <c r="BH26" s="21" t="str">
        <f t="shared" ref="BH26:BH27" si="209">BC26&amp;"_"&amp;BB26</f>
        <v>106980_1</v>
      </c>
      <c r="BI26" s="22"/>
      <c r="BJ26" s="22" t="str">
        <f t="shared" ref="BJ26:BJ27" si="210">"10000000" &amp; D26</f>
        <v>10000000106980</v>
      </c>
      <c r="BK26" s="17" t="s">
        <v>51</v>
      </c>
      <c r="BL26" s="17" t="s">
        <v>54</v>
      </c>
      <c r="BM26" s="21" t="s">
        <v>792</v>
      </c>
      <c r="BN26" s="17" t="s">
        <v>51</v>
      </c>
      <c r="BO26" s="21" t="str">
        <f t="shared" ref="BO26:BO27" si="211">"S05S" &amp; D26</f>
        <v>S05S106980</v>
      </c>
      <c r="BP26" s="17" t="s">
        <v>793</v>
      </c>
      <c r="BQ26" s="17" t="s">
        <v>793</v>
      </c>
      <c r="BR26" s="21" t="s">
        <v>162</v>
      </c>
      <c r="BS26" s="17" t="s">
        <v>50</v>
      </c>
      <c r="BT26" s="17" t="s">
        <v>47</v>
      </c>
      <c r="BU26" s="17" t="s">
        <v>398</v>
      </c>
      <c r="BV26" s="17" t="s">
        <v>51</v>
      </c>
      <c r="BW26" s="17" t="s">
        <v>155</v>
      </c>
      <c r="BX26" s="17"/>
      <c r="BY26" s="17"/>
      <c r="BZ26" s="17" t="s">
        <v>158</v>
      </c>
      <c r="CA26" s="17" t="s">
        <v>270</v>
      </c>
      <c r="CB26" s="17" t="s">
        <v>418</v>
      </c>
      <c r="CC26" s="17" t="s">
        <v>794</v>
      </c>
      <c r="CD26" s="17" t="s">
        <v>396</v>
      </c>
      <c r="CE26" s="17" t="s">
        <v>401</v>
      </c>
      <c r="CF26" s="17" t="s">
        <v>403</v>
      </c>
      <c r="CG26" s="17" t="s">
        <v>268</v>
      </c>
      <c r="CH26" s="17" t="s">
        <v>160</v>
      </c>
      <c r="CI26" s="7">
        <v>1</v>
      </c>
      <c r="CJ26" s="7" t="str">
        <f t="shared" si="36"/>
        <v>GAS_ENQ_NO-106980</v>
      </c>
      <c r="CK26" s="8" t="s">
        <v>166</v>
      </c>
      <c r="CL26" s="8" t="s">
        <v>395</v>
      </c>
      <c r="CM26" s="8" t="s">
        <v>395</v>
      </c>
      <c r="CN26" s="7" t="s">
        <v>281</v>
      </c>
      <c r="CO26" s="7" t="str">
        <f t="shared" si="37"/>
        <v>GAS_JOB_ID-106980</v>
      </c>
      <c r="CP26" s="8"/>
      <c r="CQ26" s="7" t="str">
        <f t="shared" si="38"/>
        <v>10000106980</v>
      </c>
      <c r="CR26" s="7" t="s">
        <v>155</v>
      </c>
      <c r="CS26" s="8" t="s">
        <v>51</v>
      </c>
      <c r="CT26" s="28" t="str">
        <f t="shared" si="39"/>
        <v>GMETER106980</v>
      </c>
      <c r="CU26" s="7" t="s">
        <v>162</v>
      </c>
      <c r="CV26" s="8" t="s">
        <v>166</v>
      </c>
      <c r="CW26" s="8" t="s">
        <v>795</v>
      </c>
      <c r="CX26" s="8"/>
      <c r="CY26" s="8"/>
      <c r="CZ26" s="8" t="s">
        <v>399</v>
      </c>
      <c r="DA26" s="8" t="s">
        <v>400</v>
      </c>
      <c r="DB26" s="7" t="str">
        <f t="shared" si="40"/>
        <v>GAS_INST_ID-106980</v>
      </c>
      <c r="DC26" s="8" t="s">
        <v>162</v>
      </c>
      <c r="DD26" s="8"/>
      <c r="DE26" s="8" t="s">
        <v>51</v>
      </c>
      <c r="DF26" s="8" t="s">
        <v>265</v>
      </c>
      <c r="DG26" s="8"/>
      <c r="DH26" s="8" t="s">
        <v>402</v>
      </c>
      <c r="DI26" s="8" t="s">
        <v>404</v>
      </c>
      <c r="DJ26" s="11" t="s">
        <v>268</v>
      </c>
      <c r="DK26" s="8" t="s">
        <v>141</v>
      </c>
      <c r="DL26" s="42"/>
      <c r="DM26" s="42"/>
      <c r="DN26" s="40" t="str">
        <f t="shared" si="41"/>
        <v>DS_Pass-106980</v>
      </c>
      <c r="DO26" s="42"/>
      <c r="DP26" s="42"/>
      <c r="DQ26" s="42"/>
      <c r="DR26" s="43"/>
      <c r="DS26" s="43"/>
      <c r="DT26" s="42"/>
      <c r="DU26" s="42"/>
      <c r="DV26" s="42"/>
      <c r="DW26" s="43"/>
      <c r="DX26" s="42"/>
      <c r="DY26" s="42"/>
      <c r="DZ26" s="39" t="s">
        <v>793</v>
      </c>
      <c r="EA26" s="41"/>
      <c r="EB26" s="39"/>
      <c r="EC26" s="39"/>
      <c r="ED26" s="17"/>
      <c r="EE26" s="2"/>
      <c r="EF26" s="57"/>
    </row>
    <row r="27" spans="1:136">
      <c r="A27" s="234" t="s">
        <v>918</v>
      </c>
      <c r="B27" s="234" t="s">
        <v>896</v>
      </c>
      <c r="C27" s="234" t="s">
        <v>893</v>
      </c>
      <c r="D27" s="14">
        <f>'Run Parameters'!$B$1 + ROW()-1</f>
        <v>106981</v>
      </c>
      <c r="E27" s="16" t="s">
        <v>47</v>
      </c>
      <c r="F27" s="19" t="s">
        <v>789</v>
      </c>
      <c r="G27" s="14" t="str">
        <f t="shared" si="195"/>
        <v>Access Dtls-106981</v>
      </c>
      <c r="H27" s="16" t="s">
        <v>277</v>
      </c>
      <c r="I27" s="14" t="str">
        <f t="shared" si="19"/>
        <v>MR. Test_106981_EXCH3</v>
      </c>
      <c r="J27" s="19"/>
      <c r="K27" s="20" t="s">
        <v>434</v>
      </c>
      <c r="L27" s="14" t="str">
        <f t="shared" si="196"/>
        <v>Cust. Ref-106981</v>
      </c>
      <c r="M27" s="16" t="s">
        <v>48</v>
      </c>
      <c r="N27" s="16" t="s">
        <v>434</v>
      </c>
      <c r="O27" s="14"/>
      <c r="P27" s="14" t="str">
        <f t="shared" si="197"/>
        <v>SN-106981</v>
      </c>
      <c r="Q27" s="14" t="str">
        <f t="shared" si="198"/>
        <v>SI-106981</v>
      </c>
      <c r="R27" s="14" t="str">
        <f t="shared" si="199"/>
        <v>SE-106981</v>
      </c>
      <c r="S27" s="56" t="str">
        <f t="shared" si="200"/>
        <v>Prev_RA-106981</v>
      </c>
      <c r="T27" s="56" t="str">
        <f t="shared" si="201"/>
        <v>Prev_Comms-106981</v>
      </c>
      <c r="U27" s="18" t="s">
        <v>75</v>
      </c>
      <c r="V27" s="16" t="s">
        <v>406</v>
      </c>
      <c r="W27" s="18" t="s">
        <v>75</v>
      </c>
      <c r="X27" s="16" t="s">
        <v>401</v>
      </c>
      <c r="Y27" s="14" t="str">
        <f t="shared" si="202"/>
        <v>Forward Add-106981</v>
      </c>
      <c r="Z27" s="16" t="s">
        <v>406</v>
      </c>
      <c r="AA27" s="142" t="str">
        <f>'Run Parameters'!$B$2</f>
        <v>2017-06-26 08:00</v>
      </c>
      <c r="AB27" s="238" t="str">
        <f>'Run Parameters'!B$3</f>
        <v>2017-06-26 18:00</v>
      </c>
      <c r="AC27" s="27">
        <f>('Run Parameters'!$B$2) - 7</f>
        <v>42905.333333333336</v>
      </c>
      <c r="AD27" s="18" t="s">
        <v>75</v>
      </c>
      <c r="AE27" s="19" t="str">
        <f t="shared" si="203"/>
        <v>LAST_METER-106981</v>
      </c>
      <c r="AF27" s="142" t="str">
        <f>'Run Parameters'!$B$2</f>
        <v>2017-06-26 08:00</v>
      </c>
      <c r="AG27" s="14" t="str">
        <f>'Run Parameters'!B$4</f>
        <v xml:space="preserve">AUTOTEST </v>
      </c>
      <c r="AH27" s="56" t="str">
        <f t="shared" si="204"/>
        <v>Site_Contact_106981</v>
      </c>
      <c r="AI27" s="142" t="str">
        <f>'Run Parameters'!B$2</f>
        <v>2017-06-26 08:00</v>
      </c>
      <c r="AJ27" s="238" t="str">
        <f>'Run Parameters'!B$3</f>
        <v>2017-06-26 18:00</v>
      </c>
      <c r="AK27" s="14" t="s">
        <v>401</v>
      </c>
      <c r="AL27" s="56" t="str">
        <f t="shared" si="205"/>
        <v>01159106981</v>
      </c>
      <c r="AM27" s="14" t="str">
        <f t="shared" si="206"/>
        <v>0115106981</v>
      </c>
      <c r="AN27" s="16"/>
      <c r="AO27" s="54"/>
      <c r="AP27" s="14">
        <v>1</v>
      </c>
      <c r="AQ27" s="55" t="s">
        <v>49</v>
      </c>
      <c r="AR27" s="16"/>
      <c r="AS27" s="14"/>
      <c r="AT27" s="8" t="s">
        <v>405</v>
      </c>
      <c r="AU27" s="8"/>
      <c r="AV27" s="14">
        <f t="shared" si="207"/>
        <v>106981</v>
      </c>
      <c r="AW27" s="14" t="s">
        <v>790</v>
      </c>
      <c r="AX27" s="14" t="s">
        <v>428</v>
      </c>
      <c r="AY27" s="14" t="s">
        <v>429</v>
      </c>
      <c r="AZ27" s="16" t="s">
        <v>338</v>
      </c>
      <c r="BA27" s="15" t="s">
        <v>155</v>
      </c>
      <c r="BB27" s="22">
        <v>1</v>
      </c>
      <c r="BC27" s="21">
        <f t="shared" si="208"/>
        <v>106981</v>
      </c>
      <c r="BD27" s="17" t="s">
        <v>791</v>
      </c>
      <c r="BE27" s="17" t="s">
        <v>395</v>
      </c>
      <c r="BF27" s="17" t="s">
        <v>395</v>
      </c>
      <c r="BG27" s="21" t="s">
        <v>789</v>
      </c>
      <c r="BH27" s="21" t="str">
        <f t="shared" si="209"/>
        <v>106981_1</v>
      </c>
      <c r="BI27" s="22"/>
      <c r="BJ27" s="22" t="str">
        <f t="shared" si="210"/>
        <v>10000000106981</v>
      </c>
      <c r="BK27" s="17" t="s">
        <v>51</v>
      </c>
      <c r="BL27" s="17" t="s">
        <v>54</v>
      </c>
      <c r="BM27" s="21" t="s">
        <v>792</v>
      </c>
      <c r="BN27" s="17" t="s">
        <v>51</v>
      </c>
      <c r="BO27" s="21" t="str">
        <f t="shared" si="211"/>
        <v>S05S106981</v>
      </c>
      <c r="BP27" s="17" t="s">
        <v>793</v>
      </c>
      <c r="BQ27" s="17" t="s">
        <v>793</v>
      </c>
      <c r="BR27" s="21" t="s">
        <v>162</v>
      </c>
      <c r="BS27" s="17" t="s">
        <v>50</v>
      </c>
      <c r="BT27" s="17" t="s">
        <v>47</v>
      </c>
      <c r="BU27" s="17" t="s">
        <v>398</v>
      </c>
      <c r="BV27" s="17" t="s">
        <v>51</v>
      </c>
      <c r="BW27" s="17" t="s">
        <v>155</v>
      </c>
      <c r="BX27" s="17"/>
      <c r="BY27" s="17"/>
      <c r="BZ27" s="17" t="s">
        <v>158</v>
      </c>
      <c r="CA27" s="17" t="s">
        <v>270</v>
      </c>
      <c r="CB27" s="17" t="s">
        <v>418</v>
      </c>
      <c r="CC27" s="17" t="s">
        <v>794</v>
      </c>
      <c r="CD27" s="17" t="s">
        <v>396</v>
      </c>
      <c r="CE27" s="17" t="s">
        <v>401</v>
      </c>
      <c r="CF27" s="17" t="s">
        <v>403</v>
      </c>
      <c r="CG27" s="17" t="s">
        <v>268</v>
      </c>
      <c r="CH27" s="17" t="s">
        <v>160</v>
      </c>
      <c r="CI27" s="7">
        <v>1</v>
      </c>
      <c r="CJ27" s="7" t="str">
        <f t="shared" si="36"/>
        <v>GAS_ENQ_NO-106981</v>
      </c>
      <c r="CK27" s="8" t="s">
        <v>166</v>
      </c>
      <c r="CL27" s="8" t="s">
        <v>395</v>
      </c>
      <c r="CM27" s="8" t="s">
        <v>395</v>
      </c>
      <c r="CN27" s="7" t="s">
        <v>281</v>
      </c>
      <c r="CO27" s="7" t="str">
        <f t="shared" si="37"/>
        <v>GAS_JOB_ID-106981</v>
      </c>
      <c r="CP27" s="8"/>
      <c r="CQ27" s="7" t="str">
        <f t="shared" si="38"/>
        <v>10000106981</v>
      </c>
      <c r="CR27" s="7" t="s">
        <v>155</v>
      </c>
      <c r="CS27" s="8" t="s">
        <v>51</v>
      </c>
      <c r="CT27" s="28" t="str">
        <f t="shared" si="39"/>
        <v>GMETER106981</v>
      </c>
      <c r="CU27" s="7" t="s">
        <v>162</v>
      </c>
      <c r="CV27" s="8" t="s">
        <v>166</v>
      </c>
      <c r="CW27" s="8" t="s">
        <v>795</v>
      </c>
      <c r="CX27" s="8"/>
      <c r="CY27" s="8"/>
      <c r="CZ27" s="8" t="s">
        <v>399</v>
      </c>
      <c r="DA27" s="8" t="s">
        <v>400</v>
      </c>
      <c r="DB27" s="7" t="str">
        <f t="shared" si="40"/>
        <v>GAS_INST_ID-106981</v>
      </c>
      <c r="DC27" s="8" t="s">
        <v>162</v>
      </c>
      <c r="DD27" s="8"/>
      <c r="DE27" s="8" t="s">
        <v>51</v>
      </c>
      <c r="DF27" s="8" t="s">
        <v>265</v>
      </c>
      <c r="DG27" s="8"/>
      <c r="DH27" s="8" t="s">
        <v>402</v>
      </c>
      <c r="DI27" s="8" t="s">
        <v>404</v>
      </c>
      <c r="DJ27" s="11" t="s">
        <v>268</v>
      </c>
      <c r="DK27" s="8" t="s">
        <v>141</v>
      </c>
      <c r="DL27" s="42"/>
      <c r="DM27" s="42"/>
      <c r="DN27" s="40" t="str">
        <f t="shared" si="41"/>
        <v>DS_Pass-106981</v>
      </c>
      <c r="DO27" s="42"/>
      <c r="DP27" s="42"/>
      <c r="DQ27" s="42"/>
      <c r="DR27" s="43"/>
      <c r="DS27" s="43"/>
      <c r="DT27" s="42"/>
      <c r="DU27" s="42"/>
      <c r="DV27" s="42"/>
      <c r="DW27" s="43"/>
      <c r="DX27" s="42"/>
      <c r="DY27" s="42"/>
      <c r="DZ27" s="39" t="s">
        <v>793</v>
      </c>
      <c r="EA27" s="41"/>
      <c r="EB27" s="39"/>
      <c r="EC27" s="39"/>
      <c r="ED27" s="17"/>
      <c r="EE27" s="2"/>
      <c r="EF27" s="57"/>
    </row>
    <row r="28" spans="1:136">
      <c r="A28" s="234" t="s">
        <v>919</v>
      </c>
      <c r="B28" s="234" t="s">
        <v>927</v>
      </c>
      <c r="C28" s="234" t="s">
        <v>893</v>
      </c>
      <c r="D28" s="14">
        <f>'Run Parameters'!$B$1 + ROW()-1</f>
        <v>106982</v>
      </c>
      <c r="E28" s="16" t="s">
        <v>47</v>
      </c>
      <c r="F28" s="19" t="s">
        <v>789</v>
      </c>
      <c r="G28" s="14" t="str">
        <f t="shared" ref="G28:G29" si="212">("Access Dtls-" &amp; D28)</f>
        <v>Access Dtls-106982</v>
      </c>
      <c r="H28" s="16" t="s">
        <v>277</v>
      </c>
      <c r="I28" s="14" t="str">
        <f t="shared" si="19"/>
        <v>MR. Test_106982_EXCH3</v>
      </c>
      <c r="J28" s="19"/>
      <c r="K28" s="20" t="s">
        <v>434</v>
      </c>
      <c r="L28" s="14" t="str">
        <f t="shared" ref="L28:L29" si="213">("Cust. Ref-" &amp; D28)</f>
        <v>Cust. Ref-106982</v>
      </c>
      <c r="M28" s="16" t="s">
        <v>48</v>
      </c>
      <c r="N28" s="16" t="s">
        <v>434</v>
      </c>
      <c r="O28" s="14"/>
      <c r="P28" s="14" t="str">
        <f t="shared" ref="P28:P29" si="214">("SN-" &amp; D28)</f>
        <v>SN-106982</v>
      </c>
      <c r="Q28" s="14" t="str">
        <f t="shared" ref="Q28:Q29" si="215">("SI-" &amp; D28)</f>
        <v>SI-106982</v>
      </c>
      <c r="R28" s="14" t="str">
        <f t="shared" ref="R28:R29" si="216">("SE-" &amp; D28)</f>
        <v>SE-106982</v>
      </c>
      <c r="S28" s="56" t="str">
        <f t="shared" ref="S28:S29" si="217">("Prev_RA-" &amp; D28)</f>
        <v>Prev_RA-106982</v>
      </c>
      <c r="T28" s="56" t="str">
        <f t="shared" ref="T28:T29" si="218">("Prev_Comms-" &amp; D28)</f>
        <v>Prev_Comms-106982</v>
      </c>
      <c r="U28" s="18" t="s">
        <v>75</v>
      </c>
      <c r="V28" s="16" t="s">
        <v>406</v>
      </c>
      <c r="W28" s="18" t="s">
        <v>75</v>
      </c>
      <c r="X28" s="16" t="s">
        <v>401</v>
      </c>
      <c r="Y28" s="14" t="str">
        <f t="shared" ref="Y28:Y29" si="219">("Forward Add-" &amp; D28)</f>
        <v>Forward Add-106982</v>
      </c>
      <c r="Z28" s="16" t="s">
        <v>406</v>
      </c>
      <c r="AA28" s="142" t="str">
        <f>'Run Parameters'!$B$2</f>
        <v>2017-06-26 08:00</v>
      </c>
      <c r="AB28" s="238" t="str">
        <f>'Run Parameters'!B$3</f>
        <v>2017-06-26 18:00</v>
      </c>
      <c r="AC28" s="27">
        <f>('Run Parameters'!$B$2) - 7</f>
        <v>42905.333333333336</v>
      </c>
      <c r="AD28" s="18" t="s">
        <v>75</v>
      </c>
      <c r="AE28" s="19" t="str">
        <f t="shared" ref="AE28:AE29" si="220">("LAST_METER-" &amp; D28)</f>
        <v>LAST_METER-106982</v>
      </c>
      <c r="AF28" s="142" t="str">
        <f>'Run Parameters'!$B$2</f>
        <v>2017-06-26 08:00</v>
      </c>
      <c r="AG28" s="14" t="str">
        <f>'Run Parameters'!B$4</f>
        <v xml:space="preserve">AUTOTEST </v>
      </c>
      <c r="AH28" s="56" t="str">
        <f t="shared" ref="AH28:AH29" si="221">("Site_Contact_" &amp; D28)</f>
        <v>Site_Contact_106982</v>
      </c>
      <c r="AI28" s="142" t="str">
        <f>'Run Parameters'!B$2</f>
        <v>2017-06-26 08:00</v>
      </c>
      <c r="AJ28" s="238" t="str">
        <f>'Run Parameters'!B$3</f>
        <v>2017-06-26 18:00</v>
      </c>
      <c r="AK28" s="14" t="s">
        <v>401</v>
      </c>
      <c r="AL28" s="56" t="str">
        <f t="shared" ref="AL28:AL29" si="222">"01159" &amp; D28</f>
        <v>01159106982</v>
      </c>
      <c r="AM28" s="14" t="str">
        <f t="shared" ref="AM28:AM29" si="223">("0115" &amp; D28)</f>
        <v>0115106982</v>
      </c>
      <c r="AN28" s="16"/>
      <c r="AO28" s="54"/>
      <c r="AP28" s="14">
        <v>1</v>
      </c>
      <c r="AQ28" s="55" t="s">
        <v>49</v>
      </c>
      <c r="AR28" s="16"/>
      <c r="AS28" s="14"/>
      <c r="AT28" s="8" t="s">
        <v>405</v>
      </c>
      <c r="AU28" s="8"/>
      <c r="AV28" s="14">
        <f t="shared" ref="AV28:AV29" si="224">D28</f>
        <v>106982</v>
      </c>
      <c r="AW28" s="14" t="s">
        <v>790</v>
      </c>
      <c r="AX28" s="14" t="s">
        <v>428</v>
      </c>
      <c r="AY28" s="14" t="s">
        <v>429</v>
      </c>
      <c r="AZ28" s="16" t="s">
        <v>338</v>
      </c>
      <c r="BA28" s="15" t="s">
        <v>155</v>
      </c>
      <c r="BB28" s="22">
        <v>1</v>
      </c>
      <c r="BC28" s="21">
        <f t="shared" ref="BC28:BC29" si="225">D28</f>
        <v>106982</v>
      </c>
      <c r="BD28" s="17" t="s">
        <v>791</v>
      </c>
      <c r="BE28" s="17" t="s">
        <v>395</v>
      </c>
      <c r="BF28" s="17" t="s">
        <v>395</v>
      </c>
      <c r="BG28" s="21" t="s">
        <v>789</v>
      </c>
      <c r="BH28" s="21" t="str">
        <f t="shared" ref="BH28:BH29" si="226">BC28&amp;"_"&amp;BB28</f>
        <v>106982_1</v>
      </c>
      <c r="BI28" s="22"/>
      <c r="BJ28" s="22" t="str">
        <f t="shared" ref="BJ28:BJ29" si="227">"10000000" &amp; D28</f>
        <v>10000000106982</v>
      </c>
      <c r="BK28" s="17" t="s">
        <v>51</v>
      </c>
      <c r="BL28" s="17" t="s">
        <v>54</v>
      </c>
      <c r="BM28" s="21" t="s">
        <v>792</v>
      </c>
      <c r="BN28" s="17" t="s">
        <v>51</v>
      </c>
      <c r="BO28" s="21" t="str">
        <f t="shared" ref="BO28:BO29" si="228">"S05S" &amp; D28</f>
        <v>S05S106982</v>
      </c>
      <c r="BP28" s="17" t="s">
        <v>793</v>
      </c>
      <c r="BQ28" s="17" t="s">
        <v>793</v>
      </c>
      <c r="BR28" s="21" t="s">
        <v>162</v>
      </c>
      <c r="BS28" s="17" t="s">
        <v>50</v>
      </c>
      <c r="BT28" s="17" t="s">
        <v>47</v>
      </c>
      <c r="BU28" s="17" t="s">
        <v>398</v>
      </c>
      <c r="BV28" s="17" t="s">
        <v>51</v>
      </c>
      <c r="BW28" s="17" t="s">
        <v>155</v>
      </c>
      <c r="BX28" s="17"/>
      <c r="BY28" s="17"/>
      <c r="BZ28" s="17" t="s">
        <v>158</v>
      </c>
      <c r="CA28" s="17" t="s">
        <v>270</v>
      </c>
      <c r="CB28" s="17" t="s">
        <v>418</v>
      </c>
      <c r="CC28" s="17" t="s">
        <v>794</v>
      </c>
      <c r="CD28" s="17" t="s">
        <v>396</v>
      </c>
      <c r="CE28" s="17" t="s">
        <v>401</v>
      </c>
      <c r="CF28" s="17" t="s">
        <v>403</v>
      </c>
      <c r="CG28" s="17" t="s">
        <v>268</v>
      </c>
      <c r="CH28" s="17" t="s">
        <v>160</v>
      </c>
      <c r="CI28" s="7">
        <v>1</v>
      </c>
      <c r="CJ28" s="7" t="str">
        <f t="shared" si="36"/>
        <v>GAS_ENQ_NO-106982</v>
      </c>
      <c r="CK28" s="8" t="s">
        <v>166</v>
      </c>
      <c r="CL28" s="8" t="s">
        <v>395</v>
      </c>
      <c r="CM28" s="8" t="s">
        <v>395</v>
      </c>
      <c r="CN28" s="7" t="s">
        <v>281</v>
      </c>
      <c r="CO28" s="7" t="str">
        <f t="shared" si="37"/>
        <v>GAS_JOB_ID-106982</v>
      </c>
      <c r="CP28" s="8"/>
      <c r="CQ28" s="7" t="str">
        <f t="shared" si="38"/>
        <v>10000106982</v>
      </c>
      <c r="CR28" s="7" t="s">
        <v>155</v>
      </c>
      <c r="CS28" s="8" t="s">
        <v>51</v>
      </c>
      <c r="CT28" s="28" t="str">
        <f t="shared" si="39"/>
        <v>GMETER106982</v>
      </c>
      <c r="CU28" s="7" t="s">
        <v>162</v>
      </c>
      <c r="CV28" s="8" t="s">
        <v>166</v>
      </c>
      <c r="CW28" s="8" t="s">
        <v>795</v>
      </c>
      <c r="CX28" s="8"/>
      <c r="CY28" s="8"/>
      <c r="CZ28" s="8" t="s">
        <v>399</v>
      </c>
      <c r="DA28" s="8" t="s">
        <v>400</v>
      </c>
      <c r="DB28" s="7" t="str">
        <f t="shared" si="40"/>
        <v>GAS_INST_ID-106982</v>
      </c>
      <c r="DC28" s="8" t="s">
        <v>162</v>
      </c>
      <c r="DD28" s="8"/>
      <c r="DE28" s="8" t="s">
        <v>51</v>
      </c>
      <c r="DF28" s="8" t="s">
        <v>265</v>
      </c>
      <c r="DG28" s="8"/>
      <c r="DH28" s="8" t="s">
        <v>402</v>
      </c>
      <c r="DI28" s="8" t="s">
        <v>404</v>
      </c>
      <c r="DJ28" s="11" t="s">
        <v>268</v>
      </c>
      <c r="DK28" s="8" t="s">
        <v>141</v>
      </c>
      <c r="DL28" s="42"/>
      <c r="DM28" s="42"/>
      <c r="DN28" s="40" t="str">
        <f t="shared" si="41"/>
        <v>DS_Pass-106982</v>
      </c>
      <c r="DO28" s="42"/>
      <c r="DP28" s="42"/>
      <c r="DQ28" s="42"/>
      <c r="DR28" s="43"/>
      <c r="DS28" s="43"/>
      <c r="DT28" s="42"/>
      <c r="DU28" s="42"/>
      <c r="DV28" s="42"/>
      <c r="DW28" s="43"/>
      <c r="DX28" s="42"/>
      <c r="DY28" s="42"/>
      <c r="DZ28" s="39" t="s">
        <v>793</v>
      </c>
      <c r="EA28" s="41"/>
      <c r="EB28" s="39"/>
      <c r="EC28" s="39"/>
      <c r="ED28" s="17"/>
      <c r="EE28" s="2"/>
      <c r="EF28" s="57"/>
    </row>
    <row r="29" spans="1:136">
      <c r="A29" s="234" t="s">
        <v>920</v>
      </c>
      <c r="B29" s="234" t="s">
        <v>896</v>
      </c>
      <c r="C29" s="234" t="s">
        <v>893</v>
      </c>
      <c r="D29" s="14">
        <f>'Run Parameters'!$B$1 + ROW()-1</f>
        <v>106983</v>
      </c>
      <c r="E29" s="16" t="s">
        <v>47</v>
      </c>
      <c r="F29" s="19" t="s">
        <v>789</v>
      </c>
      <c r="G29" s="14" t="str">
        <f t="shared" si="212"/>
        <v>Access Dtls-106983</v>
      </c>
      <c r="H29" s="16" t="s">
        <v>277</v>
      </c>
      <c r="I29" s="14" t="str">
        <f t="shared" si="19"/>
        <v>MR. Test_106983_EXCH3</v>
      </c>
      <c r="J29" s="19"/>
      <c r="K29" s="20" t="s">
        <v>434</v>
      </c>
      <c r="L29" s="14" t="str">
        <f t="shared" si="213"/>
        <v>Cust. Ref-106983</v>
      </c>
      <c r="M29" s="16" t="s">
        <v>48</v>
      </c>
      <c r="N29" s="16" t="s">
        <v>434</v>
      </c>
      <c r="O29" s="14"/>
      <c r="P29" s="14" t="str">
        <f t="shared" si="214"/>
        <v>SN-106983</v>
      </c>
      <c r="Q29" s="14" t="str">
        <f t="shared" si="215"/>
        <v>SI-106983</v>
      </c>
      <c r="R29" s="14" t="str">
        <f t="shared" si="216"/>
        <v>SE-106983</v>
      </c>
      <c r="S29" s="56" t="str">
        <f t="shared" si="217"/>
        <v>Prev_RA-106983</v>
      </c>
      <c r="T29" s="56" t="str">
        <f t="shared" si="218"/>
        <v>Prev_Comms-106983</v>
      </c>
      <c r="U29" s="18" t="s">
        <v>75</v>
      </c>
      <c r="V29" s="16" t="s">
        <v>406</v>
      </c>
      <c r="W29" s="18" t="s">
        <v>75</v>
      </c>
      <c r="X29" s="16" t="s">
        <v>401</v>
      </c>
      <c r="Y29" s="14" t="str">
        <f t="shared" si="219"/>
        <v>Forward Add-106983</v>
      </c>
      <c r="Z29" s="16" t="s">
        <v>406</v>
      </c>
      <c r="AA29" s="142" t="str">
        <f>'Run Parameters'!$B$2</f>
        <v>2017-06-26 08:00</v>
      </c>
      <c r="AB29" s="238" t="str">
        <f>'Run Parameters'!B$3</f>
        <v>2017-06-26 18:00</v>
      </c>
      <c r="AC29" s="27">
        <f>('Run Parameters'!$B$2) - 7</f>
        <v>42905.333333333336</v>
      </c>
      <c r="AD29" s="18" t="s">
        <v>75</v>
      </c>
      <c r="AE29" s="19" t="str">
        <f t="shared" si="220"/>
        <v>LAST_METER-106983</v>
      </c>
      <c r="AF29" s="142" t="str">
        <f>'Run Parameters'!$B$2</f>
        <v>2017-06-26 08:00</v>
      </c>
      <c r="AG29" s="14" t="str">
        <f>'Run Parameters'!B$4</f>
        <v xml:space="preserve">AUTOTEST </v>
      </c>
      <c r="AH29" s="56" t="str">
        <f t="shared" si="221"/>
        <v>Site_Contact_106983</v>
      </c>
      <c r="AI29" s="142" t="str">
        <f>'Run Parameters'!B$2</f>
        <v>2017-06-26 08:00</v>
      </c>
      <c r="AJ29" s="238" t="str">
        <f>'Run Parameters'!B$3</f>
        <v>2017-06-26 18:00</v>
      </c>
      <c r="AK29" s="14" t="s">
        <v>401</v>
      </c>
      <c r="AL29" s="56" t="str">
        <f t="shared" si="222"/>
        <v>01159106983</v>
      </c>
      <c r="AM29" s="14" t="str">
        <f t="shared" si="223"/>
        <v>0115106983</v>
      </c>
      <c r="AN29" s="16"/>
      <c r="AO29" s="54"/>
      <c r="AP29" s="14">
        <v>1</v>
      </c>
      <c r="AQ29" s="55" t="s">
        <v>49</v>
      </c>
      <c r="AR29" s="16"/>
      <c r="AS29" s="14"/>
      <c r="AT29" s="8" t="s">
        <v>405</v>
      </c>
      <c r="AU29" s="8"/>
      <c r="AV29" s="14">
        <f t="shared" si="224"/>
        <v>106983</v>
      </c>
      <c r="AW29" s="14" t="s">
        <v>790</v>
      </c>
      <c r="AX29" s="14" t="s">
        <v>428</v>
      </c>
      <c r="AY29" s="14" t="s">
        <v>429</v>
      </c>
      <c r="AZ29" s="16" t="s">
        <v>338</v>
      </c>
      <c r="BA29" s="15" t="s">
        <v>155</v>
      </c>
      <c r="BB29" s="22">
        <v>1</v>
      </c>
      <c r="BC29" s="21">
        <f t="shared" si="225"/>
        <v>106983</v>
      </c>
      <c r="BD29" s="17" t="s">
        <v>791</v>
      </c>
      <c r="BE29" s="17" t="s">
        <v>395</v>
      </c>
      <c r="BF29" s="17" t="s">
        <v>395</v>
      </c>
      <c r="BG29" s="21" t="s">
        <v>789</v>
      </c>
      <c r="BH29" s="21" t="str">
        <f t="shared" si="226"/>
        <v>106983_1</v>
      </c>
      <c r="BI29" s="22"/>
      <c r="BJ29" s="22" t="str">
        <f t="shared" si="227"/>
        <v>10000000106983</v>
      </c>
      <c r="BK29" s="17" t="s">
        <v>51</v>
      </c>
      <c r="BL29" s="17" t="s">
        <v>54</v>
      </c>
      <c r="BM29" s="21" t="s">
        <v>792</v>
      </c>
      <c r="BN29" s="17" t="s">
        <v>51</v>
      </c>
      <c r="BO29" s="21" t="str">
        <f t="shared" si="228"/>
        <v>S05S106983</v>
      </c>
      <c r="BP29" s="17" t="s">
        <v>793</v>
      </c>
      <c r="BQ29" s="17" t="s">
        <v>793</v>
      </c>
      <c r="BR29" s="21" t="s">
        <v>162</v>
      </c>
      <c r="BS29" s="17" t="s">
        <v>50</v>
      </c>
      <c r="BT29" s="17" t="s">
        <v>47</v>
      </c>
      <c r="BU29" s="17" t="s">
        <v>398</v>
      </c>
      <c r="BV29" s="17" t="s">
        <v>51</v>
      </c>
      <c r="BW29" s="17" t="s">
        <v>155</v>
      </c>
      <c r="BX29" s="17"/>
      <c r="BY29" s="17"/>
      <c r="BZ29" s="17" t="s">
        <v>158</v>
      </c>
      <c r="CA29" s="17" t="s">
        <v>270</v>
      </c>
      <c r="CB29" s="17" t="s">
        <v>418</v>
      </c>
      <c r="CC29" s="17" t="s">
        <v>794</v>
      </c>
      <c r="CD29" s="17" t="s">
        <v>396</v>
      </c>
      <c r="CE29" s="17" t="s">
        <v>401</v>
      </c>
      <c r="CF29" s="17" t="s">
        <v>403</v>
      </c>
      <c r="CG29" s="17" t="s">
        <v>268</v>
      </c>
      <c r="CH29" s="17" t="s">
        <v>160</v>
      </c>
      <c r="CI29" s="7">
        <v>1</v>
      </c>
      <c r="CJ29" s="7" t="str">
        <f t="shared" si="36"/>
        <v>GAS_ENQ_NO-106983</v>
      </c>
      <c r="CK29" s="8" t="s">
        <v>166</v>
      </c>
      <c r="CL29" s="8" t="s">
        <v>395</v>
      </c>
      <c r="CM29" s="8" t="s">
        <v>395</v>
      </c>
      <c r="CN29" s="7" t="s">
        <v>281</v>
      </c>
      <c r="CO29" s="7" t="str">
        <f t="shared" si="37"/>
        <v>GAS_JOB_ID-106983</v>
      </c>
      <c r="CP29" s="8"/>
      <c r="CQ29" s="7" t="str">
        <f t="shared" si="38"/>
        <v>10000106983</v>
      </c>
      <c r="CR29" s="7" t="s">
        <v>155</v>
      </c>
      <c r="CS29" s="8" t="s">
        <v>51</v>
      </c>
      <c r="CT29" s="28" t="str">
        <f t="shared" si="39"/>
        <v>GMETER106983</v>
      </c>
      <c r="CU29" s="7" t="s">
        <v>162</v>
      </c>
      <c r="CV29" s="8" t="s">
        <v>166</v>
      </c>
      <c r="CW29" s="8" t="s">
        <v>795</v>
      </c>
      <c r="CX29" s="8"/>
      <c r="CY29" s="8"/>
      <c r="CZ29" s="8" t="s">
        <v>399</v>
      </c>
      <c r="DA29" s="8" t="s">
        <v>400</v>
      </c>
      <c r="DB29" s="7" t="str">
        <f t="shared" si="40"/>
        <v>GAS_INST_ID-106983</v>
      </c>
      <c r="DC29" s="8" t="s">
        <v>162</v>
      </c>
      <c r="DD29" s="8"/>
      <c r="DE29" s="8" t="s">
        <v>51</v>
      </c>
      <c r="DF29" s="8" t="s">
        <v>265</v>
      </c>
      <c r="DG29" s="8"/>
      <c r="DH29" s="8" t="s">
        <v>402</v>
      </c>
      <c r="DI29" s="8" t="s">
        <v>404</v>
      </c>
      <c r="DJ29" s="11" t="s">
        <v>268</v>
      </c>
      <c r="DK29" s="8" t="s">
        <v>141</v>
      </c>
      <c r="DL29" s="42"/>
      <c r="DM29" s="42"/>
      <c r="DN29" s="40" t="str">
        <f t="shared" si="41"/>
        <v>DS_Pass-106983</v>
      </c>
      <c r="DO29" s="42"/>
      <c r="DP29" s="42"/>
      <c r="DQ29" s="42"/>
      <c r="DR29" s="43"/>
      <c r="DS29" s="43"/>
      <c r="DT29" s="42"/>
      <c r="DU29" s="42"/>
      <c r="DV29" s="42"/>
      <c r="DW29" s="43"/>
      <c r="DX29" s="42"/>
      <c r="DY29" s="42"/>
      <c r="DZ29" s="39" t="s">
        <v>793</v>
      </c>
      <c r="EA29" s="41"/>
      <c r="EB29" s="39"/>
      <c r="EC29" s="39"/>
      <c r="ED29" s="17"/>
      <c r="EE29" s="2"/>
      <c r="EF29" s="57"/>
    </row>
    <row r="30" spans="1:136">
      <c r="A30" s="234" t="s">
        <v>921</v>
      </c>
      <c r="B30" s="234" t="s">
        <v>927</v>
      </c>
      <c r="C30" s="234" t="s">
        <v>893</v>
      </c>
      <c r="D30" s="14">
        <f>'Run Parameters'!$B$1 + ROW()-1</f>
        <v>106984</v>
      </c>
      <c r="E30" s="16" t="s">
        <v>47</v>
      </c>
      <c r="F30" s="19" t="s">
        <v>789</v>
      </c>
      <c r="G30" s="14" t="str">
        <f t="shared" ref="G30:G31" si="229">("Access Dtls-" &amp; D30)</f>
        <v>Access Dtls-106984</v>
      </c>
      <c r="H30" s="16" t="s">
        <v>277</v>
      </c>
      <c r="I30" s="14" t="str">
        <f t="shared" si="19"/>
        <v>MR. Test_106984_EXCH3</v>
      </c>
      <c r="J30" s="19"/>
      <c r="K30" s="20" t="s">
        <v>434</v>
      </c>
      <c r="L30" s="14" t="str">
        <f t="shared" ref="L30:L31" si="230">("Cust. Ref-" &amp; D30)</f>
        <v>Cust. Ref-106984</v>
      </c>
      <c r="M30" s="16" t="s">
        <v>48</v>
      </c>
      <c r="N30" s="16" t="s">
        <v>434</v>
      </c>
      <c r="O30" s="14"/>
      <c r="P30" s="14" t="str">
        <f t="shared" ref="P30:P31" si="231">("SN-" &amp; D30)</f>
        <v>SN-106984</v>
      </c>
      <c r="Q30" s="14" t="str">
        <f t="shared" ref="Q30:Q31" si="232">("SI-" &amp; D30)</f>
        <v>SI-106984</v>
      </c>
      <c r="R30" s="14" t="str">
        <f t="shared" ref="R30:R31" si="233">("SE-" &amp; D30)</f>
        <v>SE-106984</v>
      </c>
      <c r="S30" s="56" t="str">
        <f t="shared" ref="S30:S31" si="234">("Prev_RA-" &amp; D30)</f>
        <v>Prev_RA-106984</v>
      </c>
      <c r="T30" s="56" t="str">
        <f t="shared" ref="T30:T31" si="235">("Prev_Comms-" &amp; D30)</f>
        <v>Prev_Comms-106984</v>
      </c>
      <c r="U30" s="18" t="s">
        <v>75</v>
      </c>
      <c r="V30" s="16" t="s">
        <v>406</v>
      </c>
      <c r="W30" s="18" t="s">
        <v>75</v>
      </c>
      <c r="X30" s="16" t="s">
        <v>401</v>
      </c>
      <c r="Y30" s="14" t="str">
        <f t="shared" ref="Y30:Y31" si="236">("Forward Add-" &amp; D30)</f>
        <v>Forward Add-106984</v>
      </c>
      <c r="Z30" s="16" t="s">
        <v>406</v>
      </c>
      <c r="AA30" s="142" t="str">
        <f>'Run Parameters'!$B$2</f>
        <v>2017-06-26 08:00</v>
      </c>
      <c r="AB30" s="238" t="str">
        <f>'Run Parameters'!B$3</f>
        <v>2017-06-26 18:00</v>
      </c>
      <c r="AC30" s="27">
        <f>('Run Parameters'!$B$2) - 7</f>
        <v>42905.333333333336</v>
      </c>
      <c r="AD30" s="18" t="s">
        <v>75</v>
      </c>
      <c r="AE30" s="19" t="str">
        <f t="shared" ref="AE30:AE31" si="237">("LAST_METER-" &amp; D30)</f>
        <v>LAST_METER-106984</v>
      </c>
      <c r="AF30" s="142" t="str">
        <f>'Run Parameters'!$B$2</f>
        <v>2017-06-26 08:00</v>
      </c>
      <c r="AG30" s="14" t="str">
        <f>'Run Parameters'!B$4</f>
        <v xml:space="preserve">AUTOTEST </v>
      </c>
      <c r="AH30" s="56" t="str">
        <f t="shared" ref="AH30:AH31" si="238">("Site_Contact_" &amp; D30)</f>
        <v>Site_Contact_106984</v>
      </c>
      <c r="AI30" s="142" t="str">
        <f>'Run Parameters'!B$2</f>
        <v>2017-06-26 08:00</v>
      </c>
      <c r="AJ30" s="238" t="str">
        <f>'Run Parameters'!B$3</f>
        <v>2017-06-26 18:00</v>
      </c>
      <c r="AK30" s="14" t="s">
        <v>401</v>
      </c>
      <c r="AL30" s="56" t="str">
        <f t="shared" ref="AL30:AL31" si="239">"01159" &amp; D30</f>
        <v>01159106984</v>
      </c>
      <c r="AM30" s="14" t="str">
        <f t="shared" ref="AM30:AM31" si="240">("0115" &amp; D30)</f>
        <v>0115106984</v>
      </c>
      <c r="AN30" s="16"/>
      <c r="AO30" s="54"/>
      <c r="AP30" s="14">
        <v>1</v>
      </c>
      <c r="AQ30" s="55" t="s">
        <v>49</v>
      </c>
      <c r="AR30" s="16"/>
      <c r="AS30" s="14"/>
      <c r="AT30" s="8" t="s">
        <v>405</v>
      </c>
      <c r="AU30" s="8"/>
      <c r="AV30" s="14">
        <f t="shared" ref="AV30:AV31" si="241">D30</f>
        <v>106984</v>
      </c>
      <c r="AW30" s="14" t="s">
        <v>790</v>
      </c>
      <c r="AX30" s="14" t="s">
        <v>428</v>
      </c>
      <c r="AY30" s="14" t="s">
        <v>429</v>
      </c>
      <c r="AZ30" s="16" t="s">
        <v>338</v>
      </c>
      <c r="BA30" s="15" t="s">
        <v>155</v>
      </c>
      <c r="BB30" s="22">
        <v>1</v>
      </c>
      <c r="BC30" s="21">
        <f t="shared" ref="BC30:BC31" si="242">D30</f>
        <v>106984</v>
      </c>
      <c r="BD30" s="17" t="s">
        <v>791</v>
      </c>
      <c r="BE30" s="17" t="s">
        <v>395</v>
      </c>
      <c r="BF30" s="17" t="s">
        <v>395</v>
      </c>
      <c r="BG30" s="21" t="s">
        <v>789</v>
      </c>
      <c r="BH30" s="21" t="str">
        <f t="shared" ref="BH30:BH31" si="243">BC30&amp;"_"&amp;BB30</f>
        <v>106984_1</v>
      </c>
      <c r="BI30" s="22"/>
      <c r="BJ30" s="22" t="str">
        <f t="shared" ref="BJ30:BJ31" si="244">"10000000" &amp; D30</f>
        <v>10000000106984</v>
      </c>
      <c r="BK30" s="17" t="s">
        <v>51</v>
      </c>
      <c r="BL30" s="17" t="s">
        <v>54</v>
      </c>
      <c r="BM30" s="21" t="s">
        <v>792</v>
      </c>
      <c r="BN30" s="17" t="s">
        <v>51</v>
      </c>
      <c r="BO30" s="21" t="str">
        <f t="shared" ref="BO30:BO31" si="245">"S05S" &amp; D30</f>
        <v>S05S106984</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si="36"/>
        <v>GAS_ENQ_NO-106984</v>
      </c>
      <c r="CK30" s="8" t="s">
        <v>166</v>
      </c>
      <c r="CL30" s="8" t="s">
        <v>395</v>
      </c>
      <c r="CM30" s="8" t="s">
        <v>395</v>
      </c>
      <c r="CN30" s="7" t="s">
        <v>281</v>
      </c>
      <c r="CO30" s="7" t="str">
        <f t="shared" si="37"/>
        <v>GAS_JOB_ID-106984</v>
      </c>
      <c r="CP30" s="8"/>
      <c r="CQ30" s="7" t="str">
        <f t="shared" si="38"/>
        <v>10000106984</v>
      </c>
      <c r="CR30" s="7" t="s">
        <v>155</v>
      </c>
      <c r="CS30" s="8" t="s">
        <v>51</v>
      </c>
      <c r="CT30" s="28" t="str">
        <f t="shared" si="39"/>
        <v>GMETER106984</v>
      </c>
      <c r="CU30" s="7" t="s">
        <v>162</v>
      </c>
      <c r="CV30" s="8" t="s">
        <v>166</v>
      </c>
      <c r="CW30" s="8" t="s">
        <v>795</v>
      </c>
      <c r="CX30" s="8"/>
      <c r="CY30" s="8"/>
      <c r="CZ30" s="8" t="s">
        <v>399</v>
      </c>
      <c r="DA30" s="8" t="s">
        <v>400</v>
      </c>
      <c r="DB30" s="7" t="str">
        <f t="shared" si="40"/>
        <v>GAS_INST_ID-106984</v>
      </c>
      <c r="DC30" s="8" t="s">
        <v>162</v>
      </c>
      <c r="DD30" s="8"/>
      <c r="DE30" s="8" t="s">
        <v>51</v>
      </c>
      <c r="DF30" s="8" t="s">
        <v>265</v>
      </c>
      <c r="DG30" s="8"/>
      <c r="DH30" s="8" t="s">
        <v>402</v>
      </c>
      <c r="DI30" s="8" t="s">
        <v>404</v>
      </c>
      <c r="DJ30" s="11" t="s">
        <v>268</v>
      </c>
      <c r="DK30" s="8" t="s">
        <v>141</v>
      </c>
      <c r="DL30" s="42"/>
      <c r="DM30" s="42"/>
      <c r="DN30" s="40" t="str">
        <f t="shared" si="41"/>
        <v>DS_Pass-106984</v>
      </c>
      <c r="DO30" s="42"/>
      <c r="DP30" s="42"/>
      <c r="DQ30" s="42"/>
      <c r="DR30" s="43"/>
      <c r="DS30" s="43"/>
      <c r="DT30" s="42"/>
      <c r="DU30" s="42"/>
      <c r="DV30" s="42"/>
      <c r="DW30" s="43"/>
      <c r="DX30" s="42"/>
      <c r="DY30" s="42"/>
      <c r="DZ30" s="39" t="s">
        <v>793</v>
      </c>
      <c r="EA30" s="41"/>
      <c r="EB30" s="39"/>
      <c r="EC30" s="39"/>
      <c r="ED30" s="17"/>
      <c r="EE30" s="2"/>
      <c r="EF30" s="57"/>
    </row>
    <row r="31" spans="1:136">
      <c r="A31" s="234" t="s">
        <v>922</v>
      </c>
      <c r="B31" s="234" t="s">
        <v>896</v>
      </c>
      <c r="C31" s="234" t="s">
        <v>893</v>
      </c>
      <c r="D31" s="14">
        <f>'Run Parameters'!$B$1 + ROW()-1</f>
        <v>106985</v>
      </c>
      <c r="E31" s="16" t="s">
        <v>47</v>
      </c>
      <c r="F31" s="19" t="s">
        <v>789</v>
      </c>
      <c r="G31" s="14" t="str">
        <f t="shared" si="229"/>
        <v>Access Dtls-106985</v>
      </c>
      <c r="H31" s="16" t="s">
        <v>277</v>
      </c>
      <c r="I31" s="14" t="str">
        <f t="shared" si="19"/>
        <v>MR. Test_106985_EXCH3</v>
      </c>
      <c r="J31" s="19"/>
      <c r="K31" s="20" t="s">
        <v>434</v>
      </c>
      <c r="L31" s="14" t="str">
        <f t="shared" si="230"/>
        <v>Cust. Ref-106985</v>
      </c>
      <c r="M31" s="16" t="s">
        <v>48</v>
      </c>
      <c r="N31" s="16" t="s">
        <v>434</v>
      </c>
      <c r="O31" s="14"/>
      <c r="P31" s="14" t="str">
        <f t="shared" si="231"/>
        <v>SN-106985</v>
      </c>
      <c r="Q31" s="14" t="str">
        <f t="shared" si="232"/>
        <v>SI-106985</v>
      </c>
      <c r="R31" s="14" t="str">
        <f t="shared" si="233"/>
        <v>SE-106985</v>
      </c>
      <c r="S31" s="56" t="str">
        <f t="shared" si="234"/>
        <v>Prev_RA-106985</v>
      </c>
      <c r="T31" s="56" t="str">
        <f t="shared" si="235"/>
        <v>Prev_Comms-106985</v>
      </c>
      <c r="U31" s="18" t="s">
        <v>75</v>
      </c>
      <c r="V31" s="16" t="s">
        <v>406</v>
      </c>
      <c r="W31" s="18" t="s">
        <v>75</v>
      </c>
      <c r="X31" s="16" t="s">
        <v>401</v>
      </c>
      <c r="Y31" s="14" t="str">
        <f t="shared" si="236"/>
        <v>Forward Add-106985</v>
      </c>
      <c r="Z31" s="16" t="s">
        <v>406</v>
      </c>
      <c r="AA31" s="142" t="str">
        <f>'Run Parameters'!$B$2</f>
        <v>2017-06-26 08:00</v>
      </c>
      <c r="AB31" s="238" t="str">
        <f>'Run Parameters'!B$3</f>
        <v>2017-06-26 18:00</v>
      </c>
      <c r="AC31" s="27">
        <f>('Run Parameters'!$B$2) - 7</f>
        <v>42905.333333333336</v>
      </c>
      <c r="AD31" s="18" t="s">
        <v>75</v>
      </c>
      <c r="AE31" s="19" t="str">
        <f t="shared" si="237"/>
        <v>LAST_METER-106985</v>
      </c>
      <c r="AF31" s="142" t="str">
        <f>'Run Parameters'!$B$2</f>
        <v>2017-06-26 08:00</v>
      </c>
      <c r="AG31" s="14" t="str">
        <f>'Run Parameters'!B$4</f>
        <v xml:space="preserve">AUTOTEST </v>
      </c>
      <c r="AH31" s="56" t="str">
        <f t="shared" si="238"/>
        <v>Site_Contact_106985</v>
      </c>
      <c r="AI31" s="142" t="str">
        <f>'Run Parameters'!B$2</f>
        <v>2017-06-26 08:00</v>
      </c>
      <c r="AJ31" s="238" t="str">
        <f>'Run Parameters'!B$3</f>
        <v>2017-06-26 18:00</v>
      </c>
      <c r="AK31" s="14" t="s">
        <v>401</v>
      </c>
      <c r="AL31" s="56" t="str">
        <f t="shared" si="239"/>
        <v>01159106985</v>
      </c>
      <c r="AM31" s="14" t="str">
        <f t="shared" si="240"/>
        <v>0115106985</v>
      </c>
      <c r="AN31" s="16"/>
      <c r="AO31" s="54"/>
      <c r="AP31" s="14">
        <v>1</v>
      </c>
      <c r="AQ31" s="55" t="s">
        <v>49</v>
      </c>
      <c r="AR31" s="16"/>
      <c r="AS31" s="14"/>
      <c r="AT31" s="8" t="s">
        <v>405</v>
      </c>
      <c r="AU31" s="8"/>
      <c r="AV31" s="14">
        <f t="shared" si="241"/>
        <v>106985</v>
      </c>
      <c r="AW31" s="14" t="s">
        <v>790</v>
      </c>
      <c r="AX31" s="14" t="s">
        <v>428</v>
      </c>
      <c r="AY31" s="14" t="s">
        <v>429</v>
      </c>
      <c r="AZ31" s="16" t="s">
        <v>338</v>
      </c>
      <c r="BA31" s="15" t="s">
        <v>155</v>
      </c>
      <c r="BB31" s="22">
        <v>1</v>
      </c>
      <c r="BC31" s="21">
        <f t="shared" si="242"/>
        <v>106985</v>
      </c>
      <c r="BD31" s="17" t="s">
        <v>791</v>
      </c>
      <c r="BE31" s="17" t="s">
        <v>395</v>
      </c>
      <c r="BF31" s="17" t="s">
        <v>395</v>
      </c>
      <c r="BG31" s="21" t="s">
        <v>789</v>
      </c>
      <c r="BH31" s="21" t="str">
        <f t="shared" si="243"/>
        <v>106985_1</v>
      </c>
      <c r="BI31" s="22"/>
      <c r="BJ31" s="22" t="str">
        <f t="shared" si="244"/>
        <v>10000000106985</v>
      </c>
      <c r="BK31" s="17" t="s">
        <v>51</v>
      </c>
      <c r="BL31" s="17" t="s">
        <v>54</v>
      </c>
      <c r="BM31" s="21" t="s">
        <v>792</v>
      </c>
      <c r="BN31" s="17" t="s">
        <v>51</v>
      </c>
      <c r="BO31" s="21" t="str">
        <f t="shared" si="245"/>
        <v>S05S106985</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36"/>
        <v>GAS_ENQ_NO-106985</v>
      </c>
      <c r="CK31" s="8" t="s">
        <v>166</v>
      </c>
      <c r="CL31" s="8" t="s">
        <v>395</v>
      </c>
      <c r="CM31" s="8" t="s">
        <v>395</v>
      </c>
      <c r="CN31" s="7" t="s">
        <v>281</v>
      </c>
      <c r="CO31" s="7" t="str">
        <f t="shared" si="37"/>
        <v>GAS_JOB_ID-106985</v>
      </c>
      <c r="CP31" s="8"/>
      <c r="CQ31" s="7" t="str">
        <f t="shared" si="38"/>
        <v>10000106985</v>
      </c>
      <c r="CR31" s="7" t="s">
        <v>155</v>
      </c>
      <c r="CS31" s="8" t="s">
        <v>51</v>
      </c>
      <c r="CT31" s="28" t="str">
        <f t="shared" si="39"/>
        <v>GMETER106985</v>
      </c>
      <c r="CU31" s="7" t="s">
        <v>162</v>
      </c>
      <c r="CV31" s="8" t="s">
        <v>166</v>
      </c>
      <c r="CW31" s="8" t="s">
        <v>795</v>
      </c>
      <c r="CX31" s="8"/>
      <c r="CY31" s="8"/>
      <c r="CZ31" s="8" t="s">
        <v>399</v>
      </c>
      <c r="DA31" s="8" t="s">
        <v>400</v>
      </c>
      <c r="DB31" s="7" t="str">
        <f t="shared" si="40"/>
        <v>GAS_INST_ID-106985</v>
      </c>
      <c r="DC31" s="8" t="s">
        <v>162</v>
      </c>
      <c r="DD31" s="8"/>
      <c r="DE31" s="8" t="s">
        <v>51</v>
      </c>
      <c r="DF31" s="8" t="s">
        <v>265</v>
      </c>
      <c r="DG31" s="8"/>
      <c r="DH31" s="8" t="s">
        <v>402</v>
      </c>
      <c r="DI31" s="8" t="s">
        <v>404</v>
      </c>
      <c r="DJ31" s="11" t="s">
        <v>268</v>
      </c>
      <c r="DK31" s="8" t="s">
        <v>141</v>
      </c>
      <c r="DL31" s="42"/>
      <c r="DM31" s="42"/>
      <c r="DN31" s="40" t="str">
        <f t="shared" si="41"/>
        <v>DS_Pass-106985</v>
      </c>
      <c r="DO31" s="42"/>
      <c r="DP31" s="42"/>
      <c r="DQ31" s="42"/>
      <c r="DR31" s="43"/>
      <c r="DS31" s="43"/>
      <c r="DT31" s="42"/>
      <c r="DU31" s="42"/>
      <c r="DV31" s="42"/>
      <c r="DW31" s="43"/>
      <c r="DX31" s="42"/>
      <c r="DY31" s="42"/>
      <c r="DZ31" s="39" t="s">
        <v>793</v>
      </c>
      <c r="EA31" s="41"/>
      <c r="EB31" s="39"/>
      <c r="EC31" s="39"/>
      <c r="ED31" s="17"/>
      <c r="EE31" s="2"/>
      <c r="EF31" s="57"/>
    </row>
    <row r="32" spans="1:136">
      <c r="A32" s="234" t="s">
        <v>923</v>
      </c>
      <c r="B32" s="234" t="s">
        <v>927</v>
      </c>
      <c r="C32" s="234" t="s">
        <v>893</v>
      </c>
      <c r="D32" s="14">
        <f>'Run Parameters'!$B$1 + ROW()-1</f>
        <v>106986</v>
      </c>
      <c r="E32" s="16" t="s">
        <v>47</v>
      </c>
      <c r="F32" s="19" t="s">
        <v>789</v>
      </c>
      <c r="G32" s="14" t="str">
        <f t="shared" ref="G32:G33" si="246">("Access Dtls-" &amp; D32)</f>
        <v>Access Dtls-106986</v>
      </c>
      <c r="H32" s="16" t="s">
        <v>277</v>
      </c>
      <c r="I32" s="14" t="str">
        <f t="shared" si="19"/>
        <v>MR. Test_106986_EXCH3</v>
      </c>
      <c r="J32" s="19"/>
      <c r="K32" s="20" t="s">
        <v>434</v>
      </c>
      <c r="L32" s="14" t="str">
        <f t="shared" ref="L32:L33" si="247">("Cust. Ref-" &amp; D32)</f>
        <v>Cust. Ref-106986</v>
      </c>
      <c r="M32" s="16" t="s">
        <v>48</v>
      </c>
      <c r="N32" s="16" t="s">
        <v>434</v>
      </c>
      <c r="O32" s="14"/>
      <c r="P32" s="14" t="str">
        <f t="shared" ref="P32:P33" si="248">("SN-" &amp; D32)</f>
        <v>SN-106986</v>
      </c>
      <c r="Q32" s="14" t="str">
        <f t="shared" ref="Q32:Q33" si="249">("SI-" &amp; D32)</f>
        <v>SI-106986</v>
      </c>
      <c r="R32" s="14" t="str">
        <f t="shared" ref="R32:R33" si="250">("SE-" &amp; D32)</f>
        <v>SE-106986</v>
      </c>
      <c r="S32" s="56" t="str">
        <f t="shared" ref="S32:S33" si="251">("Prev_RA-" &amp; D32)</f>
        <v>Prev_RA-106986</v>
      </c>
      <c r="T32" s="56" t="str">
        <f t="shared" ref="T32:T33" si="252">("Prev_Comms-" &amp; D32)</f>
        <v>Prev_Comms-106986</v>
      </c>
      <c r="U32" s="18" t="s">
        <v>75</v>
      </c>
      <c r="V32" s="16" t="s">
        <v>406</v>
      </c>
      <c r="W32" s="18" t="s">
        <v>75</v>
      </c>
      <c r="X32" s="16" t="s">
        <v>401</v>
      </c>
      <c r="Y32" s="14" t="str">
        <f t="shared" ref="Y32:Y33" si="253">("Forward Add-" &amp; D32)</f>
        <v>Forward Add-106986</v>
      </c>
      <c r="Z32" s="16" t="s">
        <v>406</v>
      </c>
      <c r="AA32" s="142" t="str">
        <f>'Run Parameters'!$B$2</f>
        <v>2017-06-26 08:00</v>
      </c>
      <c r="AB32" s="238" t="str">
        <f>'Run Parameters'!B$3</f>
        <v>2017-06-26 18:00</v>
      </c>
      <c r="AC32" s="27">
        <f>('Run Parameters'!$B$2) - 7</f>
        <v>42905.333333333336</v>
      </c>
      <c r="AD32" s="18" t="s">
        <v>75</v>
      </c>
      <c r="AE32" s="19" t="str">
        <f t="shared" ref="AE32:AE33" si="254">("LAST_METER-" &amp; D32)</f>
        <v>LAST_METER-106986</v>
      </c>
      <c r="AF32" s="142" t="str">
        <f>'Run Parameters'!$B$2</f>
        <v>2017-06-26 08:00</v>
      </c>
      <c r="AG32" s="14" t="str">
        <f>'Run Parameters'!B$4</f>
        <v xml:space="preserve">AUTOTEST </v>
      </c>
      <c r="AH32" s="56" t="str">
        <f t="shared" ref="AH32:AH33" si="255">("Site_Contact_" &amp; D32)</f>
        <v>Site_Contact_106986</v>
      </c>
      <c r="AI32" s="142" t="str">
        <f>'Run Parameters'!B$2</f>
        <v>2017-06-26 08:00</v>
      </c>
      <c r="AJ32" s="238" t="str">
        <f>'Run Parameters'!B$3</f>
        <v>2017-06-26 18:00</v>
      </c>
      <c r="AK32" s="14" t="s">
        <v>401</v>
      </c>
      <c r="AL32" s="56" t="str">
        <f t="shared" ref="AL32:AL33" si="256">"01159" &amp; D32</f>
        <v>01159106986</v>
      </c>
      <c r="AM32" s="14" t="str">
        <f t="shared" ref="AM32:AM33" si="257">("0115" &amp; D32)</f>
        <v>0115106986</v>
      </c>
      <c r="AN32" s="16"/>
      <c r="AO32" s="54"/>
      <c r="AP32" s="14">
        <v>1</v>
      </c>
      <c r="AQ32" s="55" t="s">
        <v>49</v>
      </c>
      <c r="AR32" s="16"/>
      <c r="AS32" s="14"/>
      <c r="AT32" s="8" t="s">
        <v>405</v>
      </c>
      <c r="AU32" s="8"/>
      <c r="AV32" s="14">
        <f t="shared" ref="AV32:AV33" si="258">D32</f>
        <v>106986</v>
      </c>
      <c r="AW32" s="14" t="s">
        <v>790</v>
      </c>
      <c r="AX32" s="14" t="s">
        <v>428</v>
      </c>
      <c r="AY32" s="14" t="s">
        <v>429</v>
      </c>
      <c r="AZ32" s="16" t="s">
        <v>338</v>
      </c>
      <c r="BA32" s="15" t="s">
        <v>155</v>
      </c>
      <c r="BB32" s="22">
        <v>1</v>
      </c>
      <c r="BC32" s="21">
        <f t="shared" ref="BC32:BC33" si="259">D32</f>
        <v>106986</v>
      </c>
      <c r="BD32" s="17" t="s">
        <v>791</v>
      </c>
      <c r="BE32" s="17" t="s">
        <v>395</v>
      </c>
      <c r="BF32" s="17" t="s">
        <v>395</v>
      </c>
      <c r="BG32" s="21" t="s">
        <v>789</v>
      </c>
      <c r="BH32" s="21" t="str">
        <f t="shared" ref="BH32:BH33" si="260">BC32&amp;"_"&amp;BB32</f>
        <v>106986_1</v>
      </c>
      <c r="BI32" s="22"/>
      <c r="BJ32" s="22" t="str">
        <f t="shared" ref="BJ32:BJ33" si="261">"10000000" &amp; D32</f>
        <v>10000000106986</v>
      </c>
      <c r="BK32" s="17" t="s">
        <v>51</v>
      </c>
      <c r="BL32" s="17" t="s">
        <v>54</v>
      </c>
      <c r="BM32" s="21" t="s">
        <v>792</v>
      </c>
      <c r="BN32" s="17" t="s">
        <v>51</v>
      </c>
      <c r="BO32" s="21" t="str">
        <f t="shared" ref="BO32:BO33" si="262">"S05S" &amp; D32</f>
        <v>S05S106986</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36"/>
        <v>GAS_ENQ_NO-106986</v>
      </c>
      <c r="CK32" s="8" t="s">
        <v>166</v>
      </c>
      <c r="CL32" s="8" t="s">
        <v>395</v>
      </c>
      <c r="CM32" s="8" t="s">
        <v>395</v>
      </c>
      <c r="CN32" s="7" t="s">
        <v>281</v>
      </c>
      <c r="CO32" s="7" t="str">
        <f t="shared" si="37"/>
        <v>GAS_JOB_ID-106986</v>
      </c>
      <c r="CP32" s="8"/>
      <c r="CQ32" s="7" t="str">
        <f t="shared" si="38"/>
        <v>10000106986</v>
      </c>
      <c r="CR32" s="7" t="s">
        <v>155</v>
      </c>
      <c r="CS32" s="8" t="s">
        <v>51</v>
      </c>
      <c r="CT32" s="28" t="str">
        <f t="shared" si="39"/>
        <v>GMETER106986</v>
      </c>
      <c r="CU32" s="7" t="s">
        <v>162</v>
      </c>
      <c r="CV32" s="8" t="s">
        <v>166</v>
      </c>
      <c r="CW32" s="8" t="s">
        <v>795</v>
      </c>
      <c r="CX32" s="8"/>
      <c r="CY32" s="8"/>
      <c r="CZ32" s="8" t="s">
        <v>399</v>
      </c>
      <c r="DA32" s="8" t="s">
        <v>400</v>
      </c>
      <c r="DB32" s="7" t="str">
        <f t="shared" si="40"/>
        <v>GAS_INST_ID-106986</v>
      </c>
      <c r="DC32" s="8" t="s">
        <v>162</v>
      </c>
      <c r="DD32" s="8"/>
      <c r="DE32" s="8" t="s">
        <v>51</v>
      </c>
      <c r="DF32" s="8" t="s">
        <v>265</v>
      </c>
      <c r="DG32" s="8"/>
      <c r="DH32" s="8" t="s">
        <v>402</v>
      </c>
      <c r="DI32" s="8" t="s">
        <v>404</v>
      </c>
      <c r="DJ32" s="11" t="s">
        <v>268</v>
      </c>
      <c r="DK32" s="8" t="s">
        <v>141</v>
      </c>
      <c r="DL32" s="42"/>
      <c r="DM32" s="42"/>
      <c r="DN32" s="40" t="str">
        <f t="shared" si="41"/>
        <v>DS_Pass-106986</v>
      </c>
      <c r="DO32" s="42"/>
      <c r="DP32" s="42"/>
      <c r="DQ32" s="42"/>
      <c r="DR32" s="43"/>
      <c r="DS32" s="43"/>
      <c r="DT32" s="42"/>
      <c r="DU32" s="42"/>
      <c r="DV32" s="42"/>
      <c r="DW32" s="43"/>
      <c r="DX32" s="42"/>
      <c r="DY32" s="42"/>
      <c r="DZ32" s="39" t="s">
        <v>793</v>
      </c>
      <c r="EA32" s="41"/>
      <c r="EB32" s="39"/>
      <c r="EC32" s="39"/>
      <c r="ED32" s="17"/>
      <c r="EE32" s="2"/>
      <c r="EF32" s="57"/>
    </row>
    <row r="33" spans="1:136">
      <c r="A33" s="234" t="s">
        <v>924</v>
      </c>
      <c r="B33" s="234" t="s">
        <v>896</v>
      </c>
      <c r="C33" s="234" t="s">
        <v>893</v>
      </c>
      <c r="D33" s="14">
        <f>'Run Parameters'!$B$1 + ROW()-1</f>
        <v>106987</v>
      </c>
      <c r="E33" s="16" t="s">
        <v>47</v>
      </c>
      <c r="F33" s="19" t="s">
        <v>789</v>
      </c>
      <c r="G33" s="14" t="str">
        <f t="shared" si="246"/>
        <v>Access Dtls-106987</v>
      </c>
      <c r="H33" s="16" t="s">
        <v>277</v>
      </c>
      <c r="I33" s="14" t="str">
        <f t="shared" si="19"/>
        <v>MR. Test_106987_EXCH3</v>
      </c>
      <c r="J33" s="19"/>
      <c r="K33" s="20" t="s">
        <v>434</v>
      </c>
      <c r="L33" s="14" t="str">
        <f t="shared" si="247"/>
        <v>Cust. Ref-106987</v>
      </c>
      <c r="M33" s="16" t="s">
        <v>48</v>
      </c>
      <c r="N33" s="16" t="s">
        <v>434</v>
      </c>
      <c r="O33" s="14"/>
      <c r="P33" s="14" t="str">
        <f t="shared" si="248"/>
        <v>SN-106987</v>
      </c>
      <c r="Q33" s="14" t="str">
        <f t="shared" si="249"/>
        <v>SI-106987</v>
      </c>
      <c r="R33" s="14" t="str">
        <f t="shared" si="250"/>
        <v>SE-106987</v>
      </c>
      <c r="S33" s="56" t="str">
        <f t="shared" si="251"/>
        <v>Prev_RA-106987</v>
      </c>
      <c r="T33" s="56" t="str">
        <f t="shared" si="252"/>
        <v>Prev_Comms-106987</v>
      </c>
      <c r="U33" s="18" t="s">
        <v>75</v>
      </c>
      <c r="V33" s="16" t="s">
        <v>406</v>
      </c>
      <c r="W33" s="18" t="s">
        <v>75</v>
      </c>
      <c r="X33" s="16" t="s">
        <v>401</v>
      </c>
      <c r="Y33" s="14" t="str">
        <f t="shared" si="253"/>
        <v>Forward Add-106987</v>
      </c>
      <c r="Z33" s="16" t="s">
        <v>406</v>
      </c>
      <c r="AA33" s="142" t="str">
        <f>'Run Parameters'!$B$2</f>
        <v>2017-06-26 08:00</v>
      </c>
      <c r="AB33" s="238" t="str">
        <f>'Run Parameters'!B$3</f>
        <v>2017-06-26 18:00</v>
      </c>
      <c r="AC33" s="27">
        <f>('Run Parameters'!$B$2) - 7</f>
        <v>42905.333333333336</v>
      </c>
      <c r="AD33" s="18" t="s">
        <v>75</v>
      </c>
      <c r="AE33" s="19" t="str">
        <f t="shared" si="254"/>
        <v>LAST_METER-106987</v>
      </c>
      <c r="AF33" s="142" t="str">
        <f>'Run Parameters'!$B$2</f>
        <v>2017-06-26 08:00</v>
      </c>
      <c r="AG33" s="14" t="str">
        <f>'Run Parameters'!B$4</f>
        <v xml:space="preserve">AUTOTEST </v>
      </c>
      <c r="AH33" s="56" t="str">
        <f t="shared" si="255"/>
        <v>Site_Contact_106987</v>
      </c>
      <c r="AI33" s="142" t="str">
        <f>'Run Parameters'!B$2</f>
        <v>2017-06-26 08:00</v>
      </c>
      <c r="AJ33" s="238" t="str">
        <f>'Run Parameters'!B$3</f>
        <v>2017-06-26 18:00</v>
      </c>
      <c r="AK33" s="14" t="s">
        <v>401</v>
      </c>
      <c r="AL33" s="56" t="str">
        <f t="shared" si="256"/>
        <v>01159106987</v>
      </c>
      <c r="AM33" s="14" t="str">
        <f t="shared" si="257"/>
        <v>0115106987</v>
      </c>
      <c r="AN33" s="16"/>
      <c r="AO33" s="54"/>
      <c r="AP33" s="14">
        <v>1</v>
      </c>
      <c r="AQ33" s="55" t="s">
        <v>49</v>
      </c>
      <c r="AR33" s="16"/>
      <c r="AS33" s="14"/>
      <c r="AT33" s="8" t="s">
        <v>405</v>
      </c>
      <c r="AU33" s="8"/>
      <c r="AV33" s="14">
        <f t="shared" si="258"/>
        <v>106987</v>
      </c>
      <c r="AW33" s="14" t="s">
        <v>790</v>
      </c>
      <c r="AX33" s="14" t="s">
        <v>428</v>
      </c>
      <c r="AY33" s="14" t="s">
        <v>429</v>
      </c>
      <c r="AZ33" s="16" t="s">
        <v>338</v>
      </c>
      <c r="BA33" s="15" t="s">
        <v>155</v>
      </c>
      <c r="BB33" s="22">
        <v>1</v>
      </c>
      <c r="BC33" s="21">
        <f t="shared" si="259"/>
        <v>106987</v>
      </c>
      <c r="BD33" s="17" t="s">
        <v>791</v>
      </c>
      <c r="BE33" s="17" t="s">
        <v>395</v>
      </c>
      <c r="BF33" s="17" t="s">
        <v>395</v>
      </c>
      <c r="BG33" s="21" t="s">
        <v>789</v>
      </c>
      <c r="BH33" s="21" t="str">
        <f t="shared" si="260"/>
        <v>106987_1</v>
      </c>
      <c r="BI33" s="22"/>
      <c r="BJ33" s="22" t="str">
        <f t="shared" si="261"/>
        <v>10000000106987</v>
      </c>
      <c r="BK33" s="17" t="s">
        <v>51</v>
      </c>
      <c r="BL33" s="17" t="s">
        <v>54</v>
      </c>
      <c r="BM33" s="21" t="s">
        <v>792</v>
      </c>
      <c r="BN33" s="17" t="s">
        <v>51</v>
      </c>
      <c r="BO33" s="21" t="str">
        <f t="shared" si="262"/>
        <v>S05S106987</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36"/>
        <v>GAS_ENQ_NO-106987</v>
      </c>
      <c r="CK33" s="8" t="s">
        <v>166</v>
      </c>
      <c r="CL33" s="8" t="s">
        <v>395</v>
      </c>
      <c r="CM33" s="8" t="s">
        <v>395</v>
      </c>
      <c r="CN33" s="7" t="s">
        <v>281</v>
      </c>
      <c r="CO33" s="7" t="str">
        <f t="shared" si="37"/>
        <v>GAS_JOB_ID-106987</v>
      </c>
      <c r="CP33" s="8"/>
      <c r="CQ33" s="7" t="str">
        <f t="shared" si="38"/>
        <v>10000106987</v>
      </c>
      <c r="CR33" s="7" t="s">
        <v>155</v>
      </c>
      <c r="CS33" s="8" t="s">
        <v>51</v>
      </c>
      <c r="CT33" s="28" t="str">
        <f t="shared" si="39"/>
        <v>GMETER106987</v>
      </c>
      <c r="CU33" s="7" t="s">
        <v>162</v>
      </c>
      <c r="CV33" s="8" t="s">
        <v>166</v>
      </c>
      <c r="CW33" s="8" t="s">
        <v>795</v>
      </c>
      <c r="CX33" s="8"/>
      <c r="CY33" s="8"/>
      <c r="CZ33" s="8" t="s">
        <v>399</v>
      </c>
      <c r="DA33" s="8" t="s">
        <v>400</v>
      </c>
      <c r="DB33" s="7" t="str">
        <f t="shared" si="40"/>
        <v>GAS_INST_ID-106987</v>
      </c>
      <c r="DC33" s="8" t="s">
        <v>162</v>
      </c>
      <c r="DD33" s="8"/>
      <c r="DE33" s="8" t="s">
        <v>51</v>
      </c>
      <c r="DF33" s="8" t="s">
        <v>265</v>
      </c>
      <c r="DG33" s="8"/>
      <c r="DH33" s="8" t="s">
        <v>402</v>
      </c>
      <c r="DI33" s="8" t="s">
        <v>404</v>
      </c>
      <c r="DJ33" s="11" t="s">
        <v>268</v>
      </c>
      <c r="DK33" s="8" t="s">
        <v>141</v>
      </c>
      <c r="DL33" s="42"/>
      <c r="DM33" s="42"/>
      <c r="DN33" s="40" t="str">
        <f t="shared" si="41"/>
        <v>DS_Pass-106987</v>
      </c>
      <c r="DO33" s="42"/>
      <c r="DP33" s="42"/>
      <c r="DQ33" s="42"/>
      <c r="DR33" s="43"/>
      <c r="DS33" s="43"/>
      <c r="DT33" s="42"/>
      <c r="DU33" s="42"/>
      <c r="DV33" s="42"/>
      <c r="DW33" s="43"/>
      <c r="DX33" s="42"/>
      <c r="DY33" s="42"/>
      <c r="DZ33" s="39" t="s">
        <v>793</v>
      </c>
      <c r="EA33" s="41"/>
      <c r="EB33" s="39"/>
      <c r="EC33" s="39"/>
      <c r="ED33" s="17"/>
      <c r="EE33" s="2"/>
      <c r="EF33" s="57"/>
    </row>
    <row r="34" spans="1:136">
      <c r="A34" s="234"/>
      <c r="B34" s="234"/>
      <c r="C34" s="234"/>
      <c r="D34" s="14">
        <f>'Run Parameters'!$B$1 + ROW()-1</f>
        <v>106988</v>
      </c>
      <c r="E34" s="16" t="s">
        <v>47</v>
      </c>
      <c r="F34" s="19" t="s">
        <v>840</v>
      </c>
      <c r="G34" s="14" t="str">
        <f t="shared" si="18"/>
        <v>Access Dtls-106988</v>
      </c>
      <c r="H34" s="16" t="s">
        <v>277</v>
      </c>
      <c r="I34" s="14" t="str">
        <f>("MR. Test_"&amp; AV34 &amp;"_FLTY17")</f>
        <v>MR. Test_106988_FLTY17</v>
      </c>
      <c r="J34" s="19"/>
      <c r="K34" s="20" t="s">
        <v>434</v>
      </c>
      <c r="L34" s="14" t="str">
        <f t="shared" si="20"/>
        <v>Cust. Ref-106988</v>
      </c>
      <c r="M34" s="16" t="s">
        <v>48</v>
      </c>
      <c r="N34" s="16" t="s">
        <v>434</v>
      </c>
      <c r="O34" s="14"/>
      <c r="P34" s="14" t="str">
        <f t="shared" si="21"/>
        <v>SN-106988</v>
      </c>
      <c r="Q34" s="14" t="str">
        <f t="shared" si="22"/>
        <v>SI-106988</v>
      </c>
      <c r="R34" s="14" t="str">
        <f t="shared" si="23"/>
        <v>SE-106988</v>
      </c>
      <c r="S34" s="56" t="str">
        <f t="shared" si="24"/>
        <v>Prev_RA-106988</v>
      </c>
      <c r="T34" s="56" t="str">
        <f t="shared" si="25"/>
        <v>Prev_Comms-106988</v>
      </c>
      <c r="U34" s="18" t="s">
        <v>75</v>
      </c>
      <c r="V34" s="16" t="s">
        <v>406</v>
      </c>
      <c r="W34" s="18" t="s">
        <v>75</v>
      </c>
      <c r="X34" s="16" t="s">
        <v>401</v>
      </c>
      <c r="Y34" s="14" t="str">
        <f t="shared" si="26"/>
        <v>Forward Add-106988</v>
      </c>
      <c r="Z34" s="16" t="s">
        <v>406</v>
      </c>
      <c r="AA34" s="142" t="str">
        <f>'Run Parameters'!$B$2</f>
        <v>2017-06-26 08:00</v>
      </c>
      <c r="AB34" s="238" t="str">
        <f>'Run Parameters'!B$3</f>
        <v>2017-06-26 18:00</v>
      </c>
      <c r="AC34" s="27">
        <f>('Run Parameters'!$B$2) - 7</f>
        <v>42905.333333333336</v>
      </c>
      <c r="AD34" s="18" t="s">
        <v>75</v>
      </c>
      <c r="AE34" s="19" t="str">
        <f t="shared" si="27"/>
        <v>LAST_METER-106988</v>
      </c>
      <c r="AF34" s="142" t="str">
        <f>'Run Parameters'!$B$2</f>
        <v>2017-06-26 08:00</v>
      </c>
      <c r="AG34" s="14" t="str">
        <f>'Run Parameters'!B$4</f>
        <v xml:space="preserve">AUTOTEST </v>
      </c>
      <c r="AH34" s="56" t="str">
        <f t="shared" si="28"/>
        <v>Site_Contact_106988</v>
      </c>
      <c r="AI34" s="142" t="str">
        <f>'Run Parameters'!B$2</f>
        <v>2017-06-26 08:00</v>
      </c>
      <c r="AJ34" s="238" t="str">
        <f>'Run Parameters'!B$3</f>
        <v>2017-06-26 18:00</v>
      </c>
      <c r="AK34" s="14" t="s">
        <v>401</v>
      </c>
      <c r="AL34" s="56" t="str">
        <f t="shared" si="29"/>
        <v>01159106988</v>
      </c>
      <c r="AM34" s="14" t="str">
        <f t="shared" si="30"/>
        <v>0115106988</v>
      </c>
      <c r="AN34" s="16"/>
      <c r="AO34" s="54"/>
      <c r="AP34" s="14">
        <v>1</v>
      </c>
      <c r="AQ34" s="55" t="s">
        <v>49</v>
      </c>
      <c r="AR34" s="16"/>
      <c r="AS34" s="14"/>
      <c r="AT34" s="8" t="s">
        <v>797</v>
      </c>
      <c r="AU34" s="8"/>
      <c r="AV34" s="14">
        <f t="shared" si="31"/>
        <v>106988</v>
      </c>
      <c r="AW34" s="14" t="s">
        <v>798</v>
      </c>
      <c r="AX34" s="14" t="s">
        <v>428</v>
      </c>
      <c r="AY34" s="14" t="s">
        <v>429</v>
      </c>
      <c r="AZ34" s="16" t="s">
        <v>338</v>
      </c>
      <c r="BA34" s="15" t="s">
        <v>155</v>
      </c>
      <c r="BB34" s="22">
        <v>1</v>
      </c>
      <c r="BC34" s="21">
        <f t="shared" si="32"/>
        <v>106988</v>
      </c>
      <c r="BD34" s="17" t="s">
        <v>799</v>
      </c>
      <c r="BE34" s="17" t="s">
        <v>395</v>
      </c>
      <c r="BF34" s="17" t="s">
        <v>395</v>
      </c>
      <c r="BG34" s="21" t="s">
        <v>796</v>
      </c>
      <c r="BH34" s="21" t="str">
        <f t="shared" si="33"/>
        <v>106988_1</v>
      </c>
      <c r="BI34" s="22"/>
      <c r="BJ34" s="22" t="str">
        <f t="shared" si="34"/>
        <v>10000000106988</v>
      </c>
      <c r="BK34" s="17" t="s">
        <v>51</v>
      </c>
      <c r="BL34" s="17" t="s">
        <v>54</v>
      </c>
      <c r="BM34" s="21" t="s">
        <v>792</v>
      </c>
      <c r="BN34" s="17" t="s">
        <v>51</v>
      </c>
      <c r="BO34" s="21" t="str">
        <f t="shared" si="35"/>
        <v>S05S106988</v>
      </c>
      <c r="BP34" s="17" t="s">
        <v>800</v>
      </c>
      <c r="BQ34" s="17" t="s">
        <v>800</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801</v>
      </c>
      <c r="CH34" s="17" t="s">
        <v>160</v>
      </c>
      <c r="CI34" s="7">
        <v>1</v>
      </c>
      <c r="CJ34" s="7" t="str">
        <f t="shared" ref="CJ34" si="263">("GAS_ENQ_NO-" &amp; D34)</f>
        <v>GAS_ENQ_NO-106988</v>
      </c>
      <c r="CK34" s="8" t="s">
        <v>802</v>
      </c>
      <c r="CL34" s="8" t="s">
        <v>395</v>
      </c>
      <c r="CM34" s="8" t="s">
        <v>395</v>
      </c>
      <c r="CN34" s="7" t="s">
        <v>803</v>
      </c>
      <c r="CO34" s="7" t="str">
        <f t="shared" ref="CO34" si="264">("GAS_JOB_ID-" &amp; D34)</f>
        <v>GAS_JOB_ID-106988</v>
      </c>
      <c r="CP34" s="8"/>
      <c r="CQ34" s="7" t="str">
        <f t="shared" ref="CQ34" si="265">"10000" &amp; D34</f>
        <v>10000106988</v>
      </c>
      <c r="CR34" s="7" t="s">
        <v>155</v>
      </c>
      <c r="CS34" s="8" t="s">
        <v>51</v>
      </c>
      <c r="CT34" s="28" t="str">
        <f t="shared" ref="CT34" si="266">"GMETER" &amp; D34</f>
        <v>GMETER106988</v>
      </c>
      <c r="CU34" s="7" t="s">
        <v>162</v>
      </c>
      <c r="CV34" s="8" t="s">
        <v>166</v>
      </c>
      <c r="CW34" s="8" t="s">
        <v>795</v>
      </c>
      <c r="CX34" s="8"/>
      <c r="CY34" s="8"/>
      <c r="CZ34" s="8" t="s">
        <v>399</v>
      </c>
      <c r="DA34" s="8" t="s">
        <v>400</v>
      </c>
      <c r="DB34" s="7" t="str">
        <f t="shared" si="40"/>
        <v>GAS_INST_ID-106988</v>
      </c>
      <c r="DC34" s="8" t="s">
        <v>162</v>
      </c>
      <c r="DD34" s="8"/>
      <c r="DE34" s="8" t="s">
        <v>51</v>
      </c>
      <c r="DF34" s="8" t="s">
        <v>265</v>
      </c>
      <c r="DG34" s="8"/>
      <c r="DH34" s="8" t="s">
        <v>402</v>
      </c>
      <c r="DI34" s="8" t="s">
        <v>404</v>
      </c>
      <c r="DJ34" s="11" t="s">
        <v>801</v>
      </c>
      <c r="DK34" s="8" t="s">
        <v>141</v>
      </c>
      <c r="DL34" s="42"/>
      <c r="DM34" s="42"/>
      <c r="DN34" s="40" t="str">
        <f t="shared" si="41"/>
        <v>DS_Pass-106988</v>
      </c>
      <c r="DO34" s="42"/>
      <c r="DP34" s="42"/>
      <c r="DQ34" s="42"/>
      <c r="DR34" s="43"/>
      <c r="DS34" s="43"/>
      <c r="DT34" s="42"/>
      <c r="DU34" s="42"/>
      <c r="DV34" s="42"/>
      <c r="DW34" s="43"/>
      <c r="DX34" s="42"/>
      <c r="DY34" s="42"/>
      <c r="DZ34" s="39" t="s">
        <v>800</v>
      </c>
      <c r="EA34" s="41"/>
      <c r="EB34" s="39"/>
      <c r="EC34" s="39"/>
      <c r="ED34" s="17"/>
      <c r="EE34" s="2"/>
      <c r="EF34" s="57"/>
    </row>
    <row r="35" spans="1:136" s="146" customFormat="1">
      <c r="A35" s="234"/>
      <c r="B35" s="234"/>
      <c r="C35" s="234"/>
      <c r="D35" s="14">
        <f>'Run Parameters'!$B$1 + ROW()-1</f>
        <v>106989</v>
      </c>
      <c r="E35" s="16" t="s">
        <v>47</v>
      </c>
      <c r="F35" s="14" t="s">
        <v>278</v>
      </c>
      <c r="G35" s="14" t="str">
        <f t="shared" si="18"/>
        <v>Access Dtls-106989</v>
      </c>
      <c r="H35" s="16" t="s">
        <v>277</v>
      </c>
      <c r="I35" s="14" t="str">
        <f>("MR. Test_"&amp; AV35 &amp;"_EXCH6")</f>
        <v>MR. Test_106989_EXCH6</v>
      </c>
      <c r="J35" s="14"/>
      <c r="K35" s="20" t="s">
        <v>434</v>
      </c>
      <c r="L35" s="14" t="str">
        <f t="shared" si="20"/>
        <v>Cust. Ref-106989</v>
      </c>
      <c r="M35" s="16" t="s">
        <v>48</v>
      </c>
      <c r="N35" s="16" t="s">
        <v>434</v>
      </c>
      <c r="O35" s="14"/>
      <c r="P35" s="14" t="str">
        <f t="shared" si="21"/>
        <v>SN-106989</v>
      </c>
      <c r="Q35" s="14" t="str">
        <f t="shared" si="22"/>
        <v>SI-106989</v>
      </c>
      <c r="R35" s="14" t="str">
        <f t="shared" si="23"/>
        <v>SE-106989</v>
      </c>
      <c r="S35" s="141" t="str">
        <f t="shared" si="24"/>
        <v>Prev_RA-106989</v>
      </c>
      <c r="T35" s="141" t="str">
        <f t="shared" si="25"/>
        <v>Prev_Comms-106989</v>
      </c>
      <c r="U35" s="18" t="s">
        <v>75</v>
      </c>
      <c r="V35" s="16" t="s">
        <v>406</v>
      </c>
      <c r="W35" s="18" t="s">
        <v>75</v>
      </c>
      <c r="X35" s="16" t="s">
        <v>401</v>
      </c>
      <c r="Y35" s="14" t="str">
        <f t="shared" si="26"/>
        <v>Forward Add-106989</v>
      </c>
      <c r="Z35" s="16" t="s">
        <v>406</v>
      </c>
      <c r="AA35" s="142" t="str">
        <f>'Run Parameters'!$B$2</f>
        <v>2017-06-26 08:00</v>
      </c>
      <c r="AB35" s="238" t="str">
        <f>'Run Parameters'!B$3</f>
        <v>2017-06-26 18:00</v>
      </c>
      <c r="AC35" s="27">
        <f>('Run Parameters'!$B$2) - 7</f>
        <v>42905.333333333336</v>
      </c>
      <c r="AD35" s="18" t="s">
        <v>75</v>
      </c>
      <c r="AE35" s="14" t="str">
        <f t="shared" si="27"/>
        <v>LAST_METER-106989</v>
      </c>
      <c r="AF35" s="142" t="str">
        <f>'Run Parameters'!$B$2</f>
        <v>2017-06-26 08:00</v>
      </c>
      <c r="AG35" s="14" t="str">
        <f>'Run Parameters'!B$4</f>
        <v xml:space="preserve">AUTOTEST </v>
      </c>
      <c r="AH35" s="141" t="str">
        <f t="shared" si="28"/>
        <v>Site_Contact_106989</v>
      </c>
      <c r="AI35" s="142" t="str">
        <f>'Run Parameters'!B$2</f>
        <v>2017-06-26 08:00</v>
      </c>
      <c r="AJ35" s="238" t="str">
        <f>'Run Parameters'!B$3</f>
        <v>2017-06-26 18:00</v>
      </c>
      <c r="AK35" s="14" t="s">
        <v>401</v>
      </c>
      <c r="AL35" s="141" t="str">
        <f t="shared" si="29"/>
        <v>01159106989</v>
      </c>
      <c r="AM35" s="14" t="str">
        <f t="shared" si="30"/>
        <v>0115106989</v>
      </c>
      <c r="AN35" s="16"/>
      <c r="AO35" s="16"/>
      <c r="AP35" s="14">
        <v>1</v>
      </c>
      <c r="AQ35" s="16" t="s">
        <v>49</v>
      </c>
      <c r="AR35" s="16"/>
      <c r="AS35" s="14"/>
      <c r="AT35" s="13" t="s">
        <v>405</v>
      </c>
      <c r="AU35" s="13"/>
      <c r="AV35" s="14">
        <f t="shared" si="31"/>
        <v>106989</v>
      </c>
      <c r="AW35" s="14" t="s">
        <v>431</v>
      </c>
      <c r="AX35" s="14" t="s">
        <v>428</v>
      </c>
      <c r="AY35" s="14" t="s">
        <v>429</v>
      </c>
      <c r="AZ35" s="16" t="s">
        <v>338</v>
      </c>
      <c r="BA35" s="16" t="s">
        <v>155</v>
      </c>
      <c r="BB35" s="22">
        <v>1</v>
      </c>
      <c r="BC35" s="22">
        <f t="shared" si="32"/>
        <v>106989</v>
      </c>
      <c r="BD35" s="18" t="s">
        <v>407</v>
      </c>
      <c r="BE35" s="18" t="s">
        <v>394</v>
      </c>
      <c r="BF35" s="18" t="s">
        <v>395</v>
      </c>
      <c r="BG35" s="22" t="s">
        <v>278</v>
      </c>
      <c r="BH35" s="22" t="str">
        <f t="shared" si="33"/>
        <v>106989_1</v>
      </c>
      <c r="BI35" s="22"/>
      <c r="BJ35" s="22" t="str">
        <f t="shared" si="34"/>
        <v>10000000106989</v>
      </c>
      <c r="BK35" s="18" t="s">
        <v>51</v>
      </c>
      <c r="BL35" s="18" t="s">
        <v>54</v>
      </c>
      <c r="BM35" s="22" t="s">
        <v>280</v>
      </c>
      <c r="BN35" s="18" t="s">
        <v>51</v>
      </c>
      <c r="BO35" s="22" t="str">
        <f t="shared" si="35"/>
        <v>S05S106989</v>
      </c>
      <c r="BP35" s="18" t="s">
        <v>396</v>
      </c>
      <c r="BQ35" s="18" t="s">
        <v>396</v>
      </c>
      <c r="BR35" s="22" t="s">
        <v>162</v>
      </c>
      <c r="BS35" s="18" t="s">
        <v>397</v>
      </c>
      <c r="BT35" s="18" t="s">
        <v>47</v>
      </c>
      <c r="BU35" s="18" t="s">
        <v>398</v>
      </c>
      <c r="BV35" s="18" t="s">
        <v>51</v>
      </c>
      <c r="BW35" s="18" t="s">
        <v>155</v>
      </c>
      <c r="BX35" s="18"/>
      <c r="BY35" s="18"/>
      <c r="BZ35" s="18" t="s">
        <v>158</v>
      </c>
      <c r="CA35" s="18" t="s">
        <v>270</v>
      </c>
      <c r="CB35" s="18" t="s">
        <v>51</v>
      </c>
      <c r="CC35" s="18" t="s">
        <v>284</v>
      </c>
      <c r="CD35" s="18" t="s">
        <v>396</v>
      </c>
      <c r="CE35" s="18" t="s">
        <v>401</v>
      </c>
      <c r="CF35" s="18" t="s">
        <v>403</v>
      </c>
      <c r="CG35" s="18" t="s">
        <v>276</v>
      </c>
      <c r="CH35" s="18" t="s">
        <v>160</v>
      </c>
      <c r="CI35" s="12">
        <v>1</v>
      </c>
      <c r="CJ35" s="12" t="str">
        <f>("GAS_ENQ_NO-" &amp; D35)</f>
        <v>GAS_ENQ_NO-106989</v>
      </c>
      <c r="CK35" s="13" t="s">
        <v>166</v>
      </c>
      <c r="CL35" s="13" t="s">
        <v>394</v>
      </c>
      <c r="CM35" s="13" t="s">
        <v>395</v>
      </c>
      <c r="CN35" s="12" t="s">
        <v>281</v>
      </c>
      <c r="CO35" s="12" t="str">
        <f>("GAS_JOB_ID-" &amp; D35)</f>
        <v>GAS_JOB_ID-106989</v>
      </c>
      <c r="CP35" s="13"/>
      <c r="CQ35" s="12" t="str">
        <f>"10000" &amp; D35</f>
        <v>10000106989</v>
      </c>
      <c r="CR35" s="12" t="s">
        <v>155</v>
      </c>
      <c r="CS35" s="13" t="s">
        <v>51</v>
      </c>
      <c r="CT35" s="29" t="str">
        <f>"GMETER" &amp; D35</f>
        <v>GMETER106989</v>
      </c>
      <c r="CU35" s="12" t="s">
        <v>162</v>
      </c>
      <c r="CV35" s="13" t="s">
        <v>166</v>
      </c>
      <c r="CW35" s="13" t="s">
        <v>420</v>
      </c>
      <c r="CX35" s="13"/>
      <c r="CY35" s="13"/>
      <c r="CZ35" s="13" t="s">
        <v>399</v>
      </c>
      <c r="DA35" s="13" t="s">
        <v>400</v>
      </c>
      <c r="DB35" s="12" t="str">
        <f t="shared" si="40"/>
        <v>GAS_INST_ID-106989</v>
      </c>
      <c r="DC35" s="13" t="s">
        <v>162</v>
      </c>
      <c r="DD35" s="13"/>
      <c r="DE35" s="13" t="s">
        <v>51</v>
      </c>
      <c r="DF35" s="13" t="s">
        <v>265</v>
      </c>
      <c r="DG35" s="13"/>
      <c r="DH35" s="13" t="s">
        <v>402</v>
      </c>
      <c r="DI35" s="13" t="s">
        <v>404</v>
      </c>
      <c r="DJ35" s="13" t="s">
        <v>276</v>
      </c>
      <c r="DK35" s="13" t="s">
        <v>141</v>
      </c>
      <c r="DL35" s="42"/>
      <c r="DM35" s="42"/>
      <c r="DN35" s="14" t="str">
        <f t="shared" si="41"/>
        <v>DS_Pass-106989</v>
      </c>
      <c r="DO35" s="42"/>
      <c r="DP35" s="42"/>
      <c r="DQ35" s="42"/>
      <c r="DR35" s="43"/>
      <c r="DS35" s="43"/>
      <c r="DT35" s="42" t="s">
        <v>52</v>
      </c>
      <c r="DU35" s="42"/>
      <c r="DV35" s="42"/>
      <c r="DW35" s="43"/>
      <c r="DX35" s="42" t="s">
        <v>54</v>
      </c>
      <c r="DY35" s="42" t="s">
        <v>61</v>
      </c>
      <c r="DZ35" s="42" t="s">
        <v>408</v>
      </c>
      <c r="EA35" s="144" t="str">
        <f>CONCATENATE(AV35, $EA$1, AW35, $EA$1, AX35, $EA$1, AY35)</f>
        <v>106989, EXCH6 ROAD, TESTINGHAM, TESTINGHAMSHIRE</v>
      </c>
      <c r="EB35" s="42" t="s">
        <v>276</v>
      </c>
      <c r="EC35" s="42"/>
      <c r="ED35" s="18" t="s">
        <v>276</v>
      </c>
      <c r="EE35" s="3"/>
      <c r="EF35" s="145"/>
    </row>
    <row r="36" spans="1:136" s="225" customFormat="1" ht="10.199999999999999">
      <c r="A36" s="218"/>
      <c r="B36" s="218"/>
      <c r="C36" s="218"/>
      <c r="D36" s="217">
        <f>'Run Parameters'!$B$1 + ROW()-1</f>
        <v>106990</v>
      </c>
      <c r="E36" s="218" t="s">
        <v>47</v>
      </c>
      <c r="F36" s="218" t="s">
        <v>881</v>
      </c>
      <c r="G36" s="217" t="str">
        <f t="shared" si="18"/>
        <v>Access Dtls-106990</v>
      </c>
      <c r="H36" s="219" t="s">
        <v>277</v>
      </c>
      <c r="I36" s="217" t="str">
        <f>("MR. Test_"&amp; AV35 &amp;"_EXCH9")</f>
        <v>MR. Test_106989_EXCH9</v>
      </c>
      <c r="J36" s="218"/>
      <c r="K36" s="220" t="s">
        <v>434</v>
      </c>
      <c r="L36" s="217" t="str">
        <f t="shared" si="20"/>
        <v>Cust. Ref-106990</v>
      </c>
      <c r="M36" s="218" t="s">
        <v>48</v>
      </c>
      <c r="N36" s="219" t="s">
        <v>434</v>
      </c>
      <c r="O36" s="218"/>
      <c r="P36" s="217" t="str">
        <f t="shared" si="21"/>
        <v>SN-106990</v>
      </c>
      <c r="Q36" s="217" t="str">
        <f t="shared" si="22"/>
        <v>SI-106990</v>
      </c>
      <c r="R36" s="217" t="str">
        <f t="shared" si="23"/>
        <v>SE-106990</v>
      </c>
      <c r="S36" s="221" t="str">
        <f t="shared" si="24"/>
        <v>Prev_RA-106990</v>
      </c>
      <c r="T36" s="221" t="str">
        <f t="shared" si="25"/>
        <v>Prev_Comms-106990</v>
      </c>
      <c r="U36" s="218" t="s">
        <v>75</v>
      </c>
      <c r="V36" s="219" t="s">
        <v>406</v>
      </c>
      <c r="W36" s="218" t="s">
        <v>75</v>
      </c>
      <c r="X36" s="218" t="s">
        <v>401</v>
      </c>
      <c r="Y36" s="217" t="str">
        <f t="shared" si="26"/>
        <v>Forward Add-106990</v>
      </c>
      <c r="Z36" s="218" t="s">
        <v>406</v>
      </c>
      <c r="AA36" s="222" t="str">
        <f>'Run Parameters'!$B$2</f>
        <v>2017-06-26 08:00</v>
      </c>
      <c r="AB36" s="238" t="str">
        <f>'Run Parameters'!B$3</f>
        <v>2017-06-26 18:00</v>
      </c>
      <c r="AC36" s="223">
        <f>('Run Parameters'!$B$2) - 7</f>
        <v>42905.333333333336</v>
      </c>
      <c r="AD36" s="218"/>
      <c r="AE36" s="217" t="str">
        <f t="shared" si="27"/>
        <v>LAST_METER-106990</v>
      </c>
      <c r="AF36" s="142" t="str">
        <f>'Run Parameters'!$B$2</f>
        <v>2017-06-26 08:00</v>
      </c>
      <c r="AG36" s="217" t="str">
        <f>'Run Parameters'!B$4</f>
        <v xml:space="preserve">AUTOTEST </v>
      </c>
      <c r="AH36" s="221" t="str">
        <f t="shared" si="28"/>
        <v>Site_Contact_106990</v>
      </c>
      <c r="AI36" s="142" t="str">
        <f>'Run Parameters'!B$2</f>
        <v>2017-06-26 08:00</v>
      </c>
      <c r="AJ36" s="238" t="str">
        <f>'Run Parameters'!B$3</f>
        <v>2017-06-26 18:00</v>
      </c>
      <c r="AK36" s="217" t="s">
        <v>401</v>
      </c>
      <c r="AL36" s="221" t="str">
        <f t="shared" si="29"/>
        <v>01159106990</v>
      </c>
      <c r="AM36" s="217" t="str">
        <f t="shared" si="30"/>
        <v>0115106990</v>
      </c>
      <c r="AN36" s="219"/>
      <c r="AO36" s="219"/>
      <c r="AP36" s="217">
        <v>2</v>
      </c>
      <c r="AQ36" s="219" t="s">
        <v>51</v>
      </c>
      <c r="AR36" s="219"/>
      <c r="AS36" s="217"/>
      <c r="AT36" s="219" t="s">
        <v>869</v>
      </c>
      <c r="AU36" s="219"/>
      <c r="AV36" s="217">
        <f t="shared" si="31"/>
        <v>106990</v>
      </c>
      <c r="AW36" s="217" t="s">
        <v>882</v>
      </c>
      <c r="AX36" s="217" t="s">
        <v>428</v>
      </c>
      <c r="AY36" s="217" t="s">
        <v>429</v>
      </c>
      <c r="AZ36" s="219" t="s">
        <v>338</v>
      </c>
      <c r="BA36" s="219" t="s">
        <v>155</v>
      </c>
      <c r="BB36" s="217">
        <v>1</v>
      </c>
      <c r="BC36" s="217">
        <f t="shared" si="32"/>
        <v>106990</v>
      </c>
      <c r="BD36" s="219" t="s">
        <v>407</v>
      </c>
      <c r="BE36" s="219" t="s">
        <v>394</v>
      </c>
      <c r="BF36" s="219" t="s">
        <v>395</v>
      </c>
      <c r="BG36" s="217" t="s">
        <v>278</v>
      </c>
      <c r="BH36" s="217" t="str">
        <f t="shared" si="33"/>
        <v>106990_1</v>
      </c>
      <c r="BI36" s="217"/>
      <c r="BJ36" s="217" t="str">
        <f t="shared" si="34"/>
        <v>10000000106990</v>
      </c>
      <c r="BK36" s="219" t="s">
        <v>51</v>
      </c>
      <c r="BL36" s="219" t="s">
        <v>54</v>
      </c>
      <c r="BM36" s="217" t="s">
        <v>883</v>
      </c>
      <c r="BN36" s="219" t="s">
        <v>65</v>
      </c>
      <c r="BO36" s="217" t="str">
        <f t="shared" si="35"/>
        <v>S05S106990</v>
      </c>
      <c r="BP36" s="219" t="s">
        <v>396</v>
      </c>
      <c r="BQ36" s="219" t="s">
        <v>396</v>
      </c>
      <c r="BR36" s="217" t="s">
        <v>162</v>
      </c>
      <c r="BS36" s="219" t="s">
        <v>884</v>
      </c>
      <c r="BT36" s="219" t="s">
        <v>47</v>
      </c>
      <c r="BU36" s="219" t="s">
        <v>398</v>
      </c>
      <c r="BV36" s="219" t="s">
        <v>51</v>
      </c>
      <c r="BW36" s="219" t="s">
        <v>155</v>
      </c>
      <c r="BX36" s="219"/>
      <c r="BY36" s="219"/>
      <c r="BZ36" s="219" t="s">
        <v>158</v>
      </c>
      <c r="CA36" s="219" t="s">
        <v>270</v>
      </c>
      <c r="CB36" s="219" t="s">
        <v>51</v>
      </c>
      <c r="CC36" s="219" t="s">
        <v>284</v>
      </c>
      <c r="CD36" s="219" t="s">
        <v>396</v>
      </c>
      <c r="CE36" s="219" t="s">
        <v>401</v>
      </c>
      <c r="CF36" s="219" t="s">
        <v>403</v>
      </c>
      <c r="CG36" s="219" t="s">
        <v>880</v>
      </c>
      <c r="CH36" s="219" t="s">
        <v>160</v>
      </c>
      <c r="CI36" s="217">
        <v>2</v>
      </c>
      <c r="CJ36" s="217" t="str">
        <f>("GAS_ENQ_NO-" &amp; D36)</f>
        <v>GAS_ENQ_NO-106990</v>
      </c>
      <c r="CK36" s="219" t="s">
        <v>877</v>
      </c>
      <c r="CL36" s="219" t="s">
        <v>394</v>
      </c>
      <c r="CM36" s="219" t="s">
        <v>395</v>
      </c>
      <c r="CN36" s="217" t="s">
        <v>281</v>
      </c>
      <c r="CO36" s="217" t="str">
        <f>("GAS_JOB_ID-" &amp; D36)</f>
        <v>GAS_JOB_ID-106990</v>
      </c>
      <c r="CP36" s="219"/>
      <c r="CQ36" s="217" t="str">
        <f>"10000" &amp; D36</f>
        <v>10000106990</v>
      </c>
      <c r="CR36" s="217" t="s">
        <v>155</v>
      </c>
      <c r="CS36" s="219" t="s">
        <v>65</v>
      </c>
      <c r="CT36" s="224" t="str">
        <f>"GMETER" &amp; D36</f>
        <v>GMETER106990</v>
      </c>
      <c r="CU36" s="217" t="s">
        <v>162</v>
      </c>
      <c r="CV36" s="219" t="s">
        <v>877</v>
      </c>
      <c r="CW36" s="219" t="s">
        <v>420</v>
      </c>
      <c r="CX36" s="219"/>
      <c r="CY36" s="219"/>
      <c r="CZ36" s="219" t="s">
        <v>399</v>
      </c>
      <c r="DA36" s="219" t="s">
        <v>400</v>
      </c>
      <c r="DB36" s="217" t="str">
        <f t="shared" si="40"/>
        <v>GAS_INST_ID-106990</v>
      </c>
      <c r="DC36" s="219" t="s">
        <v>162</v>
      </c>
      <c r="DD36" s="219"/>
      <c r="DE36" s="219" t="s">
        <v>51</v>
      </c>
      <c r="DF36" s="219" t="s">
        <v>265</v>
      </c>
      <c r="DG36" s="219"/>
      <c r="DH36" s="219" t="s">
        <v>402</v>
      </c>
      <c r="DI36" s="219" t="s">
        <v>404</v>
      </c>
      <c r="DJ36" s="219" t="s">
        <v>880</v>
      </c>
      <c r="DK36" s="219" t="s">
        <v>141</v>
      </c>
      <c r="DN36" s="217" t="str">
        <f t="shared" si="41"/>
        <v>DS_Pass-106990</v>
      </c>
      <c r="DO36" s="219"/>
      <c r="DP36" s="219"/>
      <c r="DQ36" s="219"/>
      <c r="DR36" s="217"/>
      <c r="DS36" s="217"/>
      <c r="DT36" s="219" t="s">
        <v>52</v>
      </c>
      <c r="DU36" s="219"/>
      <c r="DV36" s="219"/>
      <c r="DW36" s="217"/>
      <c r="DX36" s="219" t="s">
        <v>54</v>
      </c>
      <c r="DY36" s="219" t="s">
        <v>61</v>
      </c>
      <c r="DZ36" s="219" t="s">
        <v>408</v>
      </c>
      <c r="EA36" s="221" t="str">
        <f>CONCATENATE(AV36, $EA$1, AW36, $EA$1, AX36, $EA$1, AY36)</f>
        <v>106990, EXCH9 ROAD, TESTINGHAM, TESTINGHAMSHIRE</v>
      </c>
      <c r="EB36" s="219" t="s">
        <v>880</v>
      </c>
    </row>
    <row r="37" spans="1:136" s="200" customFormat="1">
      <c r="A37" s="234"/>
      <c r="B37" s="234"/>
      <c r="C37" s="234"/>
      <c r="D37" s="14"/>
      <c r="E37" s="16"/>
      <c r="F37" s="19"/>
      <c r="G37" s="14"/>
      <c r="H37" s="16"/>
      <c r="I37" s="14"/>
      <c r="J37" s="14"/>
      <c r="K37" s="20"/>
      <c r="L37" s="14"/>
      <c r="M37" s="16"/>
      <c r="N37" s="16"/>
      <c r="O37" s="14"/>
      <c r="P37" s="14"/>
      <c r="Q37" s="14"/>
      <c r="R37" s="14"/>
      <c r="S37" s="56"/>
      <c r="T37" s="56"/>
      <c r="U37" s="18"/>
      <c r="V37" s="16"/>
      <c r="W37" s="18"/>
      <c r="X37" s="16"/>
      <c r="Y37" s="14"/>
      <c r="Z37" s="16"/>
      <c r="AA37" s="142"/>
      <c r="AB37" s="143"/>
      <c r="AC37" s="27"/>
      <c r="AD37" s="18"/>
      <c r="AE37" s="19"/>
      <c r="AF37" s="143"/>
      <c r="AG37" s="14"/>
      <c r="AH37" s="56"/>
      <c r="AI37" s="143"/>
      <c r="AJ37" s="238"/>
      <c r="AK37" s="14"/>
      <c r="AL37" s="56"/>
      <c r="AM37" s="14"/>
      <c r="AN37" s="16"/>
      <c r="AO37" s="16"/>
      <c r="AP37" s="14"/>
      <c r="AQ37" s="55"/>
      <c r="AR37" s="16"/>
      <c r="AS37" s="14"/>
      <c r="AT37" s="8"/>
      <c r="AU37" s="8"/>
      <c r="AV37" s="14"/>
      <c r="AW37" s="14"/>
      <c r="AX37" s="14"/>
      <c r="AY37" s="14"/>
      <c r="AZ37" s="16"/>
      <c r="BA37" s="16"/>
      <c r="BB37" s="22"/>
      <c r="BC37" s="21"/>
      <c r="BD37" s="196"/>
      <c r="BE37" s="18"/>
      <c r="BF37" s="18"/>
      <c r="BG37" s="22"/>
      <c r="BH37" s="21"/>
      <c r="BI37" s="22"/>
      <c r="BJ37" s="22"/>
      <c r="BK37" s="18"/>
      <c r="BL37" s="18"/>
      <c r="BM37" s="22"/>
      <c r="BN37" s="18"/>
      <c r="BO37" s="21"/>
      <c r="BP37" s="18"/>
      <c r="BQ37" s="18"/>
      <c r="BR37" s="22"/>
      <c r="BS37" s="18"/>
      <c r="BT37" s="17"/>
      <c r="BU37" s="18"/>
      <c r="BV37" s="18"/>
      <c r="BW37" s="18"/>
      <c r="BX37" s="18"/>
      <c r="BY37" s="18"/>
      <c r="BZ37" s="18"/>
      <c r="CA37" s="18"/>
      <c r="CB37" s="17"/>
      <c r="CC37" s="17"/>
      <c r="CD37" s="17"/>
      <c r="CE37" s="17"/>
      <c r="CF37" s="17"/>
      <c r="CG37" s="196"/>
      <c r="CH37" s="17"/>
      <c r="CI37" s="7"/>
      <c r="CJ37" s="7"/>
      <c r="CK37" s="8"/>
      <c r="CL37" s="8"/>
      <c r="CM37" s="8"/>
      <c r="CN37" s="7"/>
      <c r="CO37" s="7"/>
      <c r="CP37" s="8"/>
      <c r="CQ37" s="7"/>
      <c r="CR37" s="7"/>
      <c r="CS37" s="8"/>
      <c r="CT37" s="28"/>
      <c r="CU37" s="7"/>
      <c r="CV37" s="8"/>
      <c r="CW37" s="8"/>
      <c r="CX37" s="8"/>
      <c r="CY37" s="8"/>
      <c r="CZ37" s="8"/>
      <c r="DA37" s="8"/>
      <c r="DB37" s="7"/>
      <c r="DC37" s="8"/>
      <c r="DD37" s="8"/>
      <c r="DE37" s="8"/>
      <c r="DF37" s="8"/>
      <c r="DG37" s="8"/>
      <c r="DH37" s="8"/>
      <c r="DI37" s="8"/>
      <c r="DJ37" s="197"/>
      <c r="DK37" s="8"/>
      <c r="DL37" s="42"/>
      <c r="DM37" s="42"/>
      <c r="DN37" s="19"/>
      <c r="DO37" s="42"/>
      <c r="DP37" s="42"/>
      <c r="DQ37" s="42"/>
      <c r="DR37" s="43"/>
      <c r="DS37" s="43"/>
      <c r="DT37" s="42"/>
      <c r="DU37" s="42"/>
      <c r="DV37" s="42"/>
      <c r="DW37" s="43"/>
      <c r="DX37" s="42"/>
      <c r="DY37" s="42"/>
      <c r="DZ37" s="42"/>
      <c r="EA37" s="41"/>
      <c r="EB37" s="42"/>
      <c r="EC37" s="42"/>
      <c r="ED37" s="196"/>
      <c r="EE37" s="198"/>
      <c r="EF37" s="199"/>
    </row>
    <row r="38" spans="1:136" s="195" customFormat="1">
      <c r="A38" s="184"/>
      <c r="B38" s="184"/>
      <c r="C38" s="184"/>
      <c r="D38" s="181"/>
      <c r="E38" s="182"/>
      <c r="F38" s="183"/>
      <c r="G38" s="181"/>
      <c r="H38" s="182"/>
      <c r="I38" s="181"/>
      <c r="J38" s="183"/>
      <c r="K38" s="184"/>
      <c r="L38" s="181"/>
      <c r="M38" s="182"/>
      <c r="N38" s="182"/>
      <c r="O38" s="181"/>
      <c r="P38" s="181"/>
      <c r="Q38" s="181"/>
      <c r="R38" s="181"/>
      <c r="S38" s="185"/>
      <c r="T38" s="185"/>
      <c r="U38" s="182"/>
      <c r="V38" s="182"/>
      <c r="W38" s="182"/>
      <c r="X38" s="182"/>
      <c r="Y38" s="181"/>
      <c r="Z38" s="182"/>
      <c r="AA38" s="186"/>
      <c r="AB38" s="187"/>
      <c r="AC38" s="188"/>
      <c r="AD38" s="182"/>
      <c r="AE38" s="183"/>
      <c r="AF38" s="187"/>
      <c r="AG38" s="181"/>
      <c r="AH38" s="185"/>
      <c r="AI38" s="187"/>
      <c r="AJ38" s="238"/>
      <c r="AK38" s="181"/>
      <c r="AL38" s="185"/>
      <c r="AM38" s="181"/>
      <c r="AN38" s="182"/>
      <c r="AO38" s="201"/>
      <c r="AP38" s="181"/>
      <c r="AQ38" s="189"/>
      <c r="AR38" s="182"/>
      <c r="AS38" s="181"/>
      <c r="AT38" s="190"/>
      <c r="AU38" s="190"/>
      <c r="AV38" s="181"/>
      <c r="AW38" s="181"/>
      <c r="AX38" s="181"/>
      <c r="AY38" s="181"/>
      <c r="AZ38" s="182"/>
      <c r="BA38" s="190"/>
      <c r="BB38" s="181"/>
      <c r="BC38" s="183"/>
      <c r="BD38" s="190"/>
      <c r="BE38" s="190"/>
      <c r="BF38" s="190"/>
      <c r="BG38" s="183"/>
      <c r="BH38" s="183"/>
      <c r="BI38" s="181"/>
      <c r="BJ38" s="181"/>
      <c r="BK38" s="190"/>
      <c r="BL38" s="190"/>
      <c r="BM38" s="183"/>
      <c r="BN38" s="190"/>
      <c r="BO38" s="183"/>
      <c r="BP38" s="190"/>
      <c r="BQ38" s="190"/>
      <c r="BR38" s="183"/>
      <c r="BS38" s="190"/>
      <c r="BT38" s="190"/>
      <c r="BU38" s="190"/>
      <c r="BV38" s="190"/>
      <c r="BW38" s="190"/>
      <c r="BX38" s="190"/>
      <c r="BY38" s="190"/>
      <c r="BZ38" s="190"/>
      <c r="CA38" s="190"/>
      <c r="CB38" s="190"/>
      <c r="CC38" s="190"/>
      <c r="CD38" s="190"/>
      <c r="CE38" s="190"/>
      <c r="CF38" s="190"/>
      <c r="CG38" s="190"/>
      <c r="CH38" s="190"/>
      <c r="CI38" s="183"/>
      <c r="CJ38" s="183"/>
      <c r="CK38" s="190"/>
      <c r="CL38" s="190"/>
      <c r="CM38" s="190"/>
      <c r="CN38" s="183"/>
      <c r="CO38" s="183"/>
      <c r="CP38" s="190"/>
      <c r="CQ38" s="183"/>
      <c r="CR38" s="183"/>
      <c r="CS38" s="190"/>
      <c r="CT38" s="192"/>
      <c r="CU38" s="183"/>
      <c r="CV38" s="190"/>
      <c r="CW38" s="190"/>
      <c r="CX38" s="190"/>
      <c r="CY38" s="190"/>
      <c r="CZ38" s="190"/>
      <c r="DA38" s="190"/>
      <c r="DB38" s="183"/>
      <c r="DC38" s="190"/>
      <c r="DD38" s="190"/>
      <c r="DE38" s="190"/>
      <c r="DF38" s="190"/>
      <c r="DG38" s="190"/>
      <c r="DH38" s="190"/>
      <c r="DI38" s="190"/>
      <c r="DJ38" s="193"/>
      <c r="DK38" s="190"/>
      <c r="DL38" s="182"/>
      <c r="DM38" s="182"/>
      <c r="DN38" s="183"/>
      <c r="DO38" s="182"/>
      <c r="DP38" s="182"/>
      <c r="DQ38" s="182"/>
      <c r="DR38" s="181"/>
      <c r="DS38" s="181"/>
      <c r="DT38" s="182"/>
      <c r="DU38" s="182"/>
      <c r="DV38" s="182"/>
      <c r="DW38" s="181"/>
      <c r="DX38" s="182"/>
      <c r="DY38" s="182"/>
      <c r="DZ38" s="190"/>
      <c r="EA38" s="185"/>
      <c r="EB38" s="190"/>
      <c r="EC38" s="190"/>
      <c r="ED38" s="190"/>
      <c r="EE38" s="194"/>
    </row>
    <row r="39" spans="1:136" s="195" customFormat="1">
      <c r="A39" s="184"/>
      <c r="B39" s="184"/>
      <c r="C39" s="184"/>
      <c r="D39" s="181">
        <f>'Run Parameters'!$B$1 + ROW()-1</f>
        <v>106993</v>
      </c>
      <c r="E39" s="182" t="s">
        <v>47</v>
      </c>
      <c r="F39" s="183" t="s">
        <v>789</v>
      </c>
      <c r="G39" s="181" t="str">
        <f>("Access Dtls-" &amp; D39)</f>
        <v>Access Dtls-106993</v>
      </c>
      <c r="H39" s="182" t="s">
        <v>277</v>
      </c>
      <c r="I39" s="181" t="str">
        <f>("MR. Test_"&amp; AV39 &amp;"_EXCH3")</f>
        <v>MR. Test_106993_EXCH3</v>
      </c>
      <c r="J39" s="183"/>
      <c r="K39" s="184" t="s">
        <v>434</v>
      </c>
      <c r="L39" s="181" t="str">
        <f>("Cust. Ref-" &amp; D39)</f>
        <v>Cust. Ref-106993</v>
      </c>
      <c r="M39" s="182" t="s">
        <v>48</v>
      </c>
      <c r="N39" s="182" t="s">
        <v>434</v>
      </c>
      <c r="O39" s="181"/>
      <c r="P39" s="181" t="str">
        <f>("SN-" &amp; D39)</f>
        <v>SN-106993</v>
      </c>
      <c r="Q39" s="181" t="str">
        <f>("SI-" &amp; D39)</f>
        <v>SI-106993</v>
      </c>
      <c r="R39" s="181" t="str">
        <f>("SE-" &amp; D39)</f>
        <v>SE-106993</v>
      </c>
      <c r="S39" s="185" t="str">
        <f>("Prev_RA-" &amp; D39)</f>
        <v>Prev_RA-106993</v>
      </c>
      <c r="T39" s="185" t="str">
        <f>("Prev_Comms-" &amp; D39)</f>
        <v>Prev_Comms-106993</v>
      </c>
      <c r="U39" s="182" t="s">
        <v>75</v>
      </c>
      <c r="V39" s="182" t="s">
        <v>406</v>
      </c>
      <c r="W39" s="182" t="s">
        <v>75</v>
      </c>
      <c r="X39" s="182" t="s">
        <v>401</v>
      </c>
      <c r="Y39" s="181" t="str">
        <f>("Forward Add-" &amp; D39)</f>
        <v>Forward Add-106993</v>
      </c>
      <c r="Z39" s="182" t="s">
        <v>406</v>
      </c>
      <c r="AA39" s="186" t="str">
        <f>'Run Parameters'!$B$2</f>
        <v>2017-06-26 08:00</v>
      </c>
      <c r="AB39" s="186" t="str">
        <f>'Run Parameters'!B$3</f>
        <v>2017-06-26 18:00</v>
      </c>
      <c r="AC39" s="188">
        <f>('Run Parameters'!$B$2) - 7</f>
        <v>42905.333333333336</v>
      </c>
      <c r="AD39" s="182" t="s">
        <v>75</v>
      </c>
      <c r="AE39" s="183" t="str">
        <f>("LAST_METER-" &amp; D39)</f>
        <v>LAST_METER-106993</v>
      </c>
      <c r="AF39" s="186" t="str">
        <f>'Run Parameters'!$B$2</f>
        <v>2017-06-26 08:00</v>
      </c>
      <c r="AG39" s="181" t="str">
        <f>'Run Parameters'!B$4</f>
        <v xml:space="preserve">AUTOTEST </v>
      </c>
      <c r="AH39" s="185" t="str">
        <f>("Site_Contact_" &amp; D39)</f>
        <v>Site_Contact_106993</v>
      </c>
      <c r="AI39" s="186" t="str">
        <f>'Run Parameters'!B$2</f>
        <v>2017-06-26 08:00</v>
      </c>
      <c r="AJ39" s="240" t="str">
        <f>'Run Parameters'!B$3</f>
        <v>2017-06-26 18:00</v>
      </c>
      <c r="AK39" s="181" t="s">
        <v>401</v>
      </c>
      <c r="AL39" s="185" t="str">
        <f>"01159" &amp; D39</f>
        <v>01159106993</v>
      </c>
      <c r="AM39" s="181" t="str">
        <f>("0115" &amp; D39)</f>
        <v>0115106993</v>
      </c>
      <c r="AN39" s="182"/>
      <c r="AO39" s="201"/>
      <c r="AP39" s="181">
        <v>1</v>
      </c>
      <c r="AQ39" s="189" t="s">
        <v>49</v>
      </c>
      <c r="AR39" s="182"/>
      <c r="AS39" s="181"/>
      <c r="AT39" s="190" t="s">
        <v>405</v>
      </c>
      <c r="AU39" s="190"/>
      <c r="AV39" s="181">
        <f>D39</f>
        <v>106993</v>
      </c>
      <c r="AW39" s="181" t="s">
        <v>790</v>
      </c>
      <c r="AX39" s="181" t="s">
        <v>428</v>
      </c>
      <c r="AY39" s="181" t="s">
        <v>429</v>
      </c>
      <c r="AZ39" s="182" t="s">
        <v>338</v>
      </c>
      <c r="BA39" s="190" t="s">
        <v>155</v>
      </c>
      <c r="BB39" s="181">
        <v>1</v>
      </c>
      <c r="BC39" s="183">
        <f>D39</f>
        <v>106993</v>
      </c>
      <c r="BD39" s="190" t="s">
        <v>791</v>
      </c>
      <c r="BE39" s="190" t="s">
        <v>395</v>
      </c>
      <c r="BF39" s="190" t="s">
        <v>395</v>
      </c>
      <c r="BG39" s="183" t="s">
        <v>789</v>
      </c>
      <c r="BH39" s="183" t="str">
        <f>BC39&amp;"_"&amp;BB39</f>
        <v>106993_1</v>
      </c>
      <c r="BI39" s="181"/>
      <c r="BJ39" s="181" t="str">
        <f>"10000000" &amp; D39</f>
        <v>10000000106993</v>
      </c>
      <c r="BK39" s="190" t="s">
        <v>51</v>
      </c>
      <c r="BL39" s="190" t="s">
        <v>54</v>
      </c>
      <c r="BM39" s="183" t="s">
        <v>792</v>
      </c>
      <c r="BN39" s="190" t="s">
        <v>51</v>
      </c>
      <c r="BO39" s="183" t="str">
        <f>"S05S" &amp; D39</f>
        <v>S05S106993</v>
      </c>
      <c r="BP39" s="190" t="s">
        <v>793</v>
      </c>
      <c r="BQ39" s="190" t="s">
        <v>793</v>
      </c>
      <c r="BR39" s="183" t="s">
        <v>162</v>
      </c>
      <c r="BS39" s="190" t="s">
        <v>50</v>
      </c>
      <c r="BT39" s="190" t="s">
        <v>47</v>
      </c>
      <c r="BU39" s="190" t="s">
        <v>398</v>
      </c>
      <c r="BV39" s="190" t="s">
        <v>51</v>
      </c>
      <c r="BW39" s="190" t="s">
        <v>155</v>
      </c>
      <c r="BX39" s="190"/>
      <c r="BY39" s="190"/>
      <c r="BZ39" s="190" t="s">
        <v>158</v>
      </c>
      <c r="CA39" s="190" t="s">
        <v>270</v>
      </c>
      <c r="CB39" s="190" t="s">
        <v>418</v>
      </c>
      <c r="CC39" s="190" t="s">
        <v>794</v>
      </c>
      <c r="CD39" s="190" t="s">
        <v>396</v>
      </c>
      <c r="CE39" s="190" t="s">
        <v>401</v>
      </c>
      <c r="CF39" s="190" t="s">
        <v>403</v>
      </c>
      <c r="CG39" s="190" t="s">
        <v>268</v>
      </c>
      <c r="CH39" s="190" t="s">
        <v>160</v>
      </c>
      <c r="CI39" s="183">
        <v>1</v>
      </c>
      <c r="CJ39" s="183" t="str">
        <f>("GAS_ENQ_NO-" &amp; D39)</f>
        <v>GAS_ENQ_NO-106993</v>
      </c>
      <c r="CK39" s="190" t="s">
        <v>166</v>
      </c>
      <c r="CL39" s="190" t="s">
        <v>395</v>
      </c>
      <c r="CM39" s="190" t="s">
        <v>395</v>
      </c>
      <c r="CN39" s="183" t="s">
        <v>281</v>
      </c>
      <c r="CO39" s="183" t="str">
        <f>("GAS_JOB_ID-" &amp; D39)</f>
        <v>GAS_JOB_ID-106993</v>
      </c>
      <c r="CP39" s="190"/>
      <c r="CQ39" s="183" t="str">
        <f>"10000" &amp; D39</f>
        <v>10000106993</v>
      </c>
      <c r="CR39" s="183" t="s">
        <v>155</v>
      </c>
      <c r="CS39" s="190" t="s">
        <v>51</v>
      </c>
      <c r="CT39" s="192" t="str">
        <f>"GMETER" &amp; D39</f>
        <v>GMETER106993</v>
      </c>
      <c r="CU39" s="183" t="s">
        <v>162</v>
      </c>
      <c r="CV39" s="190" t="s">
        <v>166</v>
      </c>
      <c r="CW39" s="190" t="s">
        <v>795</v>
      </c>
      <c r="CX39" s="190"/>
      <c r="CY39" s="190"/>
      <c r="CZ39" s="190" t="s">
        <v>399</v>
      </c>
      <c r="DA39" s="190" t="s">
        <v>400</v>
      </c>
      <c r="DB39" s="183" t="str">
        <f>("GAS_INST_ID-" &amp; $D39)</f>
        <v>GAS_INST_ID-106993</v>
      </c>
      <c r="DC39" s="190" t="s">
        <v>162</v>
      </c>
      <c r="DD39" s="190"/>
      <c r="DE39" s="190" t="s">
        <v>51</v>
      </c>
      <c r="DF39" s="190" t="s">
        <v>265</v>
      </c>
      <c r="DG39" s="190"/>
      <c r="DH39" s="190" t="s">
        <v>402</v>
      </c>
      <c r="DI39" s="190" t="s">
        <v>404</v>
      </c>
      <c r="DJ39" s="193" t="s">
        <v>268</v>
      </c>
      <c r="DK39" s="190" t="s">
        <v>141</v>
      </c>
      <c r="DL39" s="182"/>
      <c r="DM39" s="182"/>
      <c r="DN39" s="183" t="str">
        <f>("DS_Pass-" &amp; $D39)</f>
        <v>DS_Pass-106993</v>
      </c>
      <c r="DO39" s="182"/>
      <c r="DP39" s="182"/>
      <c r="DQ39" s="182"/>
      <c r="DR39" s="181"/>
      <c r="DS39" s="181"/>
      <c r="DT39" s="182"/>
      <c r="DU39" s="182"/>
      <c r="DV39" s="182"/>
      <c r="DW39" s="181"/>
      <c r="DX39" s="182"/>
      <c r="DY39" s="182"/>
      <c r="DZ39" s="190" t="s">
        <v>793</v>
      </c>
      <c r="EA39" s="185"/>
      <c r="EB39" s="190"/>
      <c r="EC39" s="190"/>
      <c r="ED39" s="190"/>
      <c r="EE39" s="194"/>
    </row>
    <row r="40" spans="1:136" s="195" customFormat="1">
      <c r="A40" s="184"/>
      <c r="B40" s="184"/>
      <c r="C40" s="184"/>
      <c r="D40" s="181">
        <f>'Run Parameters'!$B$1 + ROW()-1</f>
        <v>106994</v>
      </c>
      <c r="E40" s="182" t="s">
        <v>47</v>
      </c>
      <c r="F40" s="183" t="s">
        <v>789</v>
      </c>
      <c r="G40" s="181" t="str">
        <f>("Access Dtls-" &amp; D40)</f>
        <v>Access Dtls-106994</v>
      </c>
      <c r="H40" s="182" t="s">
        <v>277</v>
      </c>
      <c r="I40" s="181" t="str">
        <f>("MR. Test_"&amp; AV40 &amp;"_EXCH3")</f>
        <v>MR. Test_106994_EXCH3</v>
      </c>
      <c r="J40" s="183"/>
      <c r="K40" s="184" t="s">
        <v>434</v>
      </c>
      <c r="L40" s="181" t="str">
        <f>("Cust. Ref-" &amp; D40)</f>
        <v>Cust. Ref-106994</v>
      </c>
      <c r="M40" s="182" t="s">
        <v>48</v>
      </c>
      <c r="N40" s="182" t="s">
        <v>434</v>
      </c>
      <c r="O40" s="181"/>
      <c r="P40" s="181" t="str">
        <f>("SN-" &amp; D40)</f>
        <v>SN-106994</v>
      </c>
      <c r="Q40" s="181" t="str">
        <f>("SI-" &amp; D40)</f>
        <v>SI-106994</v>
      </c>
      <c r="R40" s="181" t="str">
        <f>("SE-" &amp; D40)</f>
        <v>SE-106994</v>
      </c>
      <c r="S40" s="185" t="str">
        <f>("Prev_RA-" &amp; D40)</f>
        <v>Prev_RA-106994</v>
      </c>
      <c r="T40" s="185" t="str">
        <f>("Prev_Comms-" &amp; D40)</f>
        <v>Prev_Comms-106994</v>
      </c>
      <c r="U40" s="182" t="s">
        <v>75</v>
      </c>
      <c r="V40" s="182" t="s">
        <v>406</v>
      </c>
      <c r="W40" s="182" t="s">
        <v>75</v>
      </c>
      <c r="X40" s="182" t="s">
        <v>401</v>
      </c>
      <c r="Y40" s="181" t="str">
        <f>("Forward Add-" &amp; D40)</f>
        <v>Forward Add-106994</v>
      </c>
      <c r="Z40" s="182" t="s">
        <v>406</v>
      </c>
      <c r="AA40" s="186" t="str">
        <f>'Run Parameters'!$B$2</f>
        <v>2017-06-26 08:00</v>
      </c>
      <c r="AB40" s="186" t="str">
        <f>'Run Parameters'!B$3</f>
        <v>2017-06-26 18:00</v>
      </c>
      <c r="AC40" s="188">
        <f>('Run Parameters'!$B$2) - 7</f>
        <v>42905.333333333336</v>
      </c>
      <c r="AD40" s="182" t="s">
        <v>75</v>
      </c>
      <c r="AE40" s="183" t="str">
        <f>("LAST_METER-" &amp; D40)</f>
        <v>LAST_METER-106994</v>
      </c>
      <c r="AF40" s="186" t="str">
        <f>'Run Parameters'!$B$2</f>
        <v>2017-06-26 08:00</v>
      </c>
      <c r="AG40" s="181" t="str">
        <f>'Run Parameters'!B$4</f>
        <v xml:space="preserve">AUTOTEST </v>
      </c>
      <c r="AH40" s="185" t="str">
        <f>("Site_Contact_" &amp; D40)</f>
        <v>Site_Contact_106994</v>
      </c>
      <c r="AI40" s="186" t="str">
        <f>'Run Parameters'!B$2</f>
        <v>2017-06-26 08:00</v>
      </c>
      <c r="AJ40" s="240" t="str">
        <f>'Run Parameters'!B$3</f>
        <v>2017-06-26 18:00</v>
      </c>
      <c r="AK40" s="181" t="s">
        <v>401</v>
      </c>
      <c r="AL40" s="185" t="str">
        <f>"01159" &amp; D40</f>
        <v>01159106994</v>
      </c>
      <c r="AM40" s="181" t="str">
        <f>("0115" &amp; D40)</f>
        <v>0115106994</v>
      </c>
      <c r="AN40" s="182"/>
      <c r="AO40" s="201"/>
      <c r="AP40" s="181">
        <v>1</v>
      </c>
      <c r="AQ40" s="189" t="s">
        <v>49</v>
      </c>
      <c r="AR40" s="182"/>
      <c r="AS40" s="181"/>
      <c r="AT40" s="190" t="s">
        <v>405</v>
      </c>
      <c r="AU40" s="190"/>
      <c r="AV40" s="181">
        <f>D40</f>
        <v>106994</v>
      </c>
      <c r="AW40" s="181" t="s">
        <v>790</v>
      </c>
      <c r="AX40" s="181" t="s">
        <v>428</v>
      </c>
      <c r="AY40" s="181" t="s">
        <v>429</v>
      </c>
      <c r="AZ40" s="182" t="s">
        <v>338</v>
      </c>
      <c r="BA40" s="190" t="s">
        <v>155</v>
      </c>
      <c r="BB40" s="181">
        <v>1</v>
      </c>
      <c r="BC40" s="183">
        <f>D40</f>
        <v>106994</v>
      </c>
      <c r="BD40" s="190" t="s">
        <v>791</v>
      </c>
      <c r="BE40" s="190" t="s">
        <v>395</v>
      </c>
      <c r="BF40" s="190" t="s">
        <v>395</v>
      </c>
      <c r="BG40" s="183" t="s">
        <v>789</v>
      </c>
      <c r="BH40" s="183" t="str">
        <f>BC40&amp;"_"&amp;BB40</f>
        <v>106994_1</v>
      </c>
      <c r="BI40" s="181"/>
      <c r="BJ40" s="181" t="str">
        <f>"10000000" &amp; D40</f>
        <v>10000000106994</v>
      </c>
      <c r="BK40" s="190" t="s">
        <v>51</v>
      </c>
      <c r="BL40" s="190" t="s">
        <v>54</v>
      </c>
      <c r="BM40" s="183" t="s">
        <v>792</v>
      </c>
      <c r="BN40" s="190" t="s">
        <v>51</v>
      </c>
      <c r="BO40" s="183" t="str">
        <f>"S05S" &amp; D40</f>
        <v>S05S106994</v>
      </c>
      <c r="BP40" s="190" t="s">
        <v>793</v>
      </c>
      <c r="BQ40" s="190" t="s">
        <v>793</v>
      </c>
      <c r="BR40" s="183" t="s">
        <v>162</v>
      </c>
      <c r="BS40" s="190" t="s">
        <v>50</v>
      </c>
      <c r="BT40" s="190" t="s">
        <v>47</v>
      </c>
      <c r="BU40" s="190" t="s">
        <v>398</v>
      </c>
      <c r="BV40" s="190" t="s">
        <v>51</v>
      </c>
      <c r="BW40" s="190" t="s">
        <v>155</v>
      </c>
      <c r="BX40" s="190"/>
      <c r="BY40" s="190"/>
      <c r="BZ40" s="190" t="s">
        <v>158</v>
      </c>
      <c r="CA40" s="190" t="s">
        <v>270</v>
      </c>
      <c r="CB40" s="190" t="s">
        <v>418</v>
      </c>
      <c r="CC40" s="190" t="s">
        <v>794</v>
      </c>
      <c r="CD40" s="190" t="s">
        <v>396</v>
      </c>
      <c r="CE40" s="190" t="s">
        <v>401</v>
      </c>
      <c r="CF40" s="190" t="s">
        <v>403</v>
      </c>
      <c r="CG40" s="190" t="s">
        <v>268</v>
      </c>
      <c r="CH40" s="190" t="s">
        <v>160</v>
      </c>
      <c r="CI40" s="183">
        <v>1</v>
      </c>
      <c r="CJ40" s="183" t="str">
        <f>("GAS_ENQ_NO-" &amp; D40)</f>
        <v>GAS_ENQ_NO-106994</v>
      </c>
      <c r="CK40" s="190" t="s">
        <v>166</v>
      </c>
      <c r="CL40" s="190" t="s">
        <v>395</v>
      </c>
      <c r="CM40" s="190" t="s">
        <v>395</v>
      </c>
      <c r="CN40" s="183" t="s">
        <v>281</v>
      </c>
      <c r="CO40" s="183" t="str">
        <f>("GAS_JOB_ID-" &amp; D40)</f>
        <v>GAS_JOB_ID-106994</v>
      </c>
      <c r="CP40" s="190"/>
      <c r="CQ40" s="183" t="str">
        <f>"10000" &amp; D40</f>
        <v>10000106994</v>
      </c>
      <c r="CR40" s="183" t="s">
        <v>155</v>
      </c>
      <c r="CS40" s="190" t="s">
        <v>51</v>
      </c>
      <c r="CT40" s="192" t="str">
        <f>"GMETER" &amp; D40</f>
        <v>GMETER106994</v>
      </c>
      <c r="CU40" s="183" t="s">
        <v>162</v>
      </c>
      <c r="CV40" s="190" t="s">
        <v>166</v>
      </c>
      <c r="CW40" s="190" t="s">
        <v>795</v>
      </c>
      <c r="CX40" s="190"/>
      <c r="CY40" s="190"/>
      <c r="CZ40" s="190" t="s">
        <v>399</v>
      </c>
      <c r="DA40" s="190" t="s">
        <v>400</v>
      </c>
      <c r="DB40" s="183" t="str">
        <f>("GAS_INST_ID-" &amp; $D40)</f>
        <v>GAS_INST_ID-106994</v>
      </c>
      <c r="DC40" s="190" t="s">
        <v>162</v>
      </c>
      <c r="DD40" s="190"/>
      <c r="DE40" s="190" t="s">
        <v>51</v>
      </c>
      <c r="DF40" s="190" t="s">
        <v>265</v>
      </c>
      <c r="DG40" s="190"/>
      <c r="DH40" s="190" t="s">
        <v>402</v>
      </c>
      <c r="DI40" s="190" t="s">
        <v>404</v>
      </c>
      <c r="DJ40" s="193" t="s">
        <v>268</v>
      </c>
      <c r="DK40" s="190" t="s">
        <v>141</v>
      </c>
      <c r="DL40" s="182"/>
      <c r="DM40" s="182"/>
      <c r="DN40" s="183" t="str">
        <f>("DS_Pass-" &amp; $D40)</f>
        <v>DS_Pass-106994</v>
      </c>
      <c r="DO40" s="182"/>
      <c r="DP40" s="182"/>
      <c r="DQ40" s="182"/>
      <c r="DR40" s="181"/>
      <c r="DS40" s="181"/>
      <c r="DT40" s="182"/>
      <c r="DU40" s="182"/>
      <c r="DV40" s="182"/>
      <c r="DW40" s="181"/>
      <c r="DX40" s="182"/>
      <c r="DY40" s="182"/>
      <c r="DZ40" s="190" t="s">
        <v>793</v>
      </c>
      <c r="EA40" s="185"/>
      <c r="EB40" s="190"/>
      <c r="EC40" s="190"/>
      <c r="ED40" s="190"/>
      <c r="EE40" s="194"/>
    </row>
    <row r="41" spans="1:136" s="195" customFormat="1">
      <c r="A41" s="184"/>
      <c r="B41" s="184"/>
      <c r="C41" s="184"/>
      <c r="D41" s="181">
        <f>'Run Parameters'!$B$1 + ROW()-1</f>
        <v>106995</v>
      </c>
      <c r="E41" s="182" t="s">
        <v>47</v>
      </c>
      <c r="F41" s="183" t="s">
        <v>789</v>
      </c>
      <c r="G41" s="181" t="str">
        <f>("Access Dtls-" &amp; D41)</f>
        <v>Access Dtls-106995</v>
      </c>
      <c r="H41" s="182" t="s">
        <v>277</v>
      </c>
      <c r="I41" s="181" t="str">
        <f>("MR. Test_"&amp; AV41 &amp;"_EXCH3")</f>
        <v>MR. Test_106995_EXCH3</v>
      </c>
      <c r="J41" s="183"/>
      <c r="K41" s="184" t="s">
        <v>434</v>
      </c>
      <c r="L41" s="181" t="str">
        <f>("Cust. Ref-" &amp; D41)</f>
        <v>Cust. Ref-106995</v>
      </c>
      <c r="M41" s="182" t="s">
        <v>48</v>
      </c>
      <c r="N41" s="182" t="s">
        <v>434</v>
      </c>
      <c r="O41" s="181"/>
      <c r="P41" s="181" t="str">
        <f>("SN-" &amp; D41)</f>
        <v>SN-106995</v>
      </c>
      <c r="Q41" s="181" t="str">
        <f>("SI-" &amp; D41)</f>
        <v>SI-106995</v>
      </c>
      <c r="R41" s="181" t="str">
        <f>("SE-" &amp; D41)</f>
        <v>SE-106995</v>
      </c>
      <c r="S41" s="185" t="str">
        <f>("Prev_RA-" &amp; D41)</f>
        <v>Prev_RA-106995</v>
      </c>
      <c r="T41" s="185" t="str">
        <f>("Prev_Comms-" &amp; D41)</f>
        <v>Prev_Comms-106995</v>
      </c>
      <c r="U41" s="182" t="s">
        <v>75</v>
      </c>
      <c r="V41" s="182" t="s">
        <v>868</v>
      </c>
      <c r="W41" s="182" t="s">
        <v>75</v>
      </c>
      <c r="X41" s="182" t="s">
        <v>401</v>
      </c>
      <c r="Y41" s="181" t="str">
        <f>("Forward Add-" &amp; D41)</f>
        <v>Forward Add-106995</v>
      </c>
      <c r="Z41" s="182" t="s">
        <v>868</v>
      </c>
      <c r="AA41" s="186" t="str">
        <f>'Run Parameters'!$B$2</f>
        <v>2017-06-26 08:00</v>
      </c>
      <c r="AB41" s="186" t="str">
        <f>'Run Parameters'!B$3</f>
        <v>2017-06-26 18:00</v>
      </c>
      <c r="AC41" s="188">
        <f>('Run Parameters'!$B$2) - 7</f>
        <v>42905.333333333336</v>
      </c>
      <c r="AD41" s="182" t="s">
        <v>75</v>
      </c>
      <c r="AE41" s="183" t="str">
        <f>("LAST_METER-" &amp; D41)</f>
        <v>LAST_METER-106995</v>
      </c>
      <c r="AF41" s="186" t="str">
        <f>'Run Parameters'!$B$2</f>
        <v>2017-06-26 08:00</v>
      </c>
      <c r="AG41" s="181" t="str">
        <f>'Run Parameters'!B$4</f>
        <v xml:space="preserve">AUTOTEST </v>
      </c>
      <c r="AH41" s="185" t="str">
        <f>("Site_Contact_" &amp; D41)</f>
        <v>Site_Contact_106995</v>
      </c>
      <c r="AI41" s="186" t="str">
        <f>'Run Parameters'!B$2</f>
        <v>2017-06-26 08:00</v>
      </c>
      <c r="AJ41" s="240" t="str">
        <f>'Run Parameters'!B$3</f>
        <v>2017-06-26 18:00</v>
      </c>
      <c r="AK41" s="181" t="s">
        <v>401</v>
      </c>
      <c r="AL41" s="185" t="str">
        <f>"01159" &amp; D41</f>
        <v>01159106995</v>
      </c>
      <c r="AM41" s="181" t="str">
        <f>("0115" &amp; D41)</f>
        <v>0115106995</v>
      </c>
      <c r="AN41" s="182"/>
      <c r="AO41" s="201"/>
      <c r="AP41" s="181">
        <v>2</v>
      </c>
      <c r="AQ41" s="189" t="s">
        <v>51</v>
      </c>
      <c r="AR41" s="182"/>
      <c r="AS41" s="181"/>
      <c r="AT41" s="190" t="s">
        <v>869</v>
      </c>
      <c r="AU41" s="190"/>
      <c r="AV41" s="181">
        <f>D41</f>
        <v>106995</v>
      </c>
      <c r="AW41" s="181" t="s">
        <v>790</v>
      </c>
      <c r="AX41" s="181" t="s">
        <v>428</v>
      </c>
      <c r="AY41" s="181" t="s">
        <v>429</v>
      </c>
      <c r="AZ41" s="182" t="s">
        <v>338</v>
      </c>
      <c r="BA41" s="190" t="s">
        <v>155</v>
      </c>
      <c r="BB41" s="181">
        <v>2</v>
      </c>
      <c r="BC41" s="183">
        <f>D41</f>
        <v>106995</v>
      </c>
      <c r="BD41" s="190" t="s">
        <v>791</v>
      </c>
      <c r="BE41" s="190" t="s">
        <v>395</v>
      </c>
      <c r="BF41" s="190" t="s">
        <v>395</v>
      </c>
      <c r="BG41" s="183" t="s">
        <v>789</v>
      </c>
      <c r="BH41" s="183" t="str">
        <f>BC41&amp;"_"&amp;BB41</f>
        <v>106995_2</v>
      </c>
      <c r="BI41" s="181"/>
      <c r="BJ41" s="181" t="str">
        <f>"10000000" &amp; D41</f>
        <v>10000000106995</v>
      </c>
      <c r="BK41" s="190" t="s">
        <v>65</v>
      </c>
      <c r="BL41" s="190" t="s">
        <v>870</v>
      </c>
      <c r="BM41" s="183" t="s">
        <v>871</v>
      </c>
      <c r="BN41" s="190" t="s">
        <v>65</v>
      </c>
      <c r="BO41" s="183" t="str">
        <f>"S05S" &amp; D41</f>
        <v>S05S106995</v>
      </c>
      <c r="BP41" s="190" t="s">
        <v>793</v>
      </c>
      <c r="BQ41" s="190" t="s">
        <v>793</v>
      </c>
      <c r="BR41" s="183" t="s">
        <v>162</v>
      </c>
      <c r="BS41" s="190" t="s">
        <v>203</v>
      </c>
      <c r="BT41" s="190" t="s">
        <v>47</v>
      </c>
      <c r="BU41" s="190" t="s">
        <v>872</v>
      </c>
      <c r="BV41" s="190" t="s">
        <v>65</v>
      </c>
      <c r="BW41" s="190" t="s">
        <v>155</v>
      </c>
      <c r="BX41" s="190"/>
      <c r="BY41" s="190"/>
      <c r="BZ41" s="190" t="s">
        <v>158</v>
      </c>
      <c r="CA41" s="190" t="s">
        <v>873</v>
      </c>
      <c r="CB41" s="190" t="s">
        <v>874</v>
      </c>
      <c r="CC41" s="190" t="s">
        <v>875</v>
      </c>
      <c r="CD41" s="190" t="s">
        <v>396</v>
      </c>
      <c r="CE41" s="190" t="s">
        <v>401</v>
      </c>
      <c r="CF41" s="190" t="s">
        <v>403</v>
      </c>
      <c r="CG41" s="190" t="s">
        <v>876</v>
      </c>
      <c r="CH41" s="190" t="s">
        <v>160</v>
      </c>
      <c r="CI41" s="183">
        <v>2</v>
      </c>
      <c r="CJ41" s="183" t="str">
        <f>("GAS_ENQ_NO-" &amp; D41)</f>
        <v>GAS_ENQ_NO-106995</v>
      </c>
      <c r="CK41" s="190" t="s">
        <v>877</v>
      </c>
      <c r="CL41" s="190" t="s">
        <v>395</v>
      </c>
      <c r="CM41" s="190" t="s">
        <v>395</v>
      </c>
      <c r="CN41" s="183" t="s">
        <v>281</v>
      </c>
      <c r="CO41" s="183" t="str">
        <f>("GAS_JOB_ID-" &amp; D41)</f>
        <v>GAS_JOB_ID-106995</v>
      </c>
      <c r="CP41" s="190"/>
      <c r="CQ41" s="183" t="str">
        <f>"10000" &amp; D41</f>
        <v>10000106995</v>
      </c>
      <c r="CR41" s="183" t="s">
        <v>155</v>
      </c>
      <c r="CS41" s="190" t="s">
        <v>65</v>
      </c>
      <c r="CT41" s="192" t="str">
        <f>"GMETER" &amp; D41</f>
        <v>GMETER106995</v>
      </c>
      <c r="CU41" s="183" t="s">
        <v>162</v>
      </c>
      <c r="CV41" s="190" t="s">
        <v>877</v>
      </c>
      <c r="CW41" s="190" t="s">
        <v>795</v>
      </c>
      <c r="CX41" s="190"/>
      <c r="CY41" s="190"/>
      <c r="CZ41" s="190" t="s">
        <v>399</v>
      </c>
      <c r="DA41" s="190" t="s">
        <v>400</v>
      </c>
      <c r="DB41" s="183" t="str">
        <f>("GAS_INST_ID-" &amp; $D41)</f>
        <v>GAS_INST_ID-106995</v>
      </c>
      <c r="DC41" s="190" t="s">
        <v>162</v>
      </c>
      <c r="DD41" s="190"/>
      <c r="DE41" s="190" t="s">
        <v>65</v>
      </c>
      <c r="DF41" s="190" t="s">
        <v>878</v>
      </c>
      <c r="DG41" s="190"/>
      <c r="DH41" s="190" t="s">
        <v>402</v>
      </c>
      <c r="DI41" s="190" t="s">
        <v>404</v>
      </c>
      <c r="DJ41" s="193" t="s">
        <v>876</v>
      </c>
      <c r="DK41" s="190" t="s">
        <v>141</v>
      </c>
      <c r="DL41" s="182"/>
      <c r="DM41" s="182"/>
      <c r="DN41" s="183" t="str">
        <f>("DS_Pass-" &amp; $D41)</f>
        <v>DS_Pass-106995</v>
      </c>
      <c r="DO41" s="182"/>
      <c r="DP41" s="182"/>
      <c r="DQ41" s="182"/>
      <c r="DR41" s="181"/>
      <c r="DS41" s="181"/>
      <c r="DT41" s="182"/>
      <c r="DU41" s="182"/>
      <c r="DV41" s="182"/>
      <c r="DW41" s="181"/>
      <c r="DX41" s="182"/>
      <c r="DY41" s="182"/>
      <c r="DZ41" s="190" t="s">
        <v>793</v>
      </c>
      <c r="EA41" s="185"/>
      <c r="EB41" s="190"/>
      <c r="EC41" s="190"/>
      <c r="ED41" s="190"/>
      <c r="EE41" s="194"/>
    </row>
    <row r="42" spans="1:136" s="195" customFormat="1">
      <c r="A42" s="184"/>
      <c r="B42" s="184"/>
      <c r="C42" s="184"/>
      <c r="D42" s="181">
        <f>'Run Parameters'!$B$1 + ROW()-1</f>
        <v>106996</v>
      </c>
      <c r="E42" s="182" t="s">
        <v>47</v>
      </c>
      <c r="F42" s="183" t="s">
        <v>855</v>
      </c>
      <c r="G42" s="181" t="str">
        <f t="shared" ref="G42:G44" si="267">("Access Dtls-" &amp; D42)</f>
        <v>Access Dtls-106996</v>
      </c>
      <c r="H42" s="182" t="s">
        <v>336</v>
      </c>
      <c r="I42" s="181" t="str">
        <f>("MR. Test_"&amp; AV42 &amp;"_EXCH1")</f>
        <v>MR. Test_106996_EXCH1</v>
      </c>
      <c r="J42" s="181"/>
      <c r="K42" s="184" t="s">
        <v>434</v>
      </c>
      <c r="L42" s="181" t="str">
        <f t="shared" ref="L42:L44" si="268">("Cust. Ref-" &amp; D42)</f>
        <v>Cust. Ref-106996</v>
      </c>
      <c r="M42" s="182" t="s">
        <v>48</v>
      </c>
      <c r="N42" s="182" t="s">
        <v>434</v>
      </c>
      <c r="O42" s="181"/>
      <c r="P42" s="181" t="str">
        <f t="shared" ref="P42:P44" si="269">("SN-" &amp; D42)</f>
        <v>SN-106996</v>
      </c>
      <c r="Q42" s="181" t="str">
        <f t="shared" ref="Q42:Q44" si="270">("SI-" &amp; D42)</f>
        <v>SI-106996</v>
      </c>
      <c r="R42" s="181" t="str">
        <f t="shared" ref="R42:R44" si="271">("SE-" &amp; D42)</f>
        <v>SE-106996</v>
      </c>
      <c r="S42" s="185" t="str">
        <f t="shared" ref="S42:S44" si="272">("Prev_RA-" &amp; D42)</f>
        <v>Prev_RA-106996</v>
      </c>
      <c r="T42" s="185" t="str">
        <f t="shared" ref="T42:T44" si="273">("Prev_Comms-" &amp; D42)</f>
        <v>Prev_Comms-106996</v>
      </c>
      <c r="U42" s="182" t="s">
        <v>75</v>
      </c>
      <c r="V42" s="182" t="s">
        <v>406</v>
      </c>
      <c r="W42" s="182" t="s">
        <v>75</v>
      </c>
      <c r="X42" s="182" t="s">
        <v>401</v>
      </c>
      <c r="Y42" s="181" t="str">
        <f t="shared" ref="Y42:Y44" si="274">("Forward Add-" &amp; D42)</f>
        <v>Forward Add-106996</v>
      </c>
      <c r="Z42" s="182" t="s">
        <v>406</v>
      </c>
      <c r="AA42" s="186" t="str">
        <f>'Run Parameters'!$B$2</f>
        <v>2017-06-26 08:00</v>
      </c>
      <c r="AB42" s="186" t="str">
        <f>'Run Parameters'!B$3</f>
        <v>2017-06-26 18:00</v>
      </c>
      <c r="AC42" s="188">
        <f>('Run Parameters'!$B$2) - 7</f>
        <v>42905.333333333336</v>
      </c>
      <c r="AD42" s="182" t="s">
        <v>75</v>
      </c>
      <c r="AE42" s="183" t="str">
        <f t="shared" ref="AE42:AE44" si="275">("LAST_METER-" &amp; D42)</f>
        <v>LAST_METER-106996</v>
      </c>
      <c r="AF42" s="186" t="str">
        <f>'Run Parameters'!$B$2</f>
        <v>2017-06-26 08:00</v>
      </c>
      <c r="AG42" s="181" t="str">
        <f>'Run Parameters'!B$4</f>
        <v xml:space="preserve">AUTOTEST </v>
      </c>
      <c r="AH42" s="185" t="str">
        <f t="shared" ref="AH42:AH44" si="276">("Site_Contact_" &amp; D42)</f>
        <v>Site_Contact_106996</v>
      </c>
      <c r="AI42" s="186" t="str">
        <f>'Run Parameters'!B$2</f>
        <v>2017-06-26 08:00</v>
      </c>
      <c r="AJ42" s="240" t="str">
        <f>'Run Parameters'!B$3</f>
        <v>2017-06-26 18:00</v>
      </c>
      <c r="AK42" s="181" t="s">
        <v>401</v>
      </c>
      <c r="AL42" s="185" t="str">
        <f t="shared" ref="AL42:AL44" si="277">"01159" &amp; D42</f>
        <v>01159106996</v>
      </c>
      <c r="AM42" s="181" t="str">
        <f t="shared" ref="AM42:AM44" si="278">("0115" &amp; D42)</f>
        <v>0115106996</v>
      </c>
      <c r="AN42" s="182"/>
      <c r="AO42" s="182"/>
      <c r="AP42" s="181">
        <v>1</v>
      </c>
      <c r="AQ42" s="189" t="s">
        <v>49</v>
      </c>
      <c r="AR42" s="182"/>
      <c r="AS42" s="181"/>
      <c r="AT42" s="190" t="s">
        <v>856</v>
      </c>
      <c r="AU42" s="190"/>
      <c r="AV42" s="181">
        <f t="shared" ref="AV42:AV44" si="279">D42</f>
        <v>106996</v>
      </c>
      <c r="AW42" s="181" t="s">
        <v>857</v>
      </c>
      <c r="AX42" s="181" t="s">
        <v>428</v>
      </c>
      <c r="AY42" s="181" t="s">
        <v>429</v>
      </c>
      <c r="AZ42" s="182" t="s">
        <v>337</v>
      </c>
      <c r="BA42" s="182" t="s">
        <v>155</v>
      </c>
      <c r="BB42" s="181">
        <v>1</v>
      </c>
      <c r="BC42" s="183">
        <f t="shared" ref="BC42:BC44" si="280">D42</f>
        <v>106996</v>
      </c>
      <c r="BD42" s="191" t="s">
        <v>858</v>
      </c>
      <c r="BE42" s="182" t="s">
        <v>395</v>
      </c>
      <c r="BF42" s="182" t="s">
        <v>395</v>
      </c>
      <c r="BG42" s="181" t="s">
        <v>855</v>
      </c>
      <c r="BH42" s="183" t="str">
        <f t="shared" ref="BH42:BH44" si="281">BC42&amp;"_"&amp;BB42</f>
        <v>106996_1</v>
      </c>
      <c r="BI42" s="181"/>
      <c r="BJ42" s="181" t="str">
        <f t="shared" ref="BJ42:BJ44" si="282">"10000000" &amp; D42</f>
        <v>10000000106996</v>
      </c>
      <c r="BK42" s="182" t="s">
        <v>51</v>
      </c>
      <c r="BL42" s="182" t="s">
        <v>411</v>
      </c>
      <c r="BM42" s="181" t="s">
        <v>417</v>
      </c>
      <c r="BN42" s="182"/>
      <c r="BO42" s="183" t="str">
        <f t="shared" ref="BO42:BO44" si="283">"S05S" &amp; D42</f>
        <v>S05S106996</v>
      </c>
      <c r="BP42" s="182" t="s">
        <v>415</v>
      </c>
      <c r="BQ42" s="182" t="s">
        <v>415</v>
      </c>
      <c r="BR42" s="181" t="s">
        <v>160</v>
      </c>
      <c r="BS42" s="182" t="s">
        <v>50</v>
      </c>
      <c r="BT42" s="190" t="s">
        <v>158</v>
      </c>
      <c r="BU42" s="182" t="s">
        <v>859</v>
      </c>
      <c r="BV42" s="182" t="s">
        <v>51</v>
      </c>
      <c r="BW42" s="182" t="s">
        <v>155</v>
      </c>
      <c r="BX42" s="182"/>
      <c r="BY42" s="182"/>
      <c r="BZ42" s="182" t="s">
        <v>158</v>
      </c>
      <c r="CA42" s="182" t="s">
        <v>270</v>
      </c>
      <c r="CB42" s="190" t="s">
        <v>418</v>
      </c>
      <c r="CC42" s="190" t="s">
        <v>794</v>
      </c>
      <c r="CD42" s="190" t="s">
        <v>396</v>
      </c>
      <c r="CE42" s="190" t="s">
        <v>401</v>
      </c>
      <c r="CF42" s="190" t="s">
        <v>403</v>
      </c>
      <c r="CG42" s="191" t="s">
        <v>860</v>
      </c>
      <c r="CH42" s="190" t="s">
        <v>160</v>
      </c>
      <c r="CI42" s="183">
        <v>1</v>
      </c>
      <c r="CJ42" s="183" t="str">
        <f t="shared" ref="CJ42:CJ43" si="284">("GAS_ENQ_NO-" &amp; D42)</f>
        <v>GAS_ENQ_NO-106996</v>
      </c>
      <c r="CK42" s="190" t="s">
        <v>166</v>
      </c>
      <c r="CL42" s="190" t="s">
        <v>395</v>
      </c>
      <c r="CM42" s="190" t="s">
        <v>395</v>
      </c>
      <c r="CN42" s="183" t="s">
        <v>861</v>
      </c>
      <c r="CO42" s="183" t="str">
        <f t="shared" ref="CO42:CO43" si="285">("GAS_JOB_ID-" &amp; D42)</f>
        <v>GAS_JOB_ID-106996</v>
      </c>
      <c r="CP42" s="190"/>
      <c r="CQ42" s="183" t="str">
        <f t="shared" ref="CQ42:CQ43" si="286">"10000" &amp; D42</f>
        <v>10000106996</v>
      </c>
      <c r="CR42" s="183" t="s">
        <v>155</v>
      </c>
      <c r="CS42" s="190" t="s">
        <v>51</v>
      </c>
      <c r="CT42" s="192" t="str">
        <f t="shared" ref="CT42:CT43" si="287">"GMETER" &amp; D42</f>
        <v>GMETER106996</v>
      </c>
      <c r="CU42" s="183" t="s">
        <v>162</v>
      </c>
      <c r="CV42" s="190" t="s">
        <v>166</v>
      </c>
      <c r="CW42" s="190" t="s">
        <v>795</v>
      </c>
      <c r="CX42" s="190"/>
      <c r="CY42" s="190"/>
      <c r="CZ42" s="190" t="s">
        <v>399</v>
      </c>
      <c r="DA42" s="190" t="s">
        <v>400</v>
      </c>
      <c r="DB42" s="183" t="str">
        <f t="shared" ref="DB42:DB43" si="288">("GAS_INST_ID-" &amp; $D42)</f>
        <v>GAS_INST_ID-106996</v>
      </c>
      <c r="DC42" s="190" t="s">
        <v>162</v>
      </c>
      <c r="DD42" s="190"/>
      <c r="DE42" s="190" t="s">
        <v>51</v>
      </c>
      <c r="DF42" s="190" t="s">
        <v>265</v>
      </c>
      <c r="DG42" s="190"/>
      <c r="DH42" s="190" t="s">
        <v>402</v>
      </c>
      <c r="DI42" s="190" t="s">
        <v>404</v>
      </c>
      <c r="DJ42" s="193" t="s">
        <v>860</v>
      </c>
      <c r="DK42" s="190" t="s">
        <v>141</v>
      </c>
      <c r="DL42" s="182"/>
      <c r="DM42" s="182"/>
      <c r="DN42" s="183" t="str">
        <f t="shared" ref="DN42:DN49" si="289">("DS_Pass-" &amp; $D42)</f>
        <v>DS_Pass-106996</v>
      </c>
      <c r="DO42" s="182"/>
      <c r="DP42" s="182"/>
      <c r="DQ42" s="182"/>
      <c r="DR42" s="181"/>
      <c r="DS42" s="181"/>
      <c r="DT42" s="182"/>
      <c r="DU42" s="182"/>
      <c r="DV42" s="182"/>
      <c r="DW42" s="181"/>
      <c r="DX42" s="182"/>
      <c r="DY42" s="182"/>
      <c r="DZ42" s="182" t="s">
        <v>415</v>
      </c>
      <c r="EA42" s="185"/>
      <c r="EB42" s="182"/>
      <c r="EC42" s="182"/>
      <c r="ED42" s="191"/>
      <c r="EE42" s="194"/>
    </row>
    <row r="43" spans="1:136" s="195" customFormat="1">
      <c r="A43" s="184"/>
      <c r="B43" s="184"/>
      <c r="C43" s="184"/>
      <c r="D43" s="181">
        <f>'Run Parameters'!$B$1 + ROW()-1</f>
        <v>106997</v>
      </c>
      <c r="E43" s="182" t="s">
        <v>47</v>
      </c>
      <c r="F43" s="183" t="s">
        <v>855</v>
      </c>
      <c r="G43" s="181" t="str">
        <f t="shared" si="267"/>
        <v>Access Dtls-106997</v>
      </c>
      <c r="H43" s="182" t="s">
        <v>336</v>
      </c>
      <c r="I43" s="181" t="str">
        <f>("MR. Test_"&amp; AV43 &amp;"_EXCH1")</f>
        <v>MR. Test_106997_EXCH1</v>
      </c>
      <c r="J43" s="181"/>
      <c r="K43" s="184" t="s">
        <v>434</v>
      </c>
      <c r="L43" s="181" t="str">
        <f t="shared" si="268"/>
        <v>Cust. Ref-106997</v>
      </c>
      <c r="M43" s="182" t="s">
        <v>48</v>
      </c>
      <c r="N43" s="182" t="s">
        <v>434</v>
      </c>
      <c r="O43" s="181"/>
      <c r="P43" s="181" t="str">
        <f t="shared" si="269"/>
        <v>SN-106997</v>
      </c>
      <c r="Q43" s="181" t="str">
        <f t="shared" si="270"/>
        <v>SI-106997</v>
      </c>
      <c r="R43" s="181" t="str">
        <f t="shared" si="271"/>
        <v>SE-106997</v>
      </c>
      <c r="S43" s="185" t="str">
        <f t="shared" si="272"/>
        <v>Prev_RA-106997</v>
      </c>
      <c r="T43" s="185" t="str">
        <f t="shared" si="273"/>
        <v>Prev_Comms-106997</v>
      </c>
      <c r="U43" s="182" t="s">
        <v>75</v>
      </c>
      <c r="V43" s="182" t="s">
        <v>406</v>
      </c>
      <c r="W43" s="182" t="s">
        <v>75</v>
      </c>
      <c r="X43" s="182" t="s">
        <v>401</v>
      </c>
      <c r="Y43" s="181" t="str">
        <f t="shared" si="274"/>
        <v>Forward Add-106997</v>
      </c>
      <c r="Z43" s="182" t="s">
        <v>406</v>
      </c>
      <c r="AA43" s="186" t="str">
        <f>'Run Parameters'!$B$2</f>
        <v>2017-06-26 08:00</v>
      </c>
      <c r="AB43" s="186" t="str">
        <f>'Run Parameters'!B$3</f>
        <v>2017-06-26 18:00</v>
      </c>
      <c r="AC43" s="188">
        <f>('Run Parameters'!$B$2) - 7</f>
        <v>42905.333333333336</v>
      </c>
      <c r="AD43" s="182" t="s">
        <v>75</v>
      </c>
      <c r="AE43" s="183" t="str">
        <f t="shared" si="275"/>
        <v>LAST_METER-106997</v>
      </c>
      <c r="AF43" s="186" t="str">
        <f>'Run Parameters'!$B$2</f>
        <v>2017-06-26 08:00</v>
      </c>
      <c r="AG43" s="181" t="str">
        <f>'Run Parameters'!B$4</f>
        <v xml:space="preserve">AUTOTEST </v>
      </c>
      <c r="AH43" s="185" t="str">
        <f t="shared" si="276"/>
        <v>Site_Contact_106997</v>
      </c>
      <c r="AI43" s="186" t="str">
        <f>'Run Parameters'!B$2</f>
        <v>2017-06-26 08:00</v>
      </c>
      <c r="AJ43" s="240" t="str">
        <f>'Run Parameters'!B$3</f>
        <v>2017-06-26 18:00</v>
      </c>
      <c r="AK43" s="181" t="s">
        <v>401</v>
      </c>
      <c r="AL43" s="185" t="str">
        <f t="shared" si="277"/>
        <v>01159106997</v>
      </c>
      <c r="AM43" s="181" t="str">
        <f t="shared" si="278"/>
        <v>0115106997</v>
      </c>
      <c r="AN43" s="182"/>
      <c r="AO43" s="182"/>
      <c r="AP43" s="181">
        <v>1</v>
      </c>
      <c r="AQ43" s="189" t="s">
        <v>49</v>
      </c>
      <c r="AR43" s="182"/>
      <c r="AS43" s="181"/>
      <c r="AT43" s="190" t="s">
        <v>856</v>
      </c>
      <c r="AU43" s="190"/>
      <c r="AV43" s="181">
        <f t="shared" si="279"/>
        <v>106997</v>
      </c>
      <c r="AW43" s="181" t="s">
        <v>857</v>
      </c>
      <c r="AX43" s="181" t="s">
        <v>428</v>
      </c>
      <c r="AY43" s="181" t="s">
        <v>429</v>
      </c>
      <c r="AZ43" s="182" t="s">
        <v>337</v>
      </c>
      <c r="BA43" s="182" t="s">
        <v>155</v>
      </c>
      <c r="BB43" s="181">
        <v>1</v>
      </c>
      <c r="BC43" s="183">
        <f t="shared" si="280"/>
        <v>106997</v>
      </c>
      <c r="BD43" s="191" t="s">
        <v>858</v>
      </c>
      <c r="BE43" s="182" t="s">
        <v>395</v>
      </c>
      <c r="BF43" s="182" t="s">
        <v>395</v>
      </c>
      <c r="BG43" s="181" t="s">
        <v>855</v>
      </c>
      <c r="BH43" s="183" t="str">
        <f t="shared" si="281"/>
        <v>106997_1</v>
      </c>
      <c r="BI43" s="181"/>
      <c r="BJ43" s="181" t="str">
        <f t="shared" si="282"/>
        <v>10000000106997</v>
      </c>
      <c r="BK43" s="182" t="s">
        <v>51</v>
      </c>
      <c r="BL43" s="182" t="s">
        <v>411</v>
      </c>
      <c r="BM43" s="181" t="s">
        <v>417</v>
      </c>
      <c r="BN43" s="182"/>
      <c r="BO43" s="183" t="str">
        <f t="shared" si="283"/>
        <v>S05S106997</v>
      </c>
      <c r="BP43" s="182" t="s">
        <v>415</v>
      </c>
      <c r="BQ43" s="182" t="s">
        <v>415</v>
      </c>
      <c r="BR43" s="181" t="s">
        <v>160</v>
      </c>
      <c r="BS43" s="182" t="s">
        <v>50</v>
      </c>
      <c r="BT43" s="190" t="s">
        <v>158</v>
      </c>
      <c r="BU43" s="182" t="s">
        <v>859</v>
      </c>
      <c r="BV43" s="182" t="s">
        <v>51</v>
      </c>
      <c r="BW43" s="182" t="s">
        <v>155</v>
      </c>
      <c r="BX43" s="182"/>
      <c r="BY43" s="182"/>
      <c r="BZ43" s="182" t="s">
        <v>158</v>
      </c>
      <c r="CA43" s="182" t="s">
        <v>270</v>
      </c>
      <c r="CB43" s="190" t="s">
        <v>418</v>
      </c>
      <c r="CC43" s="190" t="s">
        <v>794</v>
      </c>
      <c r="CD43" s="190" t="s">
        <v>396</v>
      </c>
      <c r="CE43" s="190" t="s">
        <v>401</v>
      </c>
      <c r="CF43" s="190" t="s">
        <v>403</v>
      </c>
      <c r="CG43" s="191" t="s">
        <v>860</v>
      </c>
      <c r="CH43" s="190" t="s">
        <v>160</v>
      </c>
      <c r="CI43" s="183">
        <v>1</v>
      </c>
      <c r="CJ43" s="183" t="str">
        <f t="shared" si="284"/>
        <v>GAS_ENQ_NO-106997</v>
      </c>
      <c r="CK43" s="190" t="s">
        <v>166</v>
      </c>
      <c r="CL43" s="190" t="s">
        <v>395</v>
      </c>
      <c r="CM43" s="190" t="s">
        <v>395</v>
      </c>
      <c r="CN43" s="183" t="s">
        <v>861</v>
      </c>
      <c r="CO43" s="183" t="str">
        <f t="shared" si="285"/>
        <v>GAS_JOB_ID-106997</v>
      </c>
      <c r="CP43" s="190"/>
      <c r="CQ43" s="183" t="str">
        <f t="shared" si="286"/>
        <v>10000106997</v>
      </c>
      <c r="CR43" s="183" t="s">
        <v>155</v>
      </c>
      <c r="CS43" s="190" t="s">
        <v>51</v>
      </c>
      <c r="CT43" s="192" t="str">
        <f t="shared" si="287"/>
        <v>GMETER106997</v>
      </c>
      <c r="CU43" s="183" t="s">
        <v>162</v>
      </c>
      <c r="CV43" s="190" t="s">
        <v>166</v>
      </c>
      <c r="CW43" s="190" t="s">
        <v>795</v>
      </c>
      <c r="CX43" s="190"/>
      <c r="CY43" s="190"/>
      <c r="CZ43" s="190" t="s">
        <v>399</v>
      </c>
      <c r="DA43" s="190" t="s">
        <v>400</v>
      </c>
      <c r="DB43" s="183" t="str">
        <f t="shared" si="288"/>
        <v>GAS_INST_ID-106997</v>
      </c>
      <c r="DC43" s="190" t="s">
        <v>162</v>
      </c>
      <c r="DD43" s="190"/>
      <c r="DE43" s="190" t="s">
        <v>51</v>
      </c>
      <c r="DF43" s="190" t="s">
        <v>265</v>
      </c>
      <c r="DG43" s="190"/>
      <c r="DH43" s="190" t="s">
        <v>402</v>
      </c>
      <c r="DI43" s="190" t="s">
        <v>404</v>
      </c>
      <c r="DJ43" s="193" t="s">
        <v>860</v>
      </c>
      <c r="DK43" s="190" t="s">
        <v>141</v>
      </c>
      <c r="DL43" s="182"/>
      <c r="DM43" s="182"/>
      <c r="DN43" s="183" t="str">
        <f t="shared" si="289"/>
        <v>DS_Pass-106997</v>
      </c>
      <c r="DO43" s="182"/>
      <c r="DP43" s="182"/>
      <c r="DQ43" s="182"/>
      <c r="DR43" s="181"/>
      <c r="DS43" s="181"/>
      <c r="DT43" s="182"/>
      <c r="DU43" s="182"/>
      <c r="DV43" s="182"/>
      <c r="DW43" s="181"/>
      <c r="DX43" s="182"/>
      <c r="DY43" s="182"/>
      <c r="DZ43" s="182" t="s">
        <v>415</v>
      </c>
      <c r="EA43" s="185"/>
      <c r="EB43" s="182"/>
      <c r="EC43" s="182"/>
      <c r="ED43" s="191"/>
      <c r="EE43" s="194"/>
    </row>
    <row r="44" spans="1:136" s="215" customFormat="1">
      <c r="A44" s="205"/>
      <c r="B44" s="205"/>
      <c r="C44" s="205"/>
      <c r="D44" s="202">
        <f>'Run Parameters'!$B$1 + ROW()-1</f>
        <v>106998</v>
      </c>
      <c r="E44" s="203" t="s">
        <v>47</v>
      </c>
      <c r="F44" s="204" t="s">
        <v>409</v>
      </c>
      <c r="G44" s="202" t="str">
        <f t="shared" si="267"/>
        <v>Access Dtls-106998</v>
      </c>
      <c r="H44" s="203" t="s">
        <v>277</v>
      </c>
      <c r="I44" s="202" t="str">
        <f>("MR. Test_"&amp; AV44 &amp;"_EXCH2")</f>
        <v>MR. Test_106998_EXCH2</v>
      </c>
      <c r="J44" s="204"/>
      <c r="K44" s="205" t="s">
        <v>434</v>
      </c>
      <c r="L44" s="202" t="str">
        <f t="shared" si="268"/>
        <v>Cust. Ref-106998</v>
      </c>
      <c r="M44" s="203" t="s">
        <v>48</v>
      </c>
      <c r="N44" s="203" t="s">
        <v>434</v>
      </c>
      <c r="O44" s="202"/>
      <c r="P44" s="202" t="str">
        <f t="shared" si="269"/>
        <v>SN-106998</v>
      </c>
      <c r="Q44" s="202" t="str">
        <f t="shared" si="270"/>
        <v>SI-106998</v>
      </c>
      <c r="R44" s="202" t="str">
        <f t="shared" si="271"/>
        <v>SE-106998</v>
      </c>
      <c r="S44" s="206" t="str">
        <f t="shared" si="272"/>
        <v>Prev_RA-106998</v>
      </c>
      <c r="T44" s="206" t="str">
        <f t="shared" si="273"/>
        <v>Prev_Comms-106998</v>
      </c>
      <c r="U44" s="203" t="s">
        <v>75</v>
      </c>
      <c r="V44" s="203" t="s">
        <v>406</v>
      </c>
      <c r="W44" s="203" t="s">
        <v>75</v>
      </c>
      <c r="X44" s="203" t="s">
        <v>401</v>
      </c>
      <c r="Y44" s="202" t="str">
        <f t="shared" si="274"/>
        <v>Forward Add-106998</v>
      </c>
      <c r="Z44" s="203" t="s">
        <v>406</v>
      </c>
      <c r="AA44" s="207" t="str">
        <f>'Run Parameters'!$B$2</f>
        <v>2017-06-26 08:00</v>
      </c>
      <c r="AB44" s="207" t="str">
        <f>'Run Parameters'!B$3</f>
        <v>2017-06-26 18:00</v>
      </c>
      <c r="AC44" s="208">
        <f>('Run Parameters'!$B$2) - 7</f>
        <v>42905.333333333336</v>
      </c>
      <c r="AD44" s="203" t="s">
        <v>75</v>
      </c>
      <c r="AE44" s="204" t="str">
        <f t="shared" si="275"/>
        <v>LAST_METER-106998</v>
      </c>
      <c r="AF44" s="207" t="str">
        <f>'Run Parameters'!$B$2</f>
        <v>2017-06-26 08:00</v>
      </c>
      <c r="AG44" s="202" t="str">
        <f>'Run Parameters'!B$4</f>
        <v xml:space="preserve">AUTOTEST </v>
      </c>
      <c r="AH44" s="206" t="str">
        <f t="shared" si="276"/>
        <v>Site_Contact_106998</v>
      </c>
      <c r="AI44" s="207" t="str">
        <f>'Run Parameters'!B$2</f>
        <v>2017-06-26 08:00</v>
      </c>
      <c r="AJ44" s="239" t="str">
        <f>'Run Parameters'!B$3</f>
        <v>2017-06-26 18:00</v>
      </c>
      <c r="AK44" s="202" t="s">
        <v>401</v>
      </c>
      <c r="AL44" s="206" t="str">
        <f t="shared" si="277"/>
        <v>01159106998</v>
      </c>
      <c r="AM44" s="202" t="str">
        <f t="shared" si="278"/>
        <v>0115106998</v>
      </c>
      <c r="AN44" s="203"/>
      <c r="AO44" s="209"/>
      <c r="AP44" s="202">
        <v>1</v>
      </c>
      <c r="AQ44" s="210" t="s">
        <v>49</v>
      </c>
      <c r="AR44" s="203"/>
      <c r="AS44" s="202"/>
      <c r="AT44" s="211"/>
      <c r="AU44" s="211"/>
      <c r="AV44" s="202">
        <f t="shared" si="279"/>
        <v>106998</v>
      </c>
      <c r="AW44" s="202" t="s">
        <v>432</v>
      </c>
      <c r="AX44" s="202" t="s">
        <v>428</v>
      </c>
      <c r="AY44" s="202" t="s">
        <v>429</v>
      </c>
      <c r="AZ44" s="203" t="s">
        <v>338</v>
      </c>
      <c r="BA44" s="211" t="s">
        <v>155</v>
      </c>
      <c r="BB44" s="202">
        <v>1</v>
      </c>
      <c r="BC44" s="204">
        <f t="shared" si="280"/>
        <v>106998</v>
      </c>
      <c r="BD44" s="211" t="s">
        <v>416</v>
      </c>
      <c r="BE44" s="211" t="s">
        <v>395</v>
      </c>
      <c r="BF44" s="211" t="s">
        <v>395</v>
      </c>
      <c r="BG44" s="204" t="s">
        <v>409</v>
      </c>
      <c r="BH44" s="204" t="str">
        <f t="shared" si="281"/>
        <v>106998_1</v>
      </c>
      <c r="BI44" s="202"/>
      <c r="BJ44" s="202" t="str">
        <f t="shared" si="282"/>
        <v>10000000106998</v>
      </c>
      <c r="BK44" s="211" t="s">
        <v>51</v>
      </c>
      <c r="BL44" s="211" t="s">
        <v>54</v>
      </c>
      <c r="BM44" s="204" t="s">
        <v>417</v>
      </c>
      <c r="BN44" s="211" t="s">
        <v>51</v>
      </c>
      <c r="BO44" s="204" t="str">
        <f t="shared" si="283"/>
        <v>S05S106998</v>
      </c>
      <c r="BP44" s="211" t="s">
        <v>408</v>
      </c>
      <c r="BQ44" s="211" t="s">
        <v>408</v>
      </c>
      <c r="BR44" s="204" t="s">
        <v>162</v>
      </c>
      <c r="BS44" s="211" t="s">
        <v>50</v>
      </c>
      <c r="BT44" s="211" t="s">
        <v>136</v>
      </c>
      <c r="BU44" s="211" t="s">
        <v>398</v>
      </c>
      <c r="BV44" s="211" t="s">
        <v>51</v>
      </c>
      <c r="BW44" s="211" t="s">
        <v>155</v>
      </c>
      <c r="BX44" s="211"/>
      <c r="BY44" s="211"/>
      <c r="BZ44" s="211" t="s">
        <v>158</v>
      </c>
      <c r="CA44" s="211" t="s">
        <v>270</v>
      </c>
      <c r="CB44" s="211" t="s">
        <v>418</v>
      </c>
      <c r="CC44" s="211" t="s">
        <v>804</v>
      </c>
      <c r="CD44" s="211" t="s">
        <v>396</v>
      </c>
      <c r="CE44" s="211" t="s">
        <v>401</v>
      </c>
      <c r="CF44" s="211" t="s">
        <v>403</v>
      </c>
      <c r="CG44" s="211" t="s">
        <v>424</v>
      </c>
      <c r="CH44" s="211" t="s">
        <v>160</v>
      </c>
      <c r="CI44" s="202"/>
      <c r="CJ44" s="202"/>
      <c r="CK44" s="203"/>
      <c r="CL44" s="211"/>
      <c r="CM44" s="211"/>
      <c r="CN44" s="202"/>
      <c r="CO44" s="204"/>
      <c r="CP44" s="211"/>
      <c r="CQ44" s="204"/>
      <c r="CR44" s="202"/>
      <c r="CS44" s="211"/>
      <c r="CT44" s="212"/>
      <c r="CU44" s="202"/>
      <c r="CV44" s="211"/>
      <c r="CW44" s="211"/>
      <c r="CX44" s="211"/>
      <c r="CY44" s="211"/>
      <c r="CZ44" s="211"/>
      <c r="DA44" s="211"/>
      <c r="DB44" s="204"/>
      <c r="DC44" s="211"/>
      <c r="DD44" s="203"/>
      <c r="DE44" s="211"/>
      <c r="DF44" s="211"/>
      <c r="DG44" s="211"/>
      <c r="DH44" s="211"/>
      <c r="DI44" s="211"/>
      <c r="DJ44" s="213"/>
      <c r="DK44" s="203"/>
      <c r="DL44" s="203"/>
      <c r="DM44" s="203"/>
      <c r="DN44" s="204" t="str">
        <f t="shared" si="289"/>
        <v>DS_Pass-106998</v>
      </c>
      <c r="DO44" s="203"/>
      <c r="DP44" s="203"/>
      <c r="DQ44" s="203"/>
      <c r="DR44" s="202"/>
      <c r="DS44" s="202"/>
      <c r="DT44" s="203"/>
      <c r="DU44" s="203"/>
      <c r="DV44" s="203"/>
      <c r="DW44" s="202"/>
      <c r="DX44" s="203"/>
      <c r="DY44" s="203"/>
      <c r="DZ44" s="211" t="s">
        <v>408</v>
      </c>
      <c r="EA44" s="206"/>
      <c r="EB44" s="211"/>
      <c r="EC44" s="211"/>
      <c r="ED44" s="211"/>
      <c r="EE44" s="214"/>
    </row>
    <row r="45" spans="1:136" s="215" customFormat="1">
      <c r="A45" s="205"/>
      <c r="B45" s="205"/>
      <c r="C45" s="205"/>
      <c r="D45" s="202">
        <f>'Run Parameters'!$B$1 + ROW()-1</f>
        <v>106999</v>
      </c>
      <c r="E45" s="203" t="s">
        <v>47</v>
      </c>
      <c r="F45" s="204" t="s">
        <v>409</v>
      </c>
      <c r="G45" s="202" t="str">
        <f t="shared" ref="G45:G47" si="290">("Access Dtls-" &amp; D45)</f>
        <v>Access Dtls-106999</v>
      </c>
      <c r="H45" s="203" t="s">
        <v>277</v>
      </c>
      <c r="I45" s="202" t="str">
        <f>("MR. Test_"&amp; AV45 &amp;"_EXCH2")</f>
        <v>MR. Test_106999_EXCH2</v>
      </c>
      <c r="J45" s="204"/>
      <c r="K45" s="205" t="s">
        <v>434</v>
      </c>
      <c r="L45" s="202" t="str">
        <f t="shared" ref="L45:L47" si="291">("Cust. Ref-" &amp; D45)</f>
        <v>Cust. Ref-106999</v>
      </c>
      <c r="M45" s="203" t="s">
        <v>48</v>
      </c>
      <c r="N45" s="203" t="s">
        <v>434</v>
      </c>
      <c r="O45" s="202"/>
      <c r="P45" s="202" t="str">
        <f t="shared" ref="P45:P47" si="292">("SN-" &amp; D45)</f>
        <v>SN-106999</v>
      </c>
      <c r="Q45" s="202" t="str">
        <f t="shared" ref="Q45:Q47" si="293">("SI-" &amp; D45)</f>
        <v>SI-106999</v>
      </c>
      <c r="R45" s="202" t="str">
        <f t="shared" ref="R45:R47" si="294">("SE-" &amp; D45)</f>
        <v>SE-106999</v>
      </c>
      <c r="S45" s="206" t="str">
        <f t="shared" ref="S45:S47" si="295">("Prev_RA-" &amp; D45)</f>
        <v>Prev_RA-106999</v>
      </c>
      <c r="T45" s="206" t="str">
        <f t="shared" ref="T45:T47" si="296">("Prev_Comms-" &amp; D45)</f>
        <v>Prev_Comms-106999</v>
      </c>
      <c r="U45" s="203" t="s">
        <v>75</v>
      </c>
      <c r="V45" s="203" t="s">
        <v>406</v>
      </c>
      <c r="W45" s="203" t="s">
        <v>75</v>
      </c>
      <c r="X45" s="203" t="s">
        <v>401</v>
      </c>
      <c r="Y45" s="202" t="str">
        <f t="shared" ref="Y45:Y47" si="297">("Forward Add-" &amp; D45)</f>
        <v>Forward Add-106999</v>
      </c>
      <c r="Z45" s="203" t="s">
        <v>406</v>
      </c>
      <c r="AA45" s="207" t="str">
        <f>'Run Parameters'!$B$2</f>
        <v>2017-06-26 08:00</v>
      </c>
      <c r="AB45" s="207" t="str">
        <f>'Run Parameters'!B$3</f>
        <v>2017-06-26 18:00</v>
      </c>
      <c r="AC45" s="208">
        <f>('Run Parameters'!$B$2) - 7</f>
        <v>42905.333333333336</v>
      </c>
      <c r="AD45" s="203" t="s">
        <v>75</v>
      </c>
      <c r="AE45" s="204" t="str">
        <f t="shared" ref="AE45:AE47" si="298">("LAST_METER-" &amp; D45)</f>
        <v>LAST_METER-106999</v>
      </c>
      <c r="AF45" s="207" t="str">
        <f>'Run Parameters'!$B$2</f>
        <v>2017-06-26 08:00</v>
      </c>
      <c r="AG45" s="202" t="str">
        <f>'Run Parameters'!B$4</f>
        <v xml:space="preserve">AUTOTEST </v>
      </c>
      <c r="AH45" s="206" t="str">
        <f t="shared" ref="AH45:AH47" si="299">("Site_Contact_" &amp; D45)</f>
        <v>Site_Contact_106999</v>
      </c>
      <c r="AI45" s="207" t="str">
        <f>'Run Parameters'!B$2</f>
        <v>2017-06-26 08:00</v>
      </c>
      <c r="AJ45" s="239" t="str">
        <f>'Run Parameters'!B$3</f>
        <v>2017-06-26 18:00</v>
      </c>
      <c r="AK45" s="202" t="s">
        <v>401</v>
      </c>
      <c r="AL45" s="206" t="str">
        <f t="shared" ref="AL45:AL47" si="300">"01159" &amp; D45</f>
        <v>01159106999</v>
      </c>
      <c r="AM45" s="202" t="str">
        <f t="shared" ref="AM45:AM47" si="301">("0115" &amp; D45)</f>
        <v>0115106999</v>
      </c>
      <c r="AN45" s="203"/>
      <c r="AO45" s="209"/>
      <c r="AP45" s="202">
        <v>1</v>
      </c>
      <c r="AQ45" s="210" t="s">
        <v>49</v>
      </c>
      <c r="AR45" s="203"/>
      <c r="AS45" s="202"/>
      <c r="AT45" s="211"/>
      <c r="AU45" s="211"/>
      <c r="AV45" s="202">
        <f t="shared" ref="AV45:AV47" si="302">D45</f>
        <v>106999</v>
      </c>
      <c r="AW45" s="202" t="s">
        <v>432</v>
      </c>
      <c r="AX45" s="202" t="s">
        <v>428</v>
      </c>
      <c r="AY45" s="202" t="s">
        <v>429</v>
      </c>
      <c r="AZ45" s="203" t="s">
        <v>338</v>
      </c>
      <c r="BA45" s="211" t="s">
        <v>155</v>
      </c>
      <c r="BB45" s="202">
        <v>1</v>
      </c>
      <c r="BC45" s="204">
        <f t="shared" ref="BC45:BC47" si="303">D45</f>
        <v>106999</v>
      </c>
      <c r="BD45" s="211" t="s">
        <v>416</v>
      </c>
      <c r="BE45" s="211" t="s">
        <v>395</v>
      </c>
      <c r="BF45" s="211" t="s">
        <v>395</v>
      </c>
      <c r="BG45" s="204" t="s">
        <v>409</v>
      </c>
      <c r="BH45" s="204" t="str">
        <f t="shared" ref="BH45:BH47" si="304">BC45&amp;"_"&amp;BB45</f>
        <v>106999_1</v>
      </c>
      <c r="BI45" s="202"/>
      <c r="BJ45" s="202" t="str">
        <f t="shared" ref="BJ45:BJ47" si="305">"10000000" &amp; D45</f>
        <v>10000000106999</v>
      </c>
      <c r="BK45" s="211" t="s">
        <v>51</v>
      </c>
      <c r="BL45" s="211" t="s">
        <v>54</v>
      </c>
      <c r="BM45" s="204" t="s">
        <v>417</v>
      </c>
      <c r="BN45" s="211" t="s">
        <v>51</v>
      </c>
      <c r="BO45" s="204" t="str">
        <f t="shared" ref="BO45:BO47" si="306">"S05S" &amp; D45</f>
        <v>S05S106999</v>
      </c>
      <c r="BP45" s="211" t="s">
        <v>408</v>
      </c>
      <c r="BQ45" s="211" t="s">
        <v>408</v>
      </c>
      <c r="BR45" s="204" t="s">
        <v>162</v>
      </c>
      <c r="BS45" s="211" t="s">
        <v>50</v>
      </c>
      <c r="BT45" s="211" t="s">
        <v>136</v>
      </c>
      <c r="BU45" s="211" t="s">
        <v>398</v>
      </c>
      <c r="BV45" s="211" t="s">
        <v>51</v>
      </c>
      <c r="BW45" s="211" t="s">
        <v>155</v>
      </c>
      <c r="BX45" s="211"/>
      <c r="BY45" s="211"/>
      <c r="BZ45" s="211" t="s">
        <v>158</v>
      </c>
      <c r="CA45" s="211" t="s">
        <v>270</v>
      </c>
      <c r="CB45" s="211" t="s">
        <v>418</v>
      </c>
      <c r="CC45" s="211" t="s">
        <v>804</v>
      </c>
      <c r="CD45" s="211" t="s">
        <v>396</v>
      </c>
      <c r="CE45" s="211" t="s">
        <v>401</v>
      </c>
      <c r="CF45" s="211" t="s">
        <v>403</v>
      </c>
      <c r="CG45" s="211" t="s">
        <v>424</v>
      </c>
      <c r="CH45" s="211" t="s">
        <v>160</v>
      </c>
      <c r="CI45" s="202"/>
      <c r="CJ45" s="202"/>
      <c r="CK45" s="203"/>
      <c r="CL45" s="211"/>
      <c r="CM45" s="211"/>
      <c r="CN45" s="202"/>
      <c r="CO45" s="204"/>
      <c r="CP45" s="211"/>
      <c r="CQ45" s="204"/>
      <c r="CR45" s="202"/>
      <c r="CS45" s="211"/>
      <c r="CT45" s="212"/>
      <c r="CU45" s="202"/>
      <c r="CV45" s="211"/>
      <c r="CW45" s="211"/>
      <c r="CX45" s="211"/>
      <c r="CY45" s="211"/>
      <c r="CZ45" s="211"/>
      <c r="DA45" s="211"/>
      <c r="DB45" s="204"/>
      <c r="DC45" s="211"/>
      <c r="DD45" s="203"/>
      <c r="DE45" s="211"/>
      <c r="DF45" s="211"/>
      <c r="DG45" s="211"/>
      <c r="DH45" s="211"/>
      <c r="DI45" s="211"/>
      <c r="DJ45" s="213"/>
      <c r="DK45" s="203"/>
      <c r="DL45" s="203"/>
      <c r="DM45" s="203"/>
      <c r="DN45" s="204" t="str">
        <f t="shared" si="289"/>
        <v>DS_Pass-106999</v>
      </c>
      <c r="DO45" s="203"/>
      <c r="DP45" s="203"/>
      <c r="DQ45" s="203"/>
      <c r="DR45" s="202"/>
      <c r="DS45" s="202"/>
      <c r="DT45" s="203"/>
      <c r="DU45" s="203"/>
      <c r="DV45" s="203"/>
      <c r="DW45" s="202"/>
      <c r="DX45" s="203"/>
      <c r="DY45" s="203"/>
      <c r="DZ45" s="211" t="s">
        <v>408</v>
      </c>
      <c r="EA45" s="206"/>
      <c r="EB45" s="211"/>
      <c r="EC45" s="211"/>
      <c r="ED45" s="211"/>
      <c r="EE45" s="214"/>
    </row>
    <row r="46" spans="1:136" s="215" customFormat="1">
      <c r="A46" s="205"/>
      <c r="B46" s="205"/>
      <c r="C46" s="205"/>
      <c r="D46" s="202">
        <f>'Run Parameters'!$B$1 + ROW()-1</f>
        <v>107000</v>
      </c>
      <c r="E46" s="203" t="s">
        <v>47</v>
      </c>
      <c r="F46" s="204" t="s">
        <v>409</v>
      </c>
      <c r="G46" s="202" t="str">
        <f t="shared" si="290"/>
        <v>Access Dtls-107000</v>
      </c>
      <c r="H46" s="203" t="s">
        <v>277</v>
      </c>
      <c r="I46" s="202" t="str">
        <f>("MR. Test_"&amp; AV46 &amp;"_EXCH2")</f>
        <v>MR. Test_107000_EXCH2</v>
      </c>
      <c r="J46" s="204"/>
      <c r="K46" s="205" t="s">
        <v>434</v>
      </c>
      <c r="L46" s="202" t="str">
        <f t="shared" si="291"/>
        <v>Cust. Ref-107000</v>
      </c>
      <c r="M46" s="203" t="s">
        <v>48</v>
      </c>
      <c r="N46" s="203" t="s">
        <v>434</v>
      </c>
      <c r="O46" s="202"/>
      <c r="P46" s="202" t="str">
        <f t="shared" si="292"/>
        <v>SN-107000</v>
      </c>
      <c r="Q46" s="202" t="str">
        <f t="shared" si="293"/>
        <v>SI-107000</v>
      </c>
      <c r="R46" s="202" t="str">
        <f t="shared" si="294"/>
        <v>SE-107000</v>
      </c>
      <c r="S46" s="206" t="str">
        <f t="shared" si="295"/>
        <v>Prev_RA-107000</v>
      </c>
      <c r="T46" s="206" t="str">
        <f t="shared" si="296"/>
        <v>Prev_Comms-107000</v>
      </c>
      <c r="U46" s="203" t="s">
        <v>75</v>
      </c>
      <c r="V46" s="203" t="s">
        <v>406</v>
      </c>
      <c r="W46" s="203" t="s">
        <v>75</v>
      </c>
      <c r="X46" s="203" t="s">
        <v>401</v>
      </c>
      <c r="Y46" s="202" t="str">
        <f t="shared" si="297"/>
        <v>Forward Add-107000</v>
      </c>
      <c r="Z46" s="203" t="s">
        <v>406</v>
      </c>
      <c r="AA46" s="207" t="str">
        <f>'Run Parameters'!$B$2</f>
        <v>2017-06-26 08:00</v>
      </c>
      <c r="AB46" s="207" t="str">
        <f>'Run Parameters'!B$3</f>
        <v>2017-06-26 18:00</v>
      </c>
      <c r="AC46" s="208">
        <f>('Run Parameters'!$B$2) - 7</f>
        <v>42905.333333333336</v>
      </c>
      <c r="AD46" s="203" t="s">
        <v>75</v>
      </c>
      <c r="AE46" s="204" t="str">
        <f t="shared" si="298"/>
        <v>LAST_METER-107000</v>
      </c>
      <c r="AF46" s="207" t="str">
        <f>'Run Parameters'!$B$2</f>
        <v>2017-06-26 08:00</v>
      </c>
      <c r="AG46" s="202" t="str">
        <f>'Run Parameters'!B$4</f>
        <v xml:space="preserve">AUTOTEST </v>
      </c>
      <c r="AH46" s="206" t="str">
        <f t="shared" si="299"/>
        <v>Site_Contact_107000</v>
      </c>
      <c r="AI46" s="207" t="str">
        <f>'Run Parameters'!B$2</f>
        <v>2017-06-26 08:00</v>
      </c>
      <c r="AJ46" s="239" t="str">
        <f>'Run Parameters'!B$3</f>
        <v>2017-06-26 18:00</v>
      </c>
      <c r="AK46" s="202" t="s">
        <v>401</v>
      </c>
      <c r="AL46" s="206" t="str">
        <f t="shared" si="300"/>
        <v>01159107000</v>
      </c>
      <c r="AM46" s="202" t="str">
        <f t="shared" si="301"/>
        <v>0115107000</v>
      </c>
      <c r="AN46" s="203"/>
      <c r="AO46" s="209"/>
      <c r="AP46" s="202">
        <v>1</v>
      </c>
      <c r="AQ46" s="210" t="s">
        <v>49</v>
      </c>
      <c r="AR46" s="203"/>
      <c r="AS46" s="202"/>
      <c r="AT46" s="211"/>
      <c r="AU46" s="211"/>
      <c r="AV46" s="202">
        <f t="shared" si="302"/>
        <v>107000</v>
      </c>
      <c r="AW46" s="202" t="s">
        <v>432</v>
      </c>
      <c r="AX46" s="202" t="s">
        <v>428</v>
      </c>
      <c r="AY46" s="202" t="s">
        <v>429</v>
      </c>
      <c r="AZ46" s="203" t="s">
        <v>338</v>
      </c>
      <c r="BA46" s="211" t="s">
        <v>155</v>
      </c>
      <c r="BB46" s="202">
        <v>1</v>
      </c>
      <c r="BC46" s="204">
        <f t="shared" si="303"/>
        <v>107000</v>
      </c>
      <c r="BD46" s="211" t="s">
        <v>416</v>
      </c>
      <c r="BE46" s="211" t="s">
        <v>395</v>
      </c>
      <c r="BF46" s="211" t="s">
        <v>395</v>
      </c>
      <c r="BG46" s="204" t="s">
        <v>409</v>
      </c>
      <c r="BH46" s="204" t="str">
        <f t="shared" si="304"/>
        <v>107000_1</v>
      </c>
      <c r="BI46" s="202"/>
      <c r="BJ46" s="202" t="str">
        <f t="shared" si="305"/>
        <v>10000000107000</v>
      </c>
      <c r="BK46" s="211" t="s">
        <v>51</v>
      </c>
      <c r="BL46" s="211" t="s">
        <v>54</v>
      </c>
      <c r="BM46" s="204" t="s">
        <v>417</v>
      </c>
      <c r="BN46" s="211" t="s">
        <v>51</v>
      </c>
      <c r="BO46" s="204" t="str">
        <f t="shared" si="306"/>
        <v>S05S107000</v>
      </c>
      <c r="BP46" s="211" t="s">
        <v>408</v>
      </c>
      <c r="BQ46" s="211" t="s">
        <v>408</v>
      </c>
      <c r="BR46" s="204" t="s">
        <v>162</v>
      </c>
      <c r="BS46" s="211" t="s">
        <v>50</v>
      </c>
      <c r="BT46" s="211" t="s">
        <v>136</v>
      </c>
      <c r="BU46" s="211" t="s">
        <v>398</v>
      </c>
      <c r="BV46" s="211" t="s">
        <v>51</v>
      </c>
      <c r="BW46" s="211" t="s">
        <v>155</v>
      </c>
      <c r="BX46" s="211"/>
      <c r="BY46" s="211"/>
      <c r="BZ46" s="211" t="s">
        <v>158</v>
      </c>
      <c r="CA46" s="211" t="s">
        <v>270</v>
      </c>
      <c r="CB46" s="211" t="s">
        <v>418</v>
      </c>
      <c r="CC46" s="211" t="s">
        <v>804</v>
      </c>
      <c r="CD46" s="211" t="s">
        <v>396</v>
      </c>
      <c r="CE46" s="211" t="s">
        <v>401</v>
      </c>
      <c r="CF46" s="211" t="s">
        <v>403</v>
      </c>
      <c r="CG46" s="211" t="s">
        <v>424</v>
      </c>
      <c r="CH46" s="211" t="s">
        <v>160</v>
      </c>
      <c r="CI46" s="202"/>
      <c r="CJ46" s="202"/>
      <c r="CK46" s="203"/>
      <c r="CL46" s="211"/>
      <c r="CM46" s="211"/>
      <c r="CN46" s="202"/>
      <c r="CO46" s="204"/>
      <c r="CP46" s="211"/>
      <c r="CQ46" s="204"/>
      <c r="CR46" s="202"/>
      <c r="CS46" s="211"/>
      <c r="CT46" s="212"/>
      <c r="CU46" s="202"/>
      <c r="CV46" s="211"/>
      <c r="CW46" s="211"/>
      <c r="CX46" s="211"/>
      <c r="CY46" s="211"/>
      <c r="CZ46" s="211"/>
      <c r="DA46" s="211"/>
      <c r="DB46" s="204"/>
      <c r="DC46" s="211"/>
      <c r="DD46" s="203"/>
      <c r="DE46" s="211"/>
      <c r="DF46" s="211"/>
      <c r="DG46" s="211"/>
      <c r="DH46" s="211"/>
      <c r="DI46" s="211"/>
      <c r="DJ46" s="213"/>
      <c r="DK46" s="203"/>
      <c r="DL46" s="203"/>
      <c r="DM46" s="203"/>
      <c r="DN46" s="204" t="str">
        <f t="shared" si="289"/>
        <v>DS_Pass-107000</v>
      </c>
      <c r="DO46" s="203"/>
      <c r="DP46" s="203"/>
      <c r="DQ46" s="203"/>
      <c r="DR46" s="202"/>
      <c r="DS46" s="202"/>
      <c r="DT46" s="203"/>
      <c r="DU46" s="203"/>
      <c r="DV46" s="203"/>
      <c r="DW46" s="202"/>
      <c r="DX46" s="203"/>
      <c r="DY46" s="203"/>
      <c r="DZ46" s="211" t="s">
        <v>408</v>
      </c>
      <c r="EA46" s="206"/>
      <c r="EB46" s="211"/>
      <c r="EC46" s="211"/>
      <c r="ED46" s="211"/>
      <c r="EE46" s="214"/>
    </row>
    <row r="47" spans="1:136" s="215" customFormat="1">
      <c r="A47" s="205"/>
      <c r="B47" s="205"/>
      <c r="C47" s="205"/>
      <c r="D47" s="202">
        <f>'Run Parameters'!$B$1 + ROW()-1</f>
        <v>107001</v>
      </c>
      <c r="E47" s="203" t="s">
        <v>47</v>
      </c>
      <c r="F47" s="204" t="s">
        <v>409</v>
      </c>
      <c r="G47" s="202" t="str">
        <f t="shared" si="290"/>
        <v>Access Dtls-107001</v>
      </c>
      <c r="H47" s="203" t="s">
        <v>277</v>
      </c>
      <c r="I47" s="202" t="str">
        <f>("MR. Test_"&amp; AV47 &amp;"_EXCH2")</f>
        <v>MR. Test_107001_EXCH2</v>
      </c>
      <c r="J47" s="204"/>
      <c r="K47" s="205" t="s">
        <v>434</v>
      </c>
      <c r="L47" s="202" t="str">
        <f t="shared" si="291"/>
        <v>Cust. Ref-107001</v>
      </c>
      <c r="M47" s="203" t="s">
        <v>48</v>
      </c>
      <c r="N47" s="203" t="s">
        <v>434</v>
      </c>
      <c r="O47" s="202"/>
      <c r="P47" s="202" t="str">
        <f t="shared" si="292"/>
        <v>SN-107001</v>
      </c>
      <c r="Q47" s="202" t="str">
        <f t="shared" si="293"/>
        <v>SI-107001</v>
      </c>
      <c r="R47" s="202" t="str">
        <f t="shared" si="294"/>
        <v>SE-107001</v>
      </c>
      <c r="S47" s="206" t="str">
        <f t="shared" si="295"/>
        <v>Prev_RA-107001</v>
      </c>
      <c r="T47" s="206" t="str">
        <f t="shared" si="296"/>
        <v>Prev_Comms-107001</v>
      </c>
      <c r="U47" s="203" t="s">
        <v>75</v>
      </c>
      <c r="V47" s="203" t="s">
        <v>406</v>
      </c>
      <c r="W47" s="203" t="s">
        <v>75</v>
      </c>
      <c r="X47" s="203" t="s">
        <v>401</v>
      </c>
      <c r="Y47" s="202" t="str">
        <f t="shared" si="297"/>
        <v>Forward Add-107001</v>
      </c>
      <c r="Z47" s="203" t="s">
        <v>406</v>
      </c>
      <c r="AA47" s="207" t="str">
        <f>'Run Parameters'!$B$2</f>
        <v>2017-06-26 08:00</v>
      </c>
      <c r="AB47" s="207" t="str">
        <f>'Run Parameters'!B$3</f>
        <v>2017-06-26 18:00</v>
      </c>
      <c r="AC47" s="208">
        <f>('Run Parameters'!$B$2) - 7</f>
        <v>42905.333333333336</v>
      </c>
      <c r="AD47" s="203" t="s">
        <v>75</v>
      </c>
      <c r="AE47" s="204" t="str">
        <f t="shared" si="298"/>
        <v>LAST_METER-107001</v>
      </c>
      <c r="AF47" s="207" t="str">
        <f>'Run Parameters'!$B$2</f>
        <v>2017-06-26 08:00</v>
      </c>
      <c r="AG47" s="202" t="str">
        <f>'Run Parameters'!B$4</f>
        <v xml:space="preserve">AUTOTEST </v>
      </c>
      <c r="AH47" s="206" t="str">
        <f t="shared" si="299"/>
        <v>Site_Contact_107001</v>
      </c>
      <c r="AI47" s="207" t="str">
        <f>'Run Parameters'!B$2</f>
        <v>2017-06-26 08:00</v>
      </c>
      <c r="AJ47" s="239" t="str">
        <f>'Run Parameters'!B$3</f>
        <v>2017-06-26 18:00</v>
      </c>
      <c r="AK47" s="202" t="s">
        <v>401</v>
      </c>
      <c r="AL47" s="206" t="str">
        <f t="shared" si="300"/>
        <v>01159107001</v>
      </c>
      <c r="AM47" s="202" t="str">
        <f t="shared" si="301"/>
        <v>0115107001</v>
      </c>
      <c r="AN47" s="203"/>
      <c r="AO47" s="209"/>
      <c r="AP47" s="202">
        <v>1</v>
      </c>
      <c r="AQ47" s="210" t="s">
        <v>49</v>
      </c>
      <c r="AR47" s="203"/>
      <c r="AS47" s="202"/>
      <c r="AT47" s="211"/>
      <c r="AU47" s="211"/>
      <c r="AV47" s="202">
        <f t="shared" si="302"/>
        <v>107001</v>
      </c>
      <c r="AW47" s="202" t="s">
        <v>432</v>
      </c>
      <c r="AX47" s="202" t="s">
        <v>428</v>
      </c>
      <c r="AY47" s="202" t="s">
        <v>429</v>
      </c>
      <c r="AZ47" s="203" t="s">
        <v>338</v>
      </c>
      <c r="BA47" s="211" t="s">
        <v>155</v>
      </c>
      <c r="BB47" s="202">
        <v>1</v>
      </c>
      <c r="BC47" s="204">
        <f t="shared" si="303"/>
        <v>107001</v>
      </c>
      <c r="BD47" s="211" t="s">
        <v>416</v>
      </c>
      <c r="BE47" s="211" t="s">
        <v>395</v>
      </c>
      <c r="BF47" s="211" t="s">
        <v>395</v>
      </c>
      <c r="BG47" s="204" t="s">
        <v>409</v>
      </c>
      <c r="BH47" s="204" t="str">
        <f t="shared" si="304"/>
        <v>107001_1</v>
      </c>
      <c r="BI47" s="202"/>
      <c r="BJ47" s="202" t="str">
        <f t="shared" si="305"/>
        <v>10000000107001</v>
      </c>
      <c r="BK47" s="211" t="s">
        <v>51</v>
      </c>
      <c r="BL47" s="211" t="s">
        <v>54</v>
      </c>
      <c r="BM47" s="204" t="s">
        <v>417</v>
      </c>
      <c r="BN47" s="211" t="s">
        <v>51</v>
      </c>
      <c r="BO47" s="204" t="str">
        <f t="shared" si="306"/>
        <v>S05S107001</v>
      </c>
      <c r="BP47" s="211" t="s">
        <v>408</v>
      </c>
      <c r="BQ47" s="211" t="s">
        <v>408</v>
      </c>
      <c r="BR47" s="204" t="s">
        <v>162</v>
      </c>
      <c r="BS47" s="211" t="s">
        <v>50</v>
      </c>
      <c r="BT47" s="211" t="s">
        <v>136</v>
      </c>
      <c r="BU47" s="211" t="s">
        <v>398</v>
      </c>
      <c r="BV47" s="211" t="s">
        <v>51</v>
      </c>
      <c r="BW47" s="211" t="s">
        <v>155</v>
      </c>
      <c r="BX47" s="211"/>
      <c r="BY47" s="211"/>
      <c r="BZ47" s="211" t="s">
        <v>158</v>
      </c>
      <c r="CA47" s="211" t="s">
        <v>270</v>
      </c>
      <c r="CB47" s="211" t="s">
        <v>418</v>
      </c>
      <c r="CC47" s="211" t="s">
        <v>804</v>
      </c>
      <c r="CD47" s="211" t="s">
        <v>396</v>
      </c>
      <c r="CE47" s="211" t="s">
        <v>401</v>
      </c>
      <c r="CF47" s="211" t="s">
        <v>403</v>
      </c>
      <c r="CG47" s="211" t="s">
        <v>424</v>
      </c>
      <c r="CH47" s="211" t="s">
        <v>160</v>
      </c>
      <c r="CI47" s="202"/>
      <c r="CJ47" s="202"/>
      <c r="CK47" s="203"/>
      <c r="CL47" s="211"/>
      <c r="CM47" s="211"/>
      <c r="CN47" s="202"/>
      <c r="CO47" s="204"/>
      <c r="CP47" s="211"/>
      <c r="CQ47" s="204"/>
      <c r="CR47" s="202"/>
      <c r="CS47" s="211"/>
      <c r="CT47" s="212"/>
      <c r="CU47" s="202"/>
      <c r="CV47" s="211"/>
      <c r="CW47" s="211"/>
      <c r="CX47" s="211"/>
      <c r="CY47" s="211"/>
      <c r="CZ47" s="211"/>
      <c r="DA47" s="211"/>
      <c r="DB47" s="204"/>
      <c r="DC47" s="211"/>
      <c r="DD47" s="203"/>
      <c r="DE47" s="211"/>
      <c r="DF47" s="211"/>
      <c r="DG47" s="211"/>
      <c r="DH47" s="211"/>
      <c r="DI47" s="211"/>
      <c r="DJ47" s="213"/>
      <c r="DK47" s="203"/>
      <c r="DL47" s="203"/>
      <c r="DM47" s="203"/>
      <c r="DN47" s="204" t="str">
        <f t="shared" si="289"/>
        <v>DS_Pass-107001</v>
      </c>
      <c r="DO47" s="203"/>
      <c r="DP47" s="203"/>
      <c r="DQ47" s="203"/>
      <c r="DR47" s="202"/>
      <c r="DS47" s="202"/>
      <c r="DT47" s="203"/>
      <c r="DU47" s="203"/>
      <c r="DV47" s="203"/>
      <c r="DW47" s="202"/>
      <c r="DX47" s="203"/>
      <c r="DY47" s="203"/>
      <c r="DZ47" s="211" t="s">
        <v>408</v>
      </c>
      <c r="EA47" s="206"/>
      <c r="EB47" s="211"/>
      <c r="EC47" s="211"/>
      <c r="ED47" s="211"/>
      <c r="EE47" s="214"/>
    </row>
    <row r="48" spans="1:136" s="215" customFormat="1">
      <c r="A48" s="205"/>
      <c r="B48" s="205"/>
      <c r="C48" s="205"/>
      <c r="D48" s="202">
        <f>'Run Parameters'!$B$1 + ROW()-1</f>
        <v>107002</v>
      </c>
      <c r="E48" s="203" t="s">
        <v>47</v>
      </c>
      <c r="F48" s="204" t="s">
        <v>789</v>
      </c>
      <c r="G48" s="202" t="str">
        <f>("Access Dtls-" &amp; D48)</f>
        <v>Access Dtls-107002</v>
      </c>
      <c r="H48" s="203" t="s">
        <v>277</v>
      </c>
      <c r="I48" s="202" t="str">
        <f>("MR. Test_"&amp; AV48 &amp;"_EXCH3")</f>
        <v>MR. Test_107002_EXCH3</v>
      </c>
      <c r="J48" s="204"/>
      <c r="K48" s="205" t="s">
        <v>434</v>
      </c>
      <c r="L48" s="202" t="str">
        <f>("Cust. Ref-" &amp; D48)</f>
        <v>Cust. Ref-107002</v>
      </c>
      <c r="M48" s="203" t="s">
        <v>48</v>
      </c>
      <c r="N48" s="203" t="s">
        <v>434</v>
      </c>
      <c r="O48" s="202"/>
      <c r="P48" s="202" t="str">
        <f>("SN-" &amp; D48)</f>
        <v>SN-107002</v>
      </c>
      <c r="Q48" s="202" t="str">
        <f>("SI-" &amp; D48)</f>
        <v>SI-107002</v>
      </c>
      <c r="R48" s="202" t="str">
        <f>("SE-" &amp; D48)</f>
        <v>SE-107002</v>
      </c>
      <c r="S48" s="206" t="str">
        <f>("Prev_RA-" &amp; D48)</f>
        <v>Prev_RA-107002</v>
      </c>
      <c r="T48" s="206" t="str">
        <f>("Prev_Comms-" &amp; D48)</f>
        <v>Prev_Comms-107002</v>
      </c>
      <c r="U48" s="203" t="s">
        <v>75</v>
      </c>
      <c r="V48" s="203" t="s">
        <v>406</v>
      </c>
      <c r="W48" s="203" t="s">
        <v>75</v>
      </c>
      <c r="X48" s="203" t="s">
        <v>401</v>
      </c>
      <c r="Y48" s="202" t="str">
        <f>("Forward Add-" &amp; D48)</f>
        <v>Forward Add-107002</v>
      </c>
      <c r="Z48" s="203" t="s">
        <v>406</v>
      </c>
      <c r="AA48" s="207" t="str">
        <f>'Run Parameters'!$B$2</f>
        <v>2017-06-26 08:00</v>
      </c>
      <c r="AB48" s="207" t="str">
        <f>'Run Parameters'!B$3</f>
        <v>2017-06-26 18:00</v>
      </c>
      <c r="AC48" s="208">
        <f>('Run Parameters'!$B$2) - 7</f>
        <v>42905.333333333336</v>
      </c>
      <c r="AD48" s="203" t="s">
        <v>75</v>
      </c>
      <c r="AE48" s="204" t="str">
        <f>("LAST_METER-" &amp; D48)</f>
        <v>LAST_METER-107002</v>
      </c>
      <c r="AF48" s="207" t="str">
        <f>'Run Parameters'!$B$2</f>
        <v>2017-06-26 08:00</v>
      </c>
      <c r="AG48" s="202" t="str">
        <f>'Run Parameters'!B$4</f>
        <v xml:space="preserve">AUTOTEST </v>
      </c>
      <c r="AH48" s="206" t="str">
        <f>("Site_Contact_" &amp; D48)</f>
        <v>Site_Contact_107002</v>
      </c>
      <c r="AI48" s="207" t="str">
        <f>'Run Parameters'!B$2</f>
        <v>2017-06-26 08:00</v>
      </c>
      <c r="AJ48" s="239" t="str">
        <f>'Run Parameters'!B$3</f>
        <v>2017-06-26 18:00</v>
      </c>
      <c r="AK48" s="202" t="s">
        <v>401</v>
      </c>
      <c r="AL48" s="206" t="str">
        <f>"01159" &amp; D48</f>
        <v>01159107002</v>
      </c>
      <c r="AM48" s="202" t="str">
        <f>("0115" &amp; D48)</f>
        <v>0115107002</v>
      </c>
      <c r="AN48" s="203"/>
      <c r="AO48" s="209"/>
      <c r="AP48" s="202">
        <v>1</v>
      </c>
      <c r="AQ48" s="210" t="s">
        <v>49</v>
      </c>
      <c r="AR48" s="203"/>
      <c r="AS48" s="202"/>
      <c r="AT48" s="211" t="s">
        <v>405</v>
      </c>
      <c r="AU48" s="211"/>
      <c r="AV48" s="202">
        <f>D48</f>
        <v>107002</v>
      </c>
      <c r="AW48" s="202" t="s">
        <v>790</v>
      </c>
      <c r="AX48" s="202" t="s">
        <v>428</v>
      </c>
      <c r="AY48" s="202" t="s">
        <v>429</v>
      </c>
      <c r="AZ48" s="203" t="s">
        <v>338</v>
      </c>
      <c r="BA48" s="211" t="s">
        <v>155</v>
      </c>
      <c r="BB48" s="202">
        <v>1</v>
      </c>
      <c r="BC48" s="204">
        <f>D48</f>
        <v>107002</v>
      </c>
      <c r="BD48" s="211" t="s">
        <v>791</v>
      </c>
      <c r="BE48" s="211" t="s">
        <v>395</v>
      </c>
      <c r="BF48" s="211" t="s">
        <v>395</v>
      </c>
      <c r="BG48" s="204" t="s">
        <v>789</v>
      </c>
      <c r="BH48" s="204" t="str">
        <f>BC48&amp;"_"&amp;BB48</f>
        <v>107002_1</v>
      </c>
      <c r="BI48" s="202"/>
      <c r="BJ48" s="202" t="str">
        <f>"10000000" &amp; D48</f>
        <v>10000000107002</v>
      </c>
      <c r="BK48" s="211" t="s">
        <v>51</v>
      </c>
      <c r="BL48" s="211" t="s">
        <v>54</v>
      </c>
      <c r="BM48" s="204" t="s">
        <v>792</v>
      </c>
      <c r="BN48" s="211" t="s">
        <v>51</v>
      </c>
      <c r="BO48" s="204" t="str">
        <f>"S05S" &amp; D48</f>
        <v>S05S107002</v>
      </c>
      <c r="BP48" s="211" t="s">
        <v>793</v>
      </c>
      <c r="BQ48" s="211" t="s">
        <v>793</v>
      </c>
      <c r="BR48" s="204" t="s">
        <v>162</v>
      </c>
      <c r="BS48" s="211" t="s">
        <v>50</v>
      </c>
      <c r="BT48" s="211" t="s">
        <v>47</v>
      </c>
      <c r="BU48" s="211" t="s">
        <v>398</v>
      </c>
      <c r="BV48" s="211" t="s">
        <v>51</v>
      </c>
      <c r="BW48" s="211" t="s">
        <v>155</v>
      </c>
      <c r="BX48" s="211"/>
      <c r="BY48" s="211"/>
      <c r="BZ48" s="211" t="s">
        <v>158</v>
      </c>
      <c r="CA48" s="211" t="s">
        <v>270</v>
      </c>
      <c r="CB48" s="211" t="s">
        <v>418</v>
      </c>
      <c r="CC48" s="211" t="s">
        <v>794</v>
      </c>
      <c r="CD48" s="211" t="s">
        <v>396</v>
      </c>
      <c r="CE48" s="211" t="s">
        <v>401</v>
      </c>
      <c r="CF48" s="211" t="s">
        <v>403</v>
      </c>
      <c r="CG48" s="211" t="s">
        <v>268</v>
      </c>
      <c r="CH48" s="211" t="s">
        <v>160</v>
      </c>
      <c r="CI48" s="204">
        <v>1</v>
      </c>
      <c r="CJ48" s="204" t="str">
        <f>("GAS_ENQ_NO-" &amp; D48)</f>
        <v>GAS_ENQ_NO-107002</v>
      </c>
      <c r="CK48" s="211" t="s">
        <v>166</v>
      </c>
      <c r="CL48" s="211" t="s">
        <v>395</v>
      </c>
      <c r="CM48" s="211" t="s">
        <v>395</v>
      </c>
      <c r="CN48" s="204" t="s">
        <v>281</v>
      </c>
      <c r="CO48" s="204" t="str">
        <f>("GAS_JOB_ID-" &amp; D48)</f>
        <v>GAS_JOB_ID-107002</v>
      </c>
      <c r="CP48" s="211"/>
      <c r="CQ48" s="204" t="str">
        <f>"10000" &amp; D48</f>
        <v>10000107002</v>
      </c>
      <c r="CR48" s="204" t="s">
        <v>155</v>
      </c>
      <c r="CS48" s="211" t="s">
        <v>51</v>
      </c>
      <c r="CT48" s="212" t="str">
        <f>"GMETER" &amp; D48</f>
        <v>GMETER107002</v>
      </c>
      <c r="CU48" s="204" t="s">
        <v>162</v>
      </c>
      <c r="CV48" s="211" t="s">
        <v>166</v>
      </c>
      <c r="CW48" s="211" t="s">
        <v>795</v>
      </c>
      <c r="CX48" s="211"/>
      <c r="CY48" s="211"/>
      <c r="CZ48" s="211" t="s">
        <v>399</v>
      </c>
      <c r="DA48" s="211" t="s">
        <v>400</v>
      </c>
      <c r="DB48" s="204" t="str">
        <f>("GAS_INST_ID-" &amp; $D48)</f>
        <v>GAS_INST_ID-107002</v>
      </c>
      <c r="DC48" s="211" t="s">
        <v>162</v>
      </c>
      <c r="DD48" s="211"/>
      <c r="DE48" s="211" t="s">
        <v>51</v>
      </c>
      <c r="DF48" s="211" t="s">
        <v>265</v>
      </c>
      <c r="DG48" s="211"/>
      <c r="DH48" s="211" t="s">
        <v>402</v>
      </c>
      <c r="DI48" s="211" t="s">
        <v>404</v>
      </c>
      <c r="DJ48" s="213" t="s">
        <v>268</v>
      </c>
      <c r="DK48" s="211" t="s">
        <v>141</v>
      </c>
      <c r="DL48" s="203"/>
      <c r="DM48" s="203"/>
      <c r="DN48" s="204" t="str">
        <f>("DS_Pass-" &amp; $D48)</f>
        <v>DS_Pass-107002</v>
      </c>
      <c r="DO48" s="203"/>
      <c r="DP48" s="203"/>
      <c r="DQ48" s="203"/>
      <c r="DR48" s="202"/>
      <c r="DS48" s="202"/>
      <c r="DT48" s="203"/>
      <c r="DU48" s="203"/>
      <c r="DV48" s="203"/>
      <c r="DW48" s="202"/>
      <c r="DX48" s="203"/>
      <c r="DY48" s="203"/>
      <c r="DZ48" s="211" t="s">
        <v>793</v>
      </c>
      <c r="EA48" s="206"/>
      <c r="EB48" s="211"/>
      <c r="EC48" s="211"/>
      <c r="ED48" s="211"/>
      <c r="EE48" s="214"/>
    </row>
    <row r="49" spans="1:136" s="215" customFormat="1">
      <c r="A49" s="205"/>
      <c r="B49" s="205"/>
      <c r="C49" s="205"/>
      <c r="D49" s="202">
        <f>'Run Parameters'!$B$1 + ROW()-1</f>
        <v>107003</v>
      </c>
      <c r="E49" s="203" t="s">
        <v>47</v>
      </c>
      <c r="F49" s="204" t="s">
        <v>855</v>
      </c>
      <c r="G49" s="202" t="str">
        <f t="shared" ref="G49" si="307">("Access Dtls-" &amp; D49)</f>
        <v>Access Dtls-107003</v>
      </c>
      <c r="H49" s="203" t="s">
        <v>336</v>
      </c>
      <c r="I49" s="202" t="str">
        <f>("MR. Test_"&amp; AV49 &amp;"_EXCH1")</f>
        <v>MR. Test_107003_EXCH1</v>
      </c>
      <c r="J49" s="202"/>
      <c r="K49" s="205" t="s">
        <v>434</v>
      </c>
      <c r="L49" s="202" t="str">
        <f t="shared" ref="L49" si="308">("Cust. Ref-" &amp; D49)</f>
        <v>Cust. Ref-107003</v>
      </c>
      <c r="M49" s="203" t="s">
        <v>48</v>
      </c>
      <c r="N49" s="203" t="s">
        <v>434</v>
      </c>
      <c r="O49" s="202"/>
      <c r="P49" s="202" t="str">
        <f t="shared" ref="P49" si="309">("SN-" &amp; D49)</f>
        <v>SN-107003</v>
      </c>
      <c r="Q49" s="202" t="str">
        <f t="shared" ref="Q49" si="310">("SI-" &amp; D49)</f>
        <v>SI-107003</v>
      </c>
      <c r="R49" s="202" t="str">
        <f t="shared" ref="R49" si="311">("SE-" &amp; D49)</f>
        <v>SE-107003</v>
      </c>
      <c r="S49" s="206" t="str">
        <f t="shared" ref="S49" si="312">("Prev_RA-" &amp; D49)</f>
        <v>Prev_RA-107003</v>
      </c>
      <c r="T49" s="206" t="str">
        <f t="shared" ref="T49" si="313">("Prev_Comms-" &amp; D49)</f>
        <v>Prev_Comms-107003</v>
      </c>
      <c r="U49" s="203" t="s">
        <v>75</v>
      </c>
      <c r="V49" s="203" t="s">
        <v>406</v>
      </c>
      <c r="W49" s="203" t="s">
        <v>75</v>
      </c>
      <c r="X49" s="203" t="s">
        <v>401</v>
      </c>
      <c r="Y49" s="202" t="str">
        <f t="shared" ref="Y49" si="314">("Forward Add-" &amp; D49)</f>
        <v>Forward Add-107003</v>
      </c>
      <c r="Z49" s="203" t="s">
        <v>406</v>
      </c>
      <c r="AA49" s="207" t="str">
        <f>'Run Parameters'!$B$2</f>
        <v>2017-06-26 08:00</v>
      </c>
      <c r="AB49" s="207" t="str">
        <f>'Run Parameters'!B$3</f>
        <v>2017-06-26 18:00</v>
      </c>
      <c r="AC49" s="208">
        <f>('Run Parameters'!$B$2) - 7</f>
        <v>42905.333333333336</v>
      </c>
      <c r="AD49" s="203" t="s">
        <v>75</v>
      </c>
      <c r="AE49" s="204" t="str">
        <f t="shared" ref="AE49" si="315">("LAST_METER-" &amp; D49)</f>
        <v>LAST_METER-107003</v>
      </c>
      <c r="AF49" s="207" t="str">
        <f>'Run Parameters'!$B$2</f>
        <v>2017-06-26 08:00</v>
      </c>
      <c r="AG49" s="202" t="str">
        <f>'Run Parameters'!B$4</f>
        <v xml:space="preserve">AUTOTEST </v>
      </c>
      <c r="AH49" s="206" t="str">
        <f t="shared" ref="AH49" si="316">("Site_Contact_" &amp; D49)</f>
        <v>Site_Contact_107003</v>
      </c>
      <c r="AI49" s="207" t="str">
        <f>'Run Parameters'!B$2</f>
        <v>2017-06-26 08:00</v>
      </c>
      <c r="AJ49" s="239" t="str">
        <f>'Run Parameters'!B$3</f>
        <v>2017-06-26 18:00</v>
      </c>
      <c r="AK49" s="202" t="s">
        <v>401</v>
      </c>
      <c r="AL49" s="206" t="str">
        <f t="shared" ref="AL49" si="317">"01159" &amp; D49</f>
        <v>01159107003</v>
      </c>
      <c r="AM49" s="202" t="str">
        <f t="shared" ref="AM49" si="318">("0115" &amp; D49)</f>
        <v>0115107003</v>
      </c>
      <c r="AN49" s="203"/>
      <c r="AO49" s="203"/>
      <c r="AP49" s="202">
        <v>1</v>
      </c>
      <c r="AQ49" s="210" t="s">
        <v>49</v>
      </c>
      <c r="AR49" s="203"/>
      <c r="AS49" s="202"/>
      <c r="AT49" s="211" t="s">
        <v>856</v>
      </c>
      <c r="AU49" s="211"/>
      <c r="AV49" s="202">
        <f t="shared" ref="AV49" si="319">D49</f>
        <v>107003</v>
      </c>
      <c r="AW49" s="202" t="s">
        <v>857</v>
      </c>
      <c r="AX49" s="202" t="s">
        <v>428</v>
      </c>
      <c r="AY49" s="202" t="s">
        <v>429</v>
      </c>
      <c r="AZ49" s="203" t="s">
        <v>337</v>
      </c>
      <c r="BA49" s="203" t="s">
        <v>155</v>
      </c>
      <c r="BB49" s="202">
        <v>1</v>
      </c>
      <c r="BC49" s="204">
        <f t="shared" ref="BC49" si="320">D49</f>
        <v>107003</v>
      </c>
      <c r="BD49" s="216" t="s">
        <v>858</v>
      </c>
      <c r="BE49" s="203" t="s">
        <v>395</v>
      </c>
      <c r="BF49" s="203" t="s">
        <v>395</v>
      </c>
      <c r="BG49" s="202" t="s">
        <v>855</v>
      </c>
      <c r="BH49" s="204" t="str">
        <f t="shared" ref="BH49" si="321">BC49&amp;"_"&amp;BB49</f>
        <v>107003_1</v>
      </c>
      <c r="BI49" s="202"/>
      <c r="BJ49" s="202" t="str">
        <f t="shared" ref="BJ49" si="322">"10000000" &amp; D49</f>
        <v>10000000107003</v>
      </c>
      <c r="BK49" s="203" t="s">
        <v>51</v>
      </c>
      <c r="BL49" s="203" t="s">
        <v>411</v>
      </c>
      <c r="BM49" s="202" t="s">
        <v>417</v>
      </c>
      <c r="BN49" s="203"/>
      <c r="BO49" s="204" t="str">
        <f t="shared" ref="BO49" si="323">"S05S" &amp; D49</f>
        <v>S05S107003</v>
      </c>
      <c r="BP49" s="203" t="s">
        <v>415</v>
      </c>
      <c r="BQ49" s="203" t="s">
        <v>415</v>
      </c>
      <c r="BR49" s="202" t="s">
        <v>160</v>
      </c>
      <c r="BS49" s="203" t="s">
        <v>50</v>
      </c>
      <c r="BT49" s="211" t="s">
        <v>158</v>
      </c>
      <c r="BU49" s="203" t="s">
        <v>859</v>
      </c>
      <c r="BV49" s="203" t="s">
        <v>51</v>
      </c>
      <c r="BW49" s="203" t="s">
        <v>155</v>
      </c>
      <c r="BX49" s="203"/>
      <c r="BY49" s="203"/>
      <c r="BZ49" s="203" t="s">
        <v>158</v>
      </c>
      <c r="CA49" s="203" t="s">
        <v>270</v>
      </c>
      <c r="CB49" s="211" t="s">
        <v>418</v>
      </c>
      <c r="CC49" s="211" t="s">
        <v>794</v>
      </c>
      <c r="CD49" s="211" t="s">
        <v>396</v>
      </c>
      <c r="CE49" s="211" t="s">
        <v>401</v>
      </c>
      <c r="CF49" s="211" t="s">
        <v>403</v>
      </c>
      <c r="CG49" s="216" t="s">
        <v>860</v>
      </c>
      <c r="CH49" s="211" t="s">
        <v>160</v>
      </c>
      <c r="CI49" s="204">
        <v>1</v>
      </c>
      <c r="CJ49" s="204" t="str">
        <f t="shared" ref="CJ49" si="324">("GAS_ENQ_NO-" &amp; D49)</f>
        <v>GAS_ENQ_NO-107003</v>
      </c>
      <c r="CK49" s="211" t="s">
        <v>166</v>
      </c>
      <c r="CL49" s="211" t="s">
        <v>395</v>
      </c>
      <c r="CM49" s="211" t="s">
        <v>395</v>
      </c>
      <c r="CN49" s="204" t="s">
        <v>861</v>
      </c>
      <c r="CO49" s="204" t="str">
        <f t="shared" ref="CO49" si="325">("GAS_JOB_ID-" &amp; D49)</f>
        <v>GAS_JOB_ID-107003</v>
      </c>
      <c r="CP49" s="211"/>
      <c r="CQ49" s="204" t="str">
        <f t="shared" ref="CQ49" si="326">"10000" &amp; D49</f>
        <v>10000107003</v>
      </c>
      <c r="CR49" s="204" t="s">
        <v>155</v>
      </c>
      <c r="CS49" s="211" t="s">
        <v>51</v>
      </c>
      <c r="CT49" s="212" t="str">
        <f t="shared" ref="CT49" si="327">"GMETER" &amp; D49</f>
        <v>GMETER107003</v>
      </c>
      <c r="CU49" s="204" t="s">
        <v>162</v>
      </c>
      <c r="CV49" s="211" t="s">
        <v>166</v>
      </c>
      <c r="CW49" s="211" t="s">
        <v>795</v>
      </c>
      <c r="CX49" s="211"/>
      <c r="CY49" s="211"/>
      <c r="CZ49" s="211" t="s">
        <v>399</v>
      </c>
      <c r="DA49" s="211" t="s">
        <v>400</v>
      </c>
      <c r="DB49" s="204" t="str">
        <f t="shared" ref="DB49" si="328">("GAS_INST_ID-" &amp; $D49)</f>
        <v>GAS_INST_ID-107003</v>
      </c>
      <c r="DC49" s="211" t="s">
        <v>162</v>
      </c>
      <c r="DD49" s="211"/>
      <c r="DE49" s="211" t="s">
        <v>51</v>
      </c>
      <c r="DF49" s="211" t="s">
        <v>265</v>
      </c>
      <c r="DG49" s="211"/>
      <c r="DH49" s="211" t="s">
        <v>402</v>
      </c>
      <c r="DI49" s="211" t="s">
        <v>404</v>
      </c>
      <c r="DJ49" s="213" t="s">
        <v>860</v>
      </c>
      <c r="DK49" s="211" t="s">
        <v>141</v>
      </c>
      <c r="DL49" s="203"/>
      <c r="DM49" s="203"/>
      <c r="DN49" s="204" t="str">
        <f t="shared" si="289"/>
        <v>DS_Pass-107003</v>
      </c>
      <c r="DO49" s="203"/>
      <c r="DP49" s="203"/>
      <c r="DQ49" s="203"/>
      <c r="DR49" s="202"/>
      <c r="DS49" s="202"/>
      <c r="DT49" s="203"/>
      <c r="DU49" s="203"/>
      <c r="DV49" s="203"/>
      <c r="DW49" s="202"/>
      <c r="DX49" s="203"/>
      <c r="DY49" s="203"/>
      <c r="DZ49" s="203" t="s">
        <v>415</v>
      </c>
      <c r="EA49" s="206"/>
      <c r="EB49" s="203"/>
      <c r="EC49" s="203"/>
      <c r="ED49" s="216"/>
      <c r="EE49" s="214"/>
    </row>
    <row r="50" spans="1:136" s="200" customFormat="1">
      <c r="A50" s="234"/>
      <c r="B50" s="234"/>
      <c r="C50" s="234"/>
      <c r="D50" s="14"/>
      <c r="E50" s="16"/>
      <c r="F50" s="19"/>
      <c r="G50" s="14"/>
      <c r="H50" s="16"/>
      <c r="I50" s="14"/>
      <c r="J50" s="14"/>
      <c r="K50" s="20"/>
      <c r="L50" s="14"/>
      <c r="M50" s="16"/>
      <c r="N50" s="16"/>
      <c r="O50" s="14"/>
      <c r="P50" s="14"/>
      <c r="Q50" s="14"/>
      <c r="R50" s="14"/>
      <c r="S50" s="56"/>
      <c r="T50" s="56"/>
      <c r="U50" s="18"/>
      <c r="V50" s="16"/>
      <c r="W50" s="18"/>
      <c r="X50" s="16"/>
      <c r="Y50" s="14"/>
      <c r="Z50" s="16"/>
      <c r="AA50" s="142"/>
      <c r="AB50" s="143"/>
      <c r="AC50" s="27"/>
      <c r="AD50" s="18"/>
      <c r="AE50" s="19"/>
      <c r="AF50" s="143"/>
      <c r="AG50" s="14"/>
      <c r="AH50" s="56"/>
      <c r="AI50" s="143"/>
      <c r="AJ50" s="238"/>
      <c r="AK50" s="14"/>
      <c r="AL50" s="56"/>
      <c r="AM50" s="14"/>
      <c r="AN50" s="16"/>
      <c r="AO50" s="16"/>
      <c r="AP50" s="14"/>
      <c r="AQ50" s="55"/>
      <c r="AR50" s="16"/>
      <c r="AS50" s="14"/>
      <c r="AT50" s="8"/>
      <c r="AU50" s="8"/>
      <c r="AV50" s="14"/>
      <c r="AW50" s="14"/>
      <c r="AX50" s="14"/>
      <c r="AY50" s="14"/>
      <c r="AZ50" s="16"/>
      <c r="BA50" s="16"/>
      <c r="BB50" s="22"/>
      <c r="BC50" s="21"/>
      <c r="BD50" s="196"/>
      <c r="BE50" s="18"/>
      <c r="BF50" s="18"/>
      <c r="BG50" s="22"/>
      <c r="BH50" s="21"/>
      <c r="BI50" s="22"/>
      <c r="BJ50" s="22"/>
      <c r="BK50" s="18"/>
      <c r="BL50" s="18"/>
      <c r="BM50" s="22"/>
      <c r="BN50" s="18"/>
      <c r="BO50" s="21"/>
      <c r="BP50" s="18"/>
      <c r="BQ50" s="18"/>
      <c r="BR50" s="22"/>
      <c r="BS50" s="18"/>
      <c r="BT50" s="17"/>
      <c r="BU50" s="18"/>
      <c r="BV50" s="18"/>
      <c r="BW50" s="18"/>
      <c r="BX50" s="18"/>
      <c r="BY50" s="18"/>
      <c r="BZ50" s="18"/>
      <c r="CA50" s="18"/>
      <c r="CB50" s="17"/>
      <c r="CC50" s="17"/>
      <c r="CD50" s="17"/>
      <c r="CE50" s="17"/>
      <c r="CF50" s="17"/>
      <c r="CG50" s="196"/>
      <c r="CH50" s="17"/>
      <c r="CI50" s="7"/>
      <c r="CJ50" s="7"/>
      <c r="CK50" s="8"/>
      <c r="CL50" s="8"/>
      <c r="CM50" s="8"/>
      <c r="CN50" s="7"/>
      <c r="CO50" s="7"/>
      <c r="CP50" s="8"/>
      <c r="CQ50" s="7"/>
      <c r="CR50" s="7"/>
      <c r="CS50" s="8"/>
      <c r="CT50" s="28"/>
      <c r="CU50" s="7"/>
      <c r="CV50" s="8"/>
      <c r="CW50" s="8"/>
      <c r="CX50" s="8"/>
      <c r="CY50" s="8"/>
      <c r="CZ50" s="8"/>
      <c r="DA50" s="8"/>
      <c r="DB50" s="7"/>
      <c r="DC50" s="8"/>
      <c r="DD50" s="8"/>
      <c r="DE50" s="8"/>
      <c r="DF50" s="8"/>
      <c r="DG50" s="8"/>
      <c r="DH50" s="8"/>
      <c r="DI50" s="8"/>
      <c r="DJ50" s="197"/>
      <c r="DK50" s="8"/>
      <c r="DL50" s="42"/>
      <c r="DM50" s="42"/>
      <c r="DN50" s="19"/>
      <c r="DO50" s="42"/>
      <c r="DP50" s="42"/>
      <c r="DQ50" s="42"/>
      <c r="DR50" s="43"/>
      <c r="DS50" s="43"/>
      <c r="DT50" s="42"/>
      <c r="DU50" s="42"/>
      <c r="DV50" s="42"/>
      <c r="DW50" s="43"/>
      <c r="DX50" s="42"/>
      <c r="DY50" s="42"/>
      <c r="DZ50" s="42"/>
      <c r="EA50" s="41"/>
      <c r="EB50" s="42"/>
      <c r="EC50" s="42"/>
      <c r="ED50" s="196"/>
      <c r="EE50" s="198"/>
      <c r="EF50" s="199"/>
    </row>
    <row r="51" spans="1:136" s="200" customFormat="1">
      <c r="A51" s="234"/>
      <c r="B51" s="234"/>
      <c r="C51" s="234"/>
      <c r="D51" s="14"/>
      <c r="E51" s="16"/>
      <c r="F51" s="19"/>
      <c r="G51" s="14"/>
      <c r="H51" s="16"/>
      <c r="I51" s="14"/>
      <c r="J51" s="14"/>
      <c r="K51" s="20"/>
      <c r="L51" s="14"/>
      <c r="M51" s="16"/>
      <c r="N51" s="16"/>
      <c r="O51" s="14"/>
      <c r="P51" s="14"/>
      <c r="Q51" s="14"/>
      <c r="R51" s="14"/>
      <c r="S51" s="56"/>
      <c r="T51" s="56"/>
      <c r="U51" s="18"/>
      <c r="V51" s="16"/>
      <c r="W51" s="18"/>
      <c r="X51" s="16"/>
      <c r="Y51" s="14"/>
      <c r="Z51" s="16"/>
      <c r="AA51" s="142"/>
      <c r="AB51" s="143"/>
      <c r="AC51" s="27"/>
      <c r="AD51" s="18"/>
      <c r="AE51" s="19"/>
      <c r="AF51" s="143"/>
      <c r="AG51" s="14"/>
      <c r="AH51" s="56"/>
      <c r="AI51" s="143"/>
      <c r="AJ51" s="238"/>
      <c r="AK51" s="14"/>
      <c r="AL51" s="56"/>
      <c r="AM51" s="14"/>
      <c r="AN51" s="16"/>
      <c r="AO51" s="16"/>
      <c r="AP51" s="14"/>
      <c r="AQ51" s="55"/>
      <c r="AR51" s="16"/>
      <c r="AS51" s="14"/>
      <c r="AT51" s="8"/>
      <c r="AU51" s="8"/>
      <c r="AV51" s="14"/>
      <c r="AW51" s="14"/>
      <c r="AX51" s="14"/>
      <c r="AY51" s="14"/>
      <c r="AZ51" s="16"/>
      <c r="BA51" s="16"/>
      <c r="BB51" s="22"/>
      <c r="BC51" s="21"/>
      <c r="BD51" s="196"/>
      <c r="BE51" s="18"/>
      <c r="BF51" s="18"/>
      <c r="BG51" s="22"/>
      <c r="BH51" s="21"/>
      <c r="BI51" s="22"/>
      <c r="BJ51" s="22"/>
      <c r="BK51" s="18"/>
      <c r="BL51" s="18"/>
      <c r="BM51" s="22"/>
      <c r="BN51" s="18"/>
      <c r="BO51" s="21"/>
      <c r="BP51" s="18"/>
      <c r="BQ51" s="18"/>
      <c r="BR51" s="22"/>
      <c r="BS51" s="18"/>
      <c r="BT51" s="17"/>
      <c r="BU51" s="18"/>
      <c r="BV51" s="18"/>
      <c r="BW51" s="18"/>
      <c r="BX51" s="18"/>
      <c r="BY51" s="18"/>
      <c r="BZ51" s="18"/>
      <c r="CA51" s="18"/>
      <c r="CB51" s="17"/>
      <c r="CC51" s="17"/>
      <c r="CD51" s="17"/>
      <c r="CE51" s="17"/>
      <c r="CF51" s="17"/>
      <c r="CG51" s="196"/>
      <c r="CH51" s="17"/>
      <c r="CI51" s="7"/>
      <c r="CJ51" s="7"/>
      <c r="CK51" s="8"/>
      <c r="CL51" s="8"/>
      <c r="CM51" s="8"/>
      <c r="CN51" s="7"/>
      <c r="CO51" s="7"/>
      <c r="CP51" s="8"/>
      <c r="CQ51" s="7"/>
      <c r="CR51" s="7"/>
      <c r="CS51" s="8"/>
      <c r="CT51" s="28"/>
      <c r="CU51" s="7"/>
      <c r="CV51" s="8"/>
      <c r="CW51" s="8"/>
      <c r="CX51" s="8"/>
      <c r="CY51" s="8"/>
      <c r="CZ51" s="8"/>
      <c r="DA51" s="8"/>
      <c r="DB51" s="7"/>
      <c r="DC51" s="8"/>
      <c r="DD51" s="8"/>
      <c r="DE51" s="8"/>
      <c r="DF51" s="8"/>
      <c r="DG51" s="8"/>
      <c r="DH51" s="8"/>
      <c r="DI51" s="8"/>
      <c r="DJ51" s="197"/>
      <c r="DK51" s="8"/>
      <c r="DL51" s="42"/>
      <c r="DM51" s="42"/>
      <c r="DN51" s="19"/>
      <c r="DO51" s="42"/>
      <c r="DP51" s="42"/>
      <c r="DQ51" s="42"/>
      <c r="DR51" s="43"/>
      <c r="DS51" s="43"/>
      <c r="DT51" s="42"/>
      <c r="DU51" s="42"/>
      <c r="DV51" s="42"/>
      <c r="DW51" s="43"/>
      <c r="DX51" s="42"/>
      <c r="DY51" s="42"/>
      <c r="DZ51" s="42"/>
      <c r="EA51" s="41"/>
      <c r="EB51" s="42"/>
      <c r="EC51" s="42"/>
      <c r="ED51" s="196"/>
      <c r="EE51" s="198"/>
      <c r="EF51" s="199"/>
    </row>
    <row r="52" spans="1:136" s="200" customFormat="1">
      <c r="A52" s="234"/>
      <c r="B52" s="234"/>
      <c r="C52" s="234"/>
      <c r="D52" s="14"/>
      <c r="E52" s="16"/>
      <c r="F52" s="19"/>
      <c r="G52" s="14"/>
      <c r="H52" s="16"/>
      <c r="I52" s="14"/>
      <c r="J52" s="14"/>
      <c r="K52" s="20"/>
      <c r="L52" s="14"/>
      <c r="M52" s="16"/>
      <c r="N52" s="16"/>
      <c r="O52" s="14"/>
      <c r="P52" s="14"/>
      <c r="Q52" s="14"/>
      <c r="R52" s="14"/>
      <c r="S52" s="56"/>
      <c r="T52" s="56"/>
      <c r="U52" s="18"/>
      <c r="V52" s="16"/>
      <c r="W52" s="18"/>
      <c r="X52" s="16"/>
      <c r="Y52" s="14"/>
      <c r="Z52" s="16"/>
      <c r="AA52" s="142"/>
      <c r="AB52" s="143"/>
      <c r="AC52" s="27"/>
      <c r="AD52" s="18"/>
      <c r="AE52" s="19"/>
      <c r="AF52" s="143"/>
      <c r="AG52" s="14"/>
      <c r="AH52" s="56"/>
      <c r="AI52" s="143"/>
      <c r="AJ52" s="238"/>
      <c r="AK52" s="14"/>
      <c r="AL52" s="56"/>
      <c r="AM52" s="14"/>
      <c r="AN52" s="16"/>
      <c r="AO52" s="16"/>
      <c r="AP52" s="14"/>
      <c r="AQ52" s="55"/>
      <c r="AR52" s="16"/>
      <c r="AS52" s="14"/>
      <c r="AT52" s="8"/>
      <c r="AU52" s="8"/>
      <c r="AV52" s="14"/>
      <c r="AW52" s="14"/>
      <c r="AX52" s="14"/>
      <c r="AY52" s="14"/>
      <c r="AZ52" s="16"/>
      <c r="BA52" s="16"/>
      <c r="BB52" s="22"/>
      <c r="BC52" s="21"/>
      <c r="BD52" s="196"/>
      <c r="BE52" s="18"/>
      <c r="BF52" s="18"/>
      <c r="BG52" s="22"/>
      <c r="BH52" s="21"/>
      <c r="BI52" s="22"/>
      <c r="BJ52" s="22"/>
      <c r="BK52" s="18"/>
      <c r="BL52" s="18"/>
      <c r="BM52" s="22"/>
      <c r="BN52" s="18"/>
      <c r="BO52" s="21"/>
      <c r="BP52" s="18"/>
      <c r="BQ52" s="18"/>
      <c r="BR52" s="22"/>
      <c r="BS52" s="18"/>
      <c r="BT52" s="17"/>
      <c r="BU52" s="18"/>
      <c r="BV52" s="18"/>
      <c r="BW52" s="18"/>
      <c r="BX52" s="18"/>
      <c r="BY52" s="18"/>
      <c r="BZ52" s="18"/>
      <c r="CA52" s="18"/>
      <c r="CB52" s="17"/>
      <c r="CC52" s="17"/>
      <c r="CD52" s="17"/>
      <c r="CE52" s="17"/>
      <c r="CF52" s="17"/>
      <c r="CG52" s="196"/>
      <c r="CH52" s="17"/>
      <c r="CI52" s="7"/>
      <c r="CJ52" s="7"/>
      <c r="CK52" s="8"/>
      <c r="CL52" s="8"/>
      <c r="CM52" s="8"/>
      <c r="CN52" s="7"/>
      <c r="CO52" s="7"/>
      <c r="CP52" s="8"/>
      <c r="CQ52" s="7"/>
      <c r="CR52" s="7"/>
      <c r="CS52" s="8"/>
      <c r="CT52" s="28"/>
      <c r="CU52" s="7"/>
      <c r="CV52" s="8"/>
      <c r="CW52" s="8"/>
      <c r="CX52" s="8"/>
      <c r="CY52" s="8"/>
      <c r="CZ52" s="8"/>
      <c r="DA52" s="8"/>
      <c r="DB52" s="7"/>
      <c r="DC52" s="8"/>
      <c r="DD52" s="8"/>
      <c r="DE52" s="8"/>
      <c r="DF52" s="8"/>
      <c r="DG52" s="8"/>
      <c r="DH52" s="8"/>
      <c r="DI52" s="8"/>
      <c r="DJ52" s="197"/>
      <c r="DK52" s="8"/>
      <c r="DL52" s="42"/>
      <c r="DM52" s="42"/>
      <c r="DN52" s="19"/>
      <c r="DO52" s="42"/>
      <c r="DP52" s="42"/>
      <c r="DQ52" s="42"/>
      <c r="DR52" s="43"/>
      <c r="DS52" s="43"/>
      <c r="DT52" s="42"/>
      <c r="DU52" s="42"/>
      <c r="DV52" s="42"/>
      <c r="DW52" s="43"/>
      <c r="DX52" s="42"/>
      <c r="DY52" s="42"/>
      <c r="DZ52" s="42"/>
      <c r="EA52" s="41"/>
      <c r="EB52" s="42"/>
      <c r="EC52" s="42"/>
      <c r="ED52" s="196"/>
      <c r="EE52" s="198"/>
      <c r="EF52" s="199"/>
    </row>
    <row r="53" spans="1:136" s="200" customFormat="1">
      <c r="A53" s="234"/>
      <c r="B53" s="234"/>
      <c r="C53" s="234"/>
      <c r="D53" s="14"/>
      <c r="E53" s="16"/>
      <c r="F53" s="19"/>
      <c r="G53" s="14"/>
      <c r="H53" s="16"/>
      <c r="I53" s="14"/>
      <c r="J53" s="14"/>
      <c r="K53" s="20"/>
      <c r="L53" s="14"/>
      <c r="M53" s="16"/>
      <c r="N53" s="16"/>
      <c r="O53" s="14"/>
      <c r="P53" s="14"/>
      <c r="Q53" s="14"/>
      <c r="R53" s="14"/>
      <c r="S53" s="56"/>
      <c r="T53" s="56"/>
      <c r="U53" s="18"/>
      <c r="V53" s="16"/>
      <c r="W53" s="18"/>
      <c r="X53" s="16"/>
      <c r="Y53" s="14"/>
      <c r="Z53" s="16"/>
      <c r="AA53" s="142"/>
      <c r="AB53" s="143"/>
      <c r="AC53" s="27"/>
      <c r="AD53" s="18"/>
      <c r="AE53" s="19"/>
      <c r="AF53" s="143"/>
      <c r="AG53" s="14"/>
      <c r="AH53" s="56"/>
      <c r="AI53" s="143"/>
      <c r="AJ53" s="238"/>
      <c r="AK53" s="14"/>
      <c r="AL53" s="56"/>
      <c r="AM53" s="14"/>
      <c r="AN53" s="16"/>
      <c r="AO53" s="16"/>
      <c r="AP53" s="14"/>
      <c r="AQ53" s="55"/>
      <c r="AR53" s="16"/>
      <c r="AS53" s="14"/>
      <c r="AT53" s="8"/>
      <c r="AU53" s="8"/>
      <c r="AV53" s="14"/>
      <c r="AW53" s="14"/>
      <c r="AX53" s="14"/>
      <c r="AY53" s="14"/>
      <c r="AZ53" s="16"/>
      <c r="BA53" s="16"/>
      <c r="BB53" s="22"/>
      <c r="BC53" s="21"/>
      <c r="BD53" s="196"/>
      <c r="BE53" s="18"/>
      <c r="BF53" s="18"/>
      <c r="BG53" s="22"/>
      <c r="BH53" s="21"/>
      <c r="BI53" s="22"/>
      <c r="BJ53" s="22"/>
      <c r="BK53" s="18"/>
      <c r="BL53" s="18"/>
      <c r="BM53" s="22"/>
      <c r="BN53" s="18"/>
      <c r="BO53" s="21"/>
      <c r="BP53" s="18"/>
      <c r="BQ53" s="18"/>
      <c r="BR53" s="22"/>
      <c r="BS53" s="18"/>
      <c r="BT53" s="17"/>
      <c r="BU53" s="18"/>
      <c r="BV53" s="18"/>
      <c r="BW53" s="18"/>
      <c r="BX53" s="18"/>
      <c r="BY53" s="18"/>
      <c r="BZ53" s="18"/>
      <c r="CA53" s="18"/>
      <c r="CB53" s="17"/>
      <c r="CC53" s="17"/>
      <c r="CD53" s="17"/>
      <c r="CE53" s="17"/>
      <c r="CF53" s="17"/>
      <c r="CG53" s="196"/>
      <c r="CH53" s="17"/>
      <c r="CI53" s="7"/>
      <c r="CJ53" s="7"/>
      <c r="CK53" s="8"/>
      <c r="CL53" s="8"/>
      <c r="CM53" s="8"/>
      <c r="CN53" s="7"/>
      <c r="CO53" s="7"/>
      <c r="CP53" s="8"/>
      <c r="CQ53" s="7"/>
      <c r="CR53" s="7"/>
      <c r="CS53" s="8"/>
      <c r="CT53" s="28"/>
      <c r="CU53" s="7"/>
      <c r="CV53" s="8"/>
      <c r="CW53" s="8"/>
      <c r="CX53" s="8"/>
      <c r="CY53" s="8"/>
      <c r="CZ53" s="8"/>
      <c r="DA53" s="8"/>
      <c r="DB53" s="7"/>
      <c r="DC53" s="8"/>
      <c r="DD53" s="8"/>
      <c r="DE53" s="8"/>
      <c r="DF53" s="8"/>
      <c r="DG53" s="8"/>
      <c r="DH53" s="8"/>
      <c r="DI53" s="8"/>
      <c r="DJ53" s="197"/>
      <c r="DK53" s="8"/>
      <c r="DL53" s="42"/>
      <c r="DM53" s="42"/>
      <c r="DN53" s="19"/>
      <c r="DO53" s="42"/>
      <c r="DP53" s="42"/>
      <c r="DQ53" s="42"/>
      <c r="DR53" s="43"/>
      <c r="DS53" s="43"/>
      <c r="DT53" s="42"/>
      <c r="DU53" s="42"/>
      <c r="DV53" s="42"/>
      <c r="DW53" s="43"/>
      <c r="DX53" s="42"/>
      <c r="DY53" s="42"/>
      <c r="DZ53" s="42"/>
      <c r="EA53" s="41"/>
      <c r="EB53" s="42"/>
      <c r="EC53" s="42"/>
      <c r="ED53" s="196"/>
      <c r="EE53" s="198"/>
      <c r="EF53" s="199"/>
    </row>
    <row r="54" spans="1:136" s="200" customFormat="1">
      <c r="A54" s="234"/>
      <c r="B54" s="234"/>
      <c r="C54" s="234"/>
      <c r="D54" s="14"/>
      <c r="E54" s="16"/>
      <c r="F54" s="19"/>
      <c r="G54" s="14"/>
      <c r="H54" s="16"/>
      <c r="I54" s="14"/>
      <c r="J54" s="14"/>
      <c r="K54" s="20"/>
      <c r="L54" s="14"/>
      <c r="M54" s="16"/>
      <c r="N54" s="16"/>
      <c r="O54" s="14"/>
      <c r="P54" s="14"/>
      <c r="Q54" s="14"/>
      <c r="R54" s="14"/>
      <c r="S54" s="56"/>
      <c r="T54" s="56"/>
      <c r="U54" s="18"/>
      <c r="V54" s="16"/>
      <c r="W54" s="18"/>
      <c r="X54" s="16"/>
      <c r="Y54" s="14"/>
      <c r="Z54" s="16"/>
      <c r="AA54" s="142"/>
      <c r="AB54" s="143"/>
      <c r="AC54" s="27"/>
      <c r="AD54" s="18"/>
      <c r="AE54" s="19"/>
      <c r="AF54" s="143"/>
      <c r="AG54" s="14"/>
      <c r="AH54" s="56"/>
      <c r="AI54" s="143"/>
      <c r="AJ54" s="238"/>
      <c r="AK54" s="14"/>
      <c r="AL54" s="56"/>
      <c r="AM54" s="14"/>
      <c r="AN54" s="16"/>
      <c r="AO54" s="16"/>
      <c r="AP54" s="14"/>
      <c r="AQ54" s="55"/>
      <c r="AR54" s="16"/>
      <c r="AS54" s="14"/>
      <c r="AT54" s="8"/>
      <c r="AU54" s="8"/>
      <c r="AV54" s="14"/>
      <c r="AW54" s="14"/>
      <c r="AX54" s="14"/>
      <c r="AY54" s="14"/>
      <c r="AZ54" s="16"/>
      <c r="BA54" s="16"/>
      <c r="BB54" s="22"/>
      <c r="BC54" s="21"/>
      <c r="BD54" s="196"/>
      <c r="BE54" s="18"/>
      <c r="BF54" s="18"/>
      <c r="BG54" s="22"/>
      <c r="BH54" s="21"/>
      <c r="BI54" s="22"/>
      <c r="BJ54" s="22"/>
      <c r="BK54" s="18"/>
      <c r="BL54" s="18"/>
      <c r="BM54" s="22"/>
      <c r="BN54" s="18"/>
      <c r="BO54" s="21"/>
      <c r="BP54" s="18"/>
      <c r="BQ54" s="18"/>
      <c r="BR54" s="22"/>
      <c r="BS54" s="18"/>
      <c r="BT54" s="17"/>
      <c r="BU54" s="18"/>
      <c r="BV54" s="18"/>
      <c r="BW54" s="18"/>
      <c r="BX54" s="18"/>
      <c r="BY54" s="18"/>
      <c r="BZ54" s="18"/>
      <c r="CA54" s="18"/>
      <c r="CB54" s="17"/>
      <c r="CC54" s="17"/>
      <c r="CD54" s="17"/>
      <c r="CE54" s="17"/>
      <c r="CF54" s="17"/>
      <c r="CG54" s="196"/>
      <c r="CH54" s="17"/>
      <c r="CI54" s="7"/>
      <c r="CJ54" s="7"/>
      <c r="CK54" s="8"/>
      <c r="CL54" s="8"/>
      <c r="CM54" s="8"/>
      <c r="CN54" s="7"/>
      <c r="CO54" s="7"/>
      <c r="CP54" s="8"/>
      <c r="CQ54" s="7"/>
      <c r="CR54" s="7"/>
      <c r="CS54" s="8"/>
      <c r="CT54" s="28"/>
      <c r="CU54" s="7"/>
      <c r="CV54" s="8"/>
      <c r="CW54" s="8"/>
      <c r="CX54" s="8"/>
      <c r="CY54" s="8"/>
      <c r="CZ54" s="8"/>
      <c r="DA54" s="8"/>
      <c r="DB54" s="7"/>
      <c r="DC54" s="8"/>
      <c r="DD54" s="8"/>
      <c r="DE54" s="8"/>
      <c r="DF54" s="8"/>
      <c r="DG54" s="8"/>
      <c r="DH54" s="8"/>
      <c r="DI54" s="8"/>
      <c r="DJ54" s="197"/>
      <c r="DK54" s="8"/>
      <c r="DL54" s="42"/>
      <c r="DM54" s="42"/>
      <c r="DN54" s="19"/>
      <c r="DO54" s="42"/>
      <c r="DP54" s="42"/>
      <c r="DQ54" s="42"/>
      <c r="DR54" s="43"/>
      <c r="DS54" s="43"/>
      <c r="DT54" s="42"/>
      <c r="DU54" s="42"/>
      <c r="DV54" s="42"/>
      <c r="DW54" s="43"/>
      <c r="DX54" s="42"/>
      <c r="DY54" s="42"/>
      <c r="DZ54" s="42"/>
      <c r="EA54" s="41"/>
      <c r="EB54" s="42"/>
      <c r="EC54" s="42"/>
      <c r="ED54" s="196"/>
      <c r="EE54" s="198"/>
      <c r="EF54" s="199"/>
    </row>
    <row r="55" spans="1:136" s="195" customFormat="1">
      <c r="A55" s="184"/>
      <c r="B55" s="184"/>
      <c r="C55" s="184"/>
      <c r="D55" s="181">
        <f>'Run Parameters'!$B$1 + ROW()-1</f>
        <v>107009</v>
      </c>
      <c r="E55" s="182" t="s">
        <v>47</v>
      </c>
      <c r="F55" s="183" t="s">
        <v>855</v>
      </c>
      <c r="G55" s="181" t="str">
        <f t="shared" ref="G55" si="329">("Access Dtls-" &amp; D55)</f>
        <v>Access Dtls-107009</v>
      </c>
      <c r="H55" s="182" t="s">
        <v>336</v>
      </c>
      <c r="I55" s="181" t="str">
        <f>("MR. Test_"&amp; AV55 &amp;"_EXCH1")</f>
        <v>MR. Test_107009_EXCH1</v>
      </c>
      <c r="J55" s="181"/>
      <c r="K55" s="184" t="s">
        <v>434</v>
      </c>
      <c r="L55" s="181" t="str">
        <f t="shared" ref="L55" si="330">("Cust. Ref-" &amp; D55)</f>
        <v>Cust. Ref-107009</v>
      </c>
      <c r="M55" s="182" t="s">
        <v>48</v>
      </c>
      <c r="N55" s="182" t="s">
        <v>434</v>
      </c>
      <c r="O55" s="181"/>
      <c r="P55" s="181" t="str">
        <f t="shared" ref="P55" si="331">("SN-" &amp; D55)</f>
        <v>SN-107009</v>
      </c>
      <c r="Q55" s="181" t="str">
        <f t="shared" ref="Q55" si="332">("SI-" &amp; D55)</f>
        <v>SI-107009</v>
      </c>
      <c r="R55" s="181" t="str">
        <f t="shared" ref="R55" si="333">("SE-" &amp; D55)</f>
        <v>SE-107009</v>
      </c>
      <c r="S55" s="185" t="str">
        <f t="shared" ref="S55" si="334">("Prev_RA-" &amp; D55)</f>
        <v>Prev_RA-107009</v>
      </c>
      <c r="T55" s="185" t="str">
        <f t="shared" ref="T55" si="335">("Prev_Comms-" &amp; D55)</f>
        <v>Prev_Comms-107009</v>
      </c>
      <c r="U55" s="182" t="s">
        <v>75</v>
      </c>
      <c r="V55" s="182" t="s">
        <v>406</v>
      </c>
      <c r="W55" s="182" t="s">
        <v>75</v>
      </c>
      <c r="X55" s="182" t="s">
        <v>401</v>
      </c>
      <c r="Y55" s="181" t="str">
        <f t="shared" ref="Y55" si="336">("Forward Add-" &amp; D55)</f>
        <v>Forward Add-107009</v>
      </c>
      <c r="Z55" s="182" t="s">
        <v>406</v>
      </c>
      <c r="AA55" s="186" t="str">
        <f>'Run Parameters'!$B$2</f>
        <v>2017-06-26 08:00</v>
      </c>
      <c r="AB55" s="186" t="str">
        <f>'Run Parameters'!B$3</f>
        <v>2017-06-26 18:00</v>
      </c>
      <c r="AC55" s="188">
        <f>('Run Parameters'!$B$2) - 7</f>
        <v>42905.333333333336</v>
      </c>
      <c r="AD55" s="182" t="s">
        <v>75</v>
      </c>
      <c r="AE55" s="183" t="str">
        <f t="shared" ref="AE55" si="337">("LAST_METER-" &amp; D55)</f>
        <v>LAST_METER-107009</v>
      </c>
      <c r="AF55" s="186" t="str">
        <f>'Run Parameters'!$B$2</f>
        <v>2017-06-26 08:00</v>
      </c>
      <c r="AG55" s="181" t="str">
        <f>'Run Parameters'!B$4</f>
        <v xml:space="preserve">AUTOTEST </v>
      </c>
      <c r="AH55" s="185" t="str">
        <f t="shared" ref="AH55" si="338">("Site_Contact_" &amp; D55)</f>
        <v>Site_Contact_107009</v>
      </c>
      <c r="AI55" s="186" t="str">
        <f>'Run Parameters'!B$2</f>
        <v>2017-06-26 08:00</v>
      </c>
      <c r="AJ55" s="238" t="str">
        <f>'Run Parameters'!B$3</f>
        <v>2017-06-26 18:00</v>
      </c>
      <c r="AK55" s="181" t="s">
        <v>401</v>
      </c>
      <c r="AL55" s="185" t="str">
        <f t="shared" ref="AL55" si="339">"01159" &amp; D55</f>
        <v>01159107009</v>
      </c>
      <c r="AM55" s="181" t="str">
        <f t="shared" ref="AM55" si="340">("0115" &amp; D55)</f>
        <v>0115107009</v>
      </c>
      <c r="AN55" s="182"/>
      <c r="AO55" s="182"/>
      <c r="AP55" s="181">
        <v>1</v>
      </c>
      <c r="AQ55" s="189" t="s">
        <v>49</v>
      </c>
      <c r="AR55" s="182"/>
      <c r="AS55" s="181"/>
      <c r="AT55" s="190" t="s">
        <v>856</v>
      </c>
      <c r="AU55" s="190"/>
      <c r="AV55" s="181">
        <f t="shared" ref="AV55" si="341">D55</f>
        <v>107009</v>
      </c>
      <c r="AW55" s="181" t="s">
        <v>857</v>
      </c>
      <c r="AX55" s="181" t="s">
        <v>428</v>
      </c>
      <c r="AY55" s="181" t="s">
        <v>429</v>
      </c>
      <c r="AZ55" s="182" t="s">
        <v>337</v>
      </c>
      <c r="BA55" s="182" t="s">
        <v>155</v>
      </c>
      <c r="BB55" s="181">
        <v>1</v>
      </c>
      <c r="BC55" s="183">
        <f t="shared" ref="BC55" si="342">D55</f>
        <v>107009</v>
      </c>
      <c r="BD55" s="191" t="s">
        <v>858</v>
      </c>
      <c r="BE55" s="182" t="s">
        <v>395</v>
      </c>
      <c r="BF55" s="182" t="s">
        <v>395</v>
      </c>
      <c r="BG55" s="181" t="s">
        <v>855</v>
      </c>
      <c r="BH55" s="183" t="str">
        <f t="shared" ref="BH55" si="343">BC55&amp;"_"&amp;BB55</f>
        <v>107009_1</v>
      </c>
      <c r="BI55" s="181"/>
      <c r="BJ55" s="181" t="str">
        <f t="shared" ref="BJ55" si="344">"10000000" &amp; D55</f>
        <v>10000000107009</v>
      </c>
      <c r="BK55" s="182" t="s">
        <v>51</v>
      </c>
      <c r="BL55" s="182" t="s">
        <v>411</v>
      </c>
      <c r="BM55" s="181" t="s">
        <v>417</v>
      </c>
      <c r="BN55" s="182"/>
      <c r="BO55" s="183" t="str">
        <f t="shared" ref="BO55" si="345">"S05S" &amp; D55</f>
        <v>S05S107009</v>
      </c>
      <c r="BP55" s="182" t="s">
        <v>415</v>
      </c>
      <c r="BQ55" s="182" t="s">
        <v>415</v>
      </c>
      <c r="BR55" s="181" t="s">
        <v>160</v>
      </c>
      <c r="BS55" s="182" t="s">
        <v>50</v>
      </c>
      <c r="BT55" s="190" t="s">
        <v>158</v>
      </c>
      <c r="BU55" s="182" t="s">
        <v>859</v>
      </c>
      <c r="BV55" s="182" t="s">
        <v>51</v>
      </c>
      <c r="BW55" s="182" t="s">
        <v>155</v>
      </c>
      <c r="BX55" s="182"/>
      <c r="BY55" s="182"/>
      <c r="BZ55" s="182" t="s">
        <v>158</v>
      </c>
      <c r="CA55" s="182" t="s">
        <v>270</v>
      </c>
      <c r="CB55" s="190" t="s">
        <v>418</v>
      </c>
      <c r="CC55" s="190" t="s">
        <v>794</v>
      </c>
      <c r="CD55" s="190" t="s">
        <v>396</v>
      </c>
      <c r="CE55" s="190" t="s">
        <v>401</v>
      </c>
      <c r="CF55" s="190" t="s">
        <v>403</v>
      </c>
      <c r="CG55" s="191" t="s">
        <v>860</v>
      </c>
      <c r="CH55" s="190" t="s">
        <v>160</v>
      </c>
      <c r="CI55" s="183">
        <v>1</v>
      </c>
      <c r="CJ55" s="183" t="str">
        <f t="shared" ref="CJ55" si="346">("GAS_ENQ_NO-" &amp; D55)</f>
        <v>GAS_ENQ_NO-107009</v>
      </c>
      <c r="CK55" s="190" t="s">
        <v>166</v>
      </c>
      <c r="CL55" s="190" t="s">
        <v>395</v>
      </c>
      <c r="CM55" s="190" t="s">
        <v>395</v>
      </c>
      <c r="CN55" s="183" t="s">
        <v>861</v>
      </c>
      <c r="CO55" s="183" t="str">
        <f t="shared" ref="CO55" si="347">("GAS_JOB_ID-" &amp; D55)</f>
        <v>GAS_JOB_ID-107009</v>
      </c>
      <c r="CP55" s="190"/>
      <c r="CQ55" s="183" t="str">
        <f t="shared" ref="CQ55" si="348">"10000" &amp; D55</f>
        <v>10000107009</v>
      </c>
      <c r="CR55" s="183" t="s">
        <v>155</v>
      </c>
      <c r="CS55" s="190" t="s">
        <v>51</v>
      </c>
      <c r="CT55" s="192" t="str">
        <f t="shared" ref="CT55" si="349">"GMETER" &amp; D55</f>
        <v>GMETER107009</v>
      </c>
      <c r="CU55" s="183" t="s">
        <v>162</v>
      </c>
      <c r="CV55" s="190" t="s">
        <v>166</v>
      </c>
      <c r="CW55" s="190" t="s">
        <v>795</v>
      </c>
      <c r="CX55" s="190"/>
      <c r="CY55" s="190"/>
      <c r="CZ55" s="190" t="s">
        <v>399</v>
      </c>
      <c r="DA55" s="190" t="s">
        <v>400</v>
      </c>
      <c r="DB55" s="183" t="str">
        <f t="shared" ref="DB55" si="350">("GAS_INST_ID-" &amp; $D55)</f>
        <v>GAS_INST_ID-107009</v>
      </c>
      <c r="DC55" s="190" t="s">
        <v>162</v>
      </c>
      <c r="DD55" s="190"/>
      <c r="DE55" s="190" t="s">
        <v>51</v>
      </c>
      <c r="DF55" s="190" t="s">
        <v>265</v>
      </c>
      <c r="DG55" s="190"/>
      <c r="DH55" s="190" t="s">
        <v>402</v>
      </c>
      <c r="DI55" s="190" t="s">
        <v>404</v>
      </c>
      <c r="DJ55" s="193" t="s">
        <v>860</v>
      </c>
      <c r="DK55" s="190" t="s">
        <v>141</v>
      </c>
      <c r="DL55" s="182"/>
      <c r="DM55" s="182"/>
      <c r="DN55" s="183" t="str">
        <f t="shared" ref="DN55" si="351">("DS_Pass-" &amp; $D55)</f>
        <v>DS_Pass-107009</v>
      </c>
      <c r="DO55" s="182"/>
      <c r="DP55" s="182"/>
      <c r="DQ55" s="182"/>
      <c r="DR55" s="181"/>
      <c r="DS55" s="181"/>
      <c r="DT55" s="182"/>
      <c r="DU55" s="182"/>
      <c r="DV55" s="182"/>
      <c r="DW55" s="181"/>
      <c r="DX55" s="182"/>
      <c r="DY55" s="182"/>
      <c r="DZ55" s="182" t="s">
        <v>415</v>
      </c>
      <c r="EA55" s="185"/>
      <c r="EB55" s="182"/>
      <c r="EC55" s="182"/>
      <c r="ED55" s="191"/>
      <c r="EE55" s="194"/>
    </row>
    <row r="56" spans="1:136" s="132" customFormat="1" ht="13.8" thickBot="1">
      <c r="A56" s="124"/>
      <c r="B56" s="124"/>
      <c r="C56" s="124"/>
      <c r="D56" s="235">
        <f>'Run Parameters'!$B$1 + ROW()-1</f>
        <v>107010</v>
      </c>
      <c r="E56" s="42" t="s">
        <v>47</v>
      </c>
      <c r="F56" s="40" t="s">
        <v>335</v>
      </c>
      <c r="G56" s="43" t="str">
        <f t="shared" ref="G56" si="352">("Access Dtls-" &amp; D56)</f>
        <v>Access Dtls-107010</v>
      </c>
      <c r="H56" s="42" t="s">
        <v>336</v>
      </c>
      <c r="I56" s="43" t="str">
        <f>("MR. Test_"&amp; AV56 &amp;"_EXCH5")</f>
        <v>MR. Test_107010_EXCH5</v>
      </c>
      <c r="J56" s="43"/>
      <c r="K56" s="124" t="s">
        <v>434</v>
      </c>
      <c r="L56" s="43" t="str">
        <f t="shared" ref="L56" si="353">("Cust. Ref-" &amp; D56)</f>
        <v>Cust. Ref-107010</v>
      </c>
      <c r="M56" s="42" t="s">
        <v>48</v>
      </c>
      <c r="N56" s="42" t="s">
        <v>434</v>
      </c>
      <c r="O56" s="43"/>
      <c r="P56" s="43" t="str">
        <f t="shared" ref="P56" si="354">("SN-" &amp; D56)</f>
        <v>SN-107010</v>
      </c>
      <c r="Q56" s="43" t="str">
        <f t="shared" ref="Q56" si="355">("SI-" &amp; D56)</f>
        <v>SI-107010</v>
      </c>
      <c r="R56" s="43" t="str">
        <f t="shared" ref="R56" si="356">("SE-" &amp; D56)</f>
        <v>SE-107010</v>
      </c>
      <c r="S56" s="41" t="str">
        <f t="shared" ref="S56" si="357">("Prev_RA-" &amp; D56)</f>
        <v>Prev_RA-107010</v>
      </c>
      <c r="T56" s="41" t="str">
        <f t="shared" ref="T56" si="358">("Prev_Comms-" &amp; D56)</f>
        <v>Prev_Comms-107010</v>
      </c>
      <c r="U56" s="42" t="s">
        <v>75</v>
      </c>
      <c r="V56" s="42" t="s">
        <v>406</v>
      </c>
      <c r="W56" s="42" t="s">
        <v>75</v>
      </c>
      <c r="X56" s="42" t="s">
        <v>401</v>
      </c>
      <c r="Y56" s="43" t="str">
        <f t="shared" ref="Y56" si="359">("Forward Add-" &amp; D56)</f>
        <v>Forward Add-107010</v>
      </c>
      <c r="Z56" s="42" t="s">
        <v>406</v>
      </c>
      <c r="AA56" s="125" t="str">
        <f>'Run Parameters'!$B$2</f>
        <v>2017-06-26 08:00</v>
      </c>
      <c r="AB56" s="125" t="str">
        <f>'Run Parameters'!B$3</f>
        <v>2017-06-26 18:00</v>
      </c>
      <c r="AC56" s="126">
        <f>('Run Parameters'!$B$2) - 7</f>
        <v>42905.333333333336</v>
      </c>
      <c r="AD56" s="42" t="s">
        <v>75</v>
      </c>
      <c r="AE56" s="40" t="str">
        <f t="shared" ref="AE56" si="360">("LAST_METER-" &amp; D56)</f>
        <v>LAST_METER-107010</v>
      </c>
      <c r="AF56" s="125" t="str">
        <f>'Run Parameters'!$B$2</f>
        <v>2017-06-26 08:00</v>
      </c>
      <c r="AG56" s="14" t="str">
        <f>'Run Parameters'!B$4</f>
        <v xml:space="preserve">AUTOTEST </v>
      </c>
      <c r="AH56" s="41" t="str">
        <f t="shared" ref="AH56" si="361">("Site_Contact_" &amp; D56)</f>
        <v>Site_Contact_107010</v>
      </c>
      <c r="AI56" s="125" t="str">
        <f>'Run Parameters'!B$2</f>
        <v>2017-06-26 08:00</v>
      </c>
      <c r="AJ56" s="238" t="str">
        <f>'Run Parameters'!B$3</f>
        <v>2017-06-26 18:00</v>
      </c>
      <c r="AK56" s="43" t="s">
        <v>401</v>
      </c>
      <c r="AL56" s="41" t="str">
        <f t="shared" ref="AL56" si="362">"01159" &amp; D56</f>
        <v>01159107010</v>
      </c>
      <c r="AM56" s="43" t="str">
        <f t="shared" ref="AM56" si="363">("0115" &amp; D56)</f>
        <v>0115107010</v>
      </c>
      <c r="AN56" s="42"/>
      <c r="AO56" s="42"/>
      <c r="AP56" s="43">
        <v>1</v>
      </c>
      <c r="AQ56" s="127" t="s">
        <v>49</v>
      </c>
      <c r="AR56" s="42"/>
      <c r="AS56" s="43"/>
      <c r="AT56" s="42"/>
      <c r="AU56" s="42"/>
      <c r="AV56" s="43">
        <f t="shared" ref="AV56" si="364">D56</f>
        <v>107010</v>
      </c>
      <c r="AW56" s="43" t="s">
        <v>430</v>
      </c>
      <c r="AX56" s="43" t="s">
        <v>428</v>
      </c>
      <c r="AY56" s="43" t="s">
        <v>429</v>
      </c>
      <c r="AZ56" s="42" t="s">
        <v>337</v>
      </c>
      <c r="BA56" s="42" t="s">
        <v>155</v>
      </c>
      <c r="BB56" s="43">
        <v>1</v>
      </c>
      <c r="BC56" s="40" t="str">
        <f t="shared" ref="BC56" si="365">("E_ENQ_NO-" &amp; D56)</f>
        <v>E_ENQ_NO-107010</v>
      </c>
      <c r="BD56" s="39" t="s">
        <v>729</v>
      </c>
      <c r="BE56" s="42" t="s">
        <v>395</v>
      </c>
      <c r="BF56" s="42" t="s">
        <v>395</v>
      </c>
      <c r="BG56" s="43" t="s">
        <v>335</v>
      </c>
      <c r="BH56" s="40" t="str">
        <f t="shared" ref="BH56" si="366">("ELEC_JOB_ID-" &amp; D56)</f>
        <v>ELEC_JOB_ID-107010</v>
      </c>
      <c r="BI56" s="43"/>
      <c r="BJ56" s="43" t="str">
        <f t="shared" ref="BJ56" si="367">"10000000" &amp; D56</f>
        <v>10000000107010</v>
      </c>
      <c r="BK56" s="42" t="s">
        <v>51</v>
      </c>
      <c r="BL56" s="42" t="s">
        <v>411</v>
      </c>
      <c r="BM56" s="43" t="s">
        <v>412</v>
      </c>
      <c r="BN56" s="42" t="s">
        <v>51</v>
      </c>
      <c r="BO56" s="40" t="str">
        <f t="shared" ref="BO56" si="368">"S05S" &amp; D56</f>
        <v>S05S107010</v>
      </c>
      <c r="BP56" s="42" t="s">
        <v>413</v>
      </c>
      <c r="BQ56" s="42" t="s">
        <v>413</v>
      </c>
      <c r="BR56" s="43" t="s">
        <v>159</v>
      </c>
      <c r="BS56" s="42" t="s">
        <v>167</v>
      </c>
      <c r="BT56" s="39" t="s">
        <v>163</v>
      </c>
      <c r="BU56" s="42" t="s">
        <v>414</v>
      </c>
      <c r="BV56" s="42" t="s">
        <v>65</v>
      </c>
      <c r="BW56" s="42" t="s">
        <v>155</v>
      </c>
      <c r="BX56" s="42"/>
      <c r="BY56" s="42"/>
      <c r="BZ56" s="42" t="s">
        <v>158</v>
      </c>
      <c r="CA56" s="42">
        <v>151</v>
      </c>
      <c r="CB56" s="39" t="s">
        <v>422</v>
      </c>
      <c r="CC56" s="39" t="s">
        <v>421</v>
      </c>
      <c r="CD56" s="42" t="s">
        <v>396</v>
      </c>
      <c r="CE56" s="42" t="s">
        <v>401</v>
      </c>
      <c r="CF56" s="42" t="s">
        <v>403</v>
      </c>
      <c r="CG56" s="42" t="s">
        <v>728</v>
      </c>
      <c r="CH56" s="42" t="s">
        <v>160</v>
      </c>
      <c r="CI56" s="44"/>
      <c r="CJ56" s="44"/>
      <c r="CK56" s="44"/>
      <c r="CL56" s="44"/>
      <c r="CM56" s="44"/>
      <c r="CN56" s="128"/>
      <c r="CO56" s="44"/>
      <c r="CP56" s="44"/>
      <c r="CQ56" s="128" t="s">
        <v>77</v>
      </c>
      <c r="CR56" s="44"/>
      <c r="CS56" s="44"/>
      <c r="CT56" s="44"/>
      <c r="CU56" s="44"/>
      <c r="CV56" s="44"/>
      <c r="CW56" s="44"/>
      <c r="CX56" s="44"/>
      <c r="CY56" s="44"/>
      <c r="CZ56" s="44"/>
      <c r="DA56" s="44"/>
      <c r="DB56" s="44"/>
      <c r="DC56" s="44"/>
      <c r="DD56" s="129"/>
      <c r="DE56" s="44"/>
      <c r="DF56" s="44"/>
      <c r="DG56" s="44"/>
      <c r="DH56" s="44"/>
      <c r="DI56" s="44"/>
      <c r="DJ56" s="130"/>
      <c r="DK56" s="44"/>
      <c r="DL56" s="44"/>
      <c r="DM56" s="44"/>
      <c r="DN56" s="44"/>
      <c r="DO56" s="44"/>
      <c r="DP56" s="44"/>
      <c r="DQ56" s="44"/>
      <c r="DR56" s="44"/>
      <c r="DS56" s="44"/>
      <c r="DT56" s="44"/>
      <c r="DU56" s="44"/>
      <c r="DV56" s="44"/>
      <c r="DW56" s="44"/>
      <c r="DX56" s="44"/>
      <c r="DY56" s="44"/>
      <c r="DZ56" s="44"/>
      <c r="EA56" s="44"/>
      <c r="EB56" s="44"/>
      <c r="EC56" s="44"/>
      <c r="ED56" s="131"/>
      <c r="EE56" s="131"/>
    </row>
    <row r="57" spans="1:136" ht="13.8" thickBot="1">
      <c r="D57" s="5"/>
      <c r="E57" s="4"/>
      <c r="F57" s="5"/>
      <c r="G57" s="5"/>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6"/>
      <c r="CO57" s="4"/>
      <c r="CP57" s="4"/>
      <c r="CQ57" s="4"/>
      <c r="CR57" s="4"/>
      <c r="CS57" s="4"/>
      <c r="CT57" s="4"/>
      <c r="CU57" s="4"/>
      <c r="CV57" s="4"/>
      <c r="CW57" s="4"/>
      <c r="CX57" s="4"/>
      <c r="CY57" s="4"/>
      <c r="CZ57" s="4"/>
      <c r="DA57" s="4"/>
      <c r="DB57" s="4"/>
      <c r="DC57" s="4"/>
      <c r="DD57" s="2"/>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57"/>
    </row>
    <row r="58" spans="1:136">
      <c r="D58" s="5"/>
      <c r="E58" s="4"/>
      <c r="F58" s="45" t="s">
        <v>441</v>
      </c>
      <c r="G58" s="5"/>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6"/>
      <c r="CO58" s="4"/>
      <c r="CP58" s="4"/>
      <c r="CQ58" s="4"/>
      <c r="CR58" s="4"/>
      <c r="CS58" s="4"/>
      <c r="CT58" s="4"/>
      <c r="CU58" s="4"/>
      <c r="CV58" s="4"/>
      <c r="CW58" s="4"/>
      <c r="CX58" s="4"/>
      <c r="CY58" s="4"/>
      <c r="CZ58" s="4"/>
      <c r="DA58" s="4"/>
      <c r="DB58" s="4"/>
      <c r="DC58" s="4"/>
      <c r="DD58" s="2"/>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57"/>
    </row>
    <row r="59" spans="1:136">
      <c r="D59" s="5"/>
      <c r="E59" s="4"/>
      <c r="F59" s="23" t="s">
        <v>438</v>
      </c>
      <c r="G59" s="5"/>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6"/>
      <c r="CO59" s="4"/>
      <c r="CP59" s="4"/>
      <c r="CQ59" s="4"/>
      <c r="CR59" s="4"/>
      <c r="CS59" s="4"/>
      <c r="CT59" s="4"/>
      <c r="CU59" s="4"/>
      <c r="CV59" s="4"/>
      <c r="CW59" s="4"/>
      <c r="CX59" s="4"/>
      <c r="CY59" s="4"/>
      <c r="CZ59" s="4"/>
      <c r="DA59" s="4"/>
      <c r="DB59" s="4"/>
      <c r="DC59" s="4"/>
      <c r="DD59" s="2"/>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57"/>
    </row>
    <row r="60" spans="1:136">
      <c r="D60" s="5"/>
      <c r="E60" s="4"/>
      <c r="F60" s="24" t="s">
        <v>440</v>
      </c>
      <c r="G60" s="5"/>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6"/>
      <c r="CO60" s="4"/>
      <c r="CP60" s="4"/>
      <c r="CQ60" s="4"/>
      <c r="CR60" s="4"/>
      <c r="CS60" s="4"/>
      <c r="CT60" s="4"/>
      <c r="CU60" s="4"/>
      <c r="CV60" s="4"/>
      <c r="CW60" s="4"/>
      <c r="CX60" s="4"/>
      <c r="CY60" s="4"/>
      <c r="CZ60" s="4"/>
      <c r="DA60" s="4"/>
      <c r="DB60" s="4"/>
      <c r="DC60" s="4"/>
      <c r="DD60" s="2"/>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57"/>
    </row>
    <row r="61" spans="1:136">
      <c r="D61" s="5"/>
      <c r="E61" s="4"/>
      <c r="F61" s="30" t="s">
        <v>439</v>
      </c>
      <c r="G61" s="5"/>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6"/>
      <c r="CO61" s="4"/>
      <c r="CP61" s="4"/>
      <c r="CQ61" s="4"/>
      <c r="CR61" s="4"/>
      <c r="CS61" s="4"/>
      <c r="CT61" s="4"/>
      <c r="CU61" s="4"/>
      <c r="CV61" s="4"/>
      <c r="CW61" s="4"/>
      <c r="CX61" s="4"/>
      <c r="CY61" s="4"/>
      <c r="CZ61" s="4"/>
      <c r="DA61" s="4"/>
      <c r="DB61" s="4"/>
      <c r="DC61" s="4"/>
      <c r="DD61" s="2"/>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57"/>
    </row>
    <row r="62" spans="1:136" ht="13.8" thickBot="1">
      <c r="D62" s="5"/>
      <c r="E62" s="4"/>
      <c r="F62" s="31" t="s">
        <v>444</v>
      </c>
      <c r="G62" s="5"/>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6"/>
      <c r="CO62" s="4"/>
      <c r="CP62" s="4"/>
      <c r="CQ62" s="4"/>
      <c r="CR62" s="4"/>
      <c r="CS62" s="4"/>
      <c r="CT62" s="4"/>
      <c r="CU62" s="4"/>
      <c r="CV62" s="4"/>
      <c r="CW62" s="4"/>
      <c r="CX62" s="4"/>
      <c r="CY62" s="4"/>
      <c r="CZ62" s="4"/>
      <c r="DA62" s="4"/>
      <c r="DB62" s="4"/>
      <c r="DC62" s="4"/>
      <c r="DD62" s="2"/>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57"/>
    </row>
    <row r="63" spans="1:136">
      <c r="D63" s="5"/>
      <c r="E63" s="4"/>
      <c r="F63" s="2"/>
      <c r="G63" s="5"/>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2"/>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57"/>
    </row>
    <row r="64" spans="1:136">
      <c r="D64" s="5"/>
      <c r="E64" s="4"/>
      <c r="F64" s="4"/>
      <c r="G64" s="5"/>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2"/>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57"/>
    </row>
    <row r="65" spans="4:136">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row>
    <row r="66" spans="4:136">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row>
    <row r="67" spans="4:136">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row>
    <row r="68" spans="4:136">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106956</v>
      </c>
      <c r="O5" s="50" t="str">
        <f ca="1">(INDIRECT("'Data'!AW"&amp;($C$1)))</f>
        <v>EXCH14 ROAD</v>
      </c>
      <c r="P5" s="51" t="str">
        <f ca="1">CONCATENATE(RIGHT((INDIRECT("'Data'!X"&amp;($C$1))),5),"-",RIGHT(R7&amp;(INDIRECT("'Data'!Y"&amp;($C$1))),5))</f>
        <v>FRST-06956</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106956</v>
      </c>
      <c r="K7" s="50" t="str">
        <f ca="1">(INDIRECT("'Data'!AW"&amp;($C$1)))</f>
        <v>EXCH14 ROAD</v>
      </c>
      <c r="L7" s="50" t="str">
        <f ca="1">(INDIRECT("'Data'!E"&amp;($C$1)))</f>
        <v>S</v>
      </c>
      <c r="M7" s="50" t="str">
        <f ca="1">(INDIRECT("'Data'!AI"&amp;($C$1)))</f>
        <v>2017-06-26 08:00</v>
      </c>
      <c r="N7" s="51" t="str">
        <f ca="1">(INDIRECT("'Data'!BG"&amp;($C$1)))</f>
        <v>1U Exchange Meter like for like</v>
      </c>
      <c r="O7" s="51" t="str">
        <f ca="1">(INDIRECT("'Data'!AH"&amp;($C$1)))</f>
        <v>Site_Contact_106956</v>
      </c>
      <c r="P7" s="52" t="str">
        <f ca="1">(INDIRECT("'Data'!AE"&amp;($C$1)))</f>
        <v>LAST_METER-106956</v>
      </c>
      <c r="Q7" s="52">
        <f ca="1">(INDIRECT("'Data'!DK"&amp;($C$1)))</f>
        <v>0</v>
      </c>
      <c r="R7" s="52">
        <f ca="1">(INDIRECT("'Data'!D"&amp;($C$1)))</f>
        <v>106956</v>
      </c>
      <c r="S7" s="52" t="str">
        <f ca="1">INDIRECT("'Data'!M"&amp;($C$1))</f>
        <v>Q</v>
      </c>
      <c r="T7" s="52" t="str">
        <f ca="1">INDIRECT("'Data'!AM"&amp;($C$1))</f>
        <v>0115106956</v>
      </c>
      <c r="U7" s="52" t="str">
        <f ca="1">(INDIRECT("'Data'!N"&amp;($C$1)))</f>
        <v>UK_1_F</v>
      </c>
      <c r="V7" s="52">
        <f ca="1">(INDIRECT("'Data'!O"&amp;($C$1)))</f>
        <v>0</v>
      </c>
      <c r="W7" s="52" t="str">
        <f ca="1">(INDIRECT("'Data'!P"&amp;($C$1)))</f>
        <v>SN-106956</v>
      </c>
      <c r="X7" s="52">
        <f ca="1">(INDIRECT("'Data'!C"&amp;($C$1)))</f>
        <v>0</v>
      </c>
      <c r="Y7" s="52" t="str">
        <f ca="1">(INDIRECT("'Data'!Q"&amp;($C$1)))</f>
        <v>SI-106956</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10000000106956</v>
      </c>
      <c r="J9" s="51">
        <f ca="1">(INDIRECT("'Data'!BX"&amp;($C$1)))</f>
        <v>0</v>
      </c>
      <c r="K9" s="51" t="str">
        <f ca="1">(INDIRECT("'Data'!BO"&amp;($C$1)))</f>
        <v>S05S106956</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Site_Contact_106956</v>
      </c>
      <c r="J11" s="51" t="str">
        <f ca="1">(INDIRECT("'Data'!BA"&amp;($C$1)))</f>
        <v>C</v>
      </c>
      <c r="K11" s="51" t="str">
        <f ca="1">(INDIRECT("'Data'!BD"&amp;($C$1)))</f>
        <v>E7FRST</v>
      </c>
      <c r="L11" s="51" t="str">
        <f ca="1">(INDIRECT("'Data'!BO"&amp;($C$1)))</f>
        <v>S05S106956</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Site_Contact_106956</v>
      </c>
      <c r="I13" s="51" t="str">
        <f ca="1">(INDIRECT("'Data'!F"&amp;($C$1)))</f>
        <v>1U Exchange Meter like for like</v>
      </c>
      <c r="J13" s="50">
        <f ca="1">(INDIRECT("'Data'!AS"&amp;($C$1)))</f>
        <v>0</v>
      </c>
      <c r="K13" s="50">
        <f ca="1">(INDIRECT("'Data'!AT"&amp;($C$1)))</f>
        <v>0</v>
      </c>
      <c r="L13" s="50">
        <f ca="1">(INDIRECT("'Data'!AU"&amp;($C$1)))</f>
        <v>0</v>
      </c>
      <c r="M13" s="50">
        <f ca="1">(INDIRECT("'Data'!AV"&amp;($C$1)))</f>
        <v>106956</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S05S106956</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0</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106957</v>
      </c>
      <c r="O5" s="50" t="str">
        <f ca="1">(INDIRECT("'Data'!AW"&amp;($C$1)))</f>
        <v>NMEX5 ROAD</v>
      </c>
      <c r="P5" s="51" t="str">
        <f ca="1">CONCATENATE(RIGHT((INDIRECT("'Data'!X"&amp;($C$1))),5),"-",RIGHT(R7&amp;(INDIRECT("'Data'!Y"&amp;($C$1))),5))</f>
        <v>FRST-06957</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106957</v>
      </c>
      <c r="K7" s="50" t="str">
        <f ca="1">(INDIRECT("'Data'!AW"&amp;($C$1)))</f>
        <v>NMEX5 ROAD</v>
      </c>
      <c r="L7" s="50" t="str">
        <f ca="1">(INDIRECT("'Data'!E"&amp;($C$1)))</f>
        <v>S</v>
      </c>
      <c r="M7" s="50" t="str">
        <f ca="1">(INDIRECT("'Data'!AI"&amp;($C$1)))</f>
        <v>2017-06-26 08:00</v>
      </c>
      <c r="N7" s="51" t="str">
        <f ca="1">(INDIRECT("'Data'!BG"&amp;($C$1)))</f>
        <v>1U Elec Meter Read</v>
      </c>
      <c r="O7" s="51" t="str">
        <f ca="1">(INDIRECT("'Data'!AH"&amp;($C$1)))</f>
        <v>Site_Contact_106957</v>
      </c>
      <c r="P7" s="52" t="str">
        <f ca="1">(INDIRECT("'Data'!AE"&amp;($C$1)))</f>
        <v>LAST_METER-106957</v>
      </c>
      <c r="Q7" s="52">
        <f ca="1">(INDIRECT("'Data'!DK"&amp;($C$1)))</f>
        <v>0</v>
      </c>
      <c r="R7" s="52">
        <f ca="1">(INDIRECT("'Data'!D"&amp;($C$1)))</f>
        <v>106957</v>
      </c>
      <c r="S7" s="52" t="str">
        <f ca="1">INDIRECT("'Data'!M"&amp;($C$1))</f>
        <v>Q</v>
      </c>
      <c r="T7" s="52" t="str">
        <f ca="1">INDIRECT("'Data'!AM"&amp;($C$1))</f>
        <v>0115106957</v>
      </c>
      <c r="U7" s="52" t="str">
        <f ca="1">(INDIRECT("'Data'!N"&amp;($C$1)))</f>
        <v>UK_1_F</v>
      </c>
      <c r="V7" s="52">
        <f ca="1">(INDIRECT("'Data'!O"&amp;($C$1)))</f>
        <v>0</v>
      </c>
      <c r="W7" s="52" t="str">
        <f ca="1">(INDIRECT("'Data'!P"&amp;($C$1)))</f>
        <v>SN-106957</v>
      </c>
      <c r="X7" s="52">
        <f ca="1">(INDIRECT("'Data'!C"&amp;($C$1)))</f>
        <v>0</v>
      </c>
      <c r="Y7" s="52" t="str">
        <f ca="1">(INDIRECT("'Data'!Q"&amp;($C$1)))</f>
        <v>SI-106957</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10000000106957</v>
      </c>
      <c r="J9" s="51">
        <f ca="1">(INDIRECT("'Data'!BX"&amp;($C$1)))</f>
        <v>0</v>
      </c>
      <c r="K9" s="51" t="str">
        <f ca="1">(INDIRECT("'Data'!BO"&amp;($C$1)))</f>
        <v>S05S106957</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Site_Contact_106957</v>
      </c>
      <c r="J11" s="51" t="str">
        <f ca="1">(INDIRECT("'Data'!BA"&amp;($C$1)))</f>
        <v>C</v>
      </c>
      <c r="K11" s="51" t="str">
        <f ca="1">(INDIRECT("'Data'!BD"&amp;($C$1)))</f>
        <v>E59FST</v>
      </c>
      <c r="L11" s="51" t="str">
        <f ca="1">(INDIRECT("'Data'!BO"&amp;($C$1)))</f>
        <v>S05S106957</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Site_Contact_106957</v>
      </c>
      <c r="I13" s="51" t="str">
        <f ca="1">(INDIRECT("'Data'!F"&amp;($C$1)))</f>
        <v>1U Elec Meter Read</v>
      </c>
      <c r="J13" s="50">
        <f ca="1">(INDIRECT("'Data'!AS"&amp;($C$1)))</f>
        <v>0</v>
      </c>
      <c r="K13" s="50">
        <f ca="1">(INDIRECT("'Data'!AT"&amp;($C$1)))</f>
        <v>0</v>
      </c>
      <c r="L13" s="50">
        <f ca="1">(INDIRECT("'Data'!AU"&amp;($C$1)))</f>
        <v>0</v>
      </c>
      <c r="M13" s="50">
        <f ca="1">(INDIRECT("'Data'!AV"&amp;($C$1)))</f>
        <v>106957</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S05S106957</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Check/chg faulty EDMI</v>
      </c>
      <c r="I5" s="50" t="str">
        <f ca="1">(INDIRECT("'Data'!E"&amp;($C$1)))</f>
        <v>S</v>
      </c>
      <c r="J5" s="50">
        <f ca="1">(INDIRECT("'Data'!AS"&amp;($C$1)))</f>
        <v>0</v>
      </c>
      <c r="K5" s="50">
        <f ca="1">(INDIRECT("'Data'!AT"&amp;($C$1)))</f>
        <v>0</v>
      </c>
      <c r="L5" s="50">
        <f ca="1">(INDIRECT("'Data'!AU"&amp;($C$1)))</f>
        <v>0</v>
      </c>
      <c r="M5" s="50">
        <f ca="1">(INDIRECT("'Data'!AV"&amp;($C$1)))</f>
        <v>106958</v>
      </c>
      <c r="N5" s="50" t="str">
        <f ca="1">(INDIRECT("'Data'!AW"&amp;($C$1)))</f>
        <v>FLTY5 ROAD</v>
      </c>
      <c r="O5" s="51" t="str">
        <f ca="1">CONCATENATE(RIGHT((INDIRECT("'Data'!X"&amp;($C$1))),5),"-",RIGHT(R7&amp;(INDIRECT("'Data'!Y"&amp;($C$1))),5))</f>
        <v>FRST-06958</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Check/chg faulty EDMI</v>
      </c>
      <c r="G7" s="50">
        <f ca="1">(INDIRECT("'Data'!AS"&amp;($C$1)))</f>
        <v>0</v>
      </c>
      <c r="H7" s="50">
        <f ca="1">(INDIRECT("'Data'!AT"&amp;($C$1)))</f>
        <v>0</v>
      </c>
      <c r="I7" s="50">
        <f ca="1">(INDIRECT("'Data'!AU"&amp;($C$1)))</f>
        <v>0</v>
      </c>
      <c r="J7" s="50">
        <f ca="1">(INDIRECT("'Data'!AV"&amp;($C$1)))</f>
        <v>106958</v>
      </c>
      <c r="K7" s="50" t="str">
        <f ca="1">(INDIRECT("'Data'!AW"&amp;($C$1)))</f>
        <v>FLTY5 ROAD</v>
      </c>
      <c r="L7" s="50" t="str">
        <f ca="1">(INDIRECT("'Data'!E"&amp;($C$1)))</f>
        <v>S</v>
      </c>
      <c r="M7" s="50" t="str">
        <f ca="1">(INDIRECT("'Data'!AI"&amp;($C$1)))</f>
        <v>2017-06-26 08:00</v>
      </c>
      <c r="N7" s="51" t="str">
        <f ca="1">(INDIRECT("'Data'!BG"&amp;($C$1)))</f>
        <v>1U  Check/chg faulty EDMI</v>
      </c>
      <c r="O7" s="51" t="str">
        <f ca="1">(INDIRECT("'Data'!AH"&amp;($C$1)))</f>
        <v>Site_Contact_106958</v>
      </c>
      <c r="P7" s="52" t="str">
        <f ca="1">(INDIRECT("'Data'!AE"&amp;($C$1)))</f>
        <v>LAST_METER-106958</v>
      </c>
      <c r="Q7" s="52">
        <f ca="1">(INDIRECT("'Data'!DK"&amp;($C$1)))</f>
        <v>0</v>
      </c>
      <c r="R7" s="52">
        <f ca="1">(INDIRECT("'Data'!D"&amp;($C$1)))</f>
        <v>106958</v>
      </c>
      <c r="S7" s="52" t="str">
        <f ca="1">INDIRECT("'Data'!M"&amp;($C$1))</f>
        <v>Q</v>
      </c>
      <c r="T7" s="52" t="str">
        <f ca="1">INDIRECT("'Data'!AM"&amp;($C$1))</f>
        <v>0115106958</v>
      </c>
      <c r="U7" s="52" t="str">
        <f ca="1">(INDIRECT("'Data'!N"&amp;($C$1)))</f>
        <v>UK_1_F</v>
      </c>
      <c r="V7" s="52">
        <f ca="1">(INDIRECT("'Data'!O"&amp;($C$1)))</f>
        <v>0</v>
      </c>
      <c r="W7" s="52" t="str">
        <f ca="1">(INDIRECT("'Data'!P"&amp;($C$1)))</f>
        <v>SN-106958</v>
      </c>
      <c r="X7" s="52">
        <f ca="1">(INDIRECT("'Data'!C"&amp;($C$1)))</f>
        <v>0</v>
      </c>
      <c r="Y7" s="52" t="str">
        <f ca="1">(INDIRECT("'Data'!Q"&amp;($C$1)))</f>
        <v>SI-106958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Check/chg faulty EDMI</v>
      </c>
      <c r="G9" s="50" t="str">
        <f ca="1">(INDIRECT("'Data'!AW"&amp;($C$1)))</f>
        <v>FLTY5 ROAD</v>
      </c>
      <c r="H9" s="51" t="str">
        <f ca="1">(INDIRECT("'Data'!BL"&amp;($C$1)))</f>
        <v>240</v>
      </c>
      <c r="I9" s="51" t="str">
        <f ca="1">(INDIRECT("'Data'!BJ"&amp;($C$1)))</f>
        <v>10000000106958</v>
      </c>
      <c r="J9" s="51">
        <f ca="1">(INDIRECT("'Data'!BX"&amp;($C$1)))</f>
        <v>0</v>
      </c>
      <c r="K9" s="51" t="str">
        <f ca="1">(INDIRECT("'Data'!BO"&amp;($C$1)))</f>
        <v>S05S106958</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Check/chg faulty EDMI</v>
      </c>
      <c r="G11" s="51" t="str">
        <f ca="1">(INDIRECT("'Data'!F"&amp;($C$1)))</f>
        <v>1U Check/chg faulty EDMI</v>
      </c>
      <c r="H11" s="50" t="str">
        <f ca="1">(INDIRECT("'Data'!AW"&amp;($C$1)))</f>
        <v>FLTY5 ROAD</v>
      </c>
      <c r="I11" s="51" t="str">
        <f ca="1">(INDIRECT("'Data'!AH"&amp;($C$1)))</f>
        <v>Site_Contact_106958</v>
      </c>
      <c r="J11" s="51" t="str">
        <f ca="1">(INDIRECT("'Data'!BA"&amp;($C$1)))</f>
        <v>C</v>
      </c>
      <c r="K11" s="51" t="str">
        <f ca="1">(INDIRECT("'Data'!BD"&amp;($C$1)))</f>
        <v>E36FST</v>
      </c>
      <c r="L11" s="51" t="str">
        <f ca="1">(INDIRECT("'Data'!BO"&amp;($C$1)))</f>
        <v>S05S106958</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Check/chg faulty EDMI</v>
      </c>
      <c r="H13" s="51" t="str">
        <f ca="1">(INDIRECT("'Data'!AH"&amp;($C$1)))</f>
        <v>Site_Contact_106958</v>
      </c>
      <c r="I13" s="51" t="str">
        <f ca="1">(INDIRECT("'Data'!F"&amp;($C$1)))</f>
        <v>1U Check/chg faulty EDMI</v>
      </c>
      <c r="J13" s="50">
        <f ca="1">(INDIRECT("'Data'!AS"&amp;($C$1)))</f>
        <v>0</v>
      </c>
      <c r="K13" s="50">
        <f ca="1">(INDIRECT("'Data'!AT"&amp;($C$1)))</f>
        <v>0</v>
      </c>
      <c r="L13" s="50">
        <f ca="1">(INDIRECT("'Data'!AU"&amp;($C$1)))</f>
        <v>0</v>
      </c>
      <c r="M13" s="50">
        <f ca="1">(INDIRECT("'Data'!AV"&amp;($C$1)))</f>
        <v>106958</v>
      </c>
      <c r="N13" s="50" t="str">
        <f ca="1">(INDIRECT("'Data'!AW"&amp;($C$1)))</f>
        <v>FLTY5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Check/chg faulty EDMI</v>
      </c>
      <c r="H15" s="51" t="str">
        <f ca="1">(INDIRECT("'Data'!F"&amp;($C$1)))</f>
        <v>1U Check/chg faulty EDMI</v>
      </c>
      <c r="I15" s="50" t="str">
        <f ca="1">(INDIRECT("'Data'!AW"&amp;($C$1)))</f>
        <v>FLTY5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UFUN</v>
      </c>
      <c r="O33" s="149">
        <f ca="1">(INDIRECT("'Data'!BX"&amp;($C$1)))</f>
        <v>0</v>
      </c>
      <c r="P33" s="149" t="str">
        <f ca="1">(INDIRECT("'Data'!BO"&amp;($C$1)))</f>
        <v>S05S106958</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Check/chg faulty EDMI</v>
      </c>
      <c r="H61" s="135" t="str">
        <f ca="1">(INDIRECT("'Data'!AW"&amp;($C$1)))</f>
        <v>FLTY5 ROAD</v>
      </c>
      <c r="I61" s="51" t="str">
        <f ca="1">(INDIRECT("'Data'!X"&amp;($C$1)))</f>
        <v>FRST</v>
      </c>
      <c r="J61" s="51" t="str">
        <f ca="1">(INDIRECT("'Data'!BG"&amp;($C$1)))</f>
        <v>1U  Check/chg faulty EDMI</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106959</v>
      </c>
      <c r="N5" s="50" t="str">
        <f ca="1">(INDIRECT("'Data'!AW"&amp;($C$1)))</f>
        <v>EXCH2 ROAD</v>
      </c>
      <c r="O5" s="51" t="str">
        <f ca="1">CONCATENATE(RIGHT((INDIRECT("'Data'!X"&amp;($C$1))),5),"-",RIGHT(R7&amp;(INDIRECT("'Data'!Y"&amp;($C$1))),5))</f>
        <v>FRST-06959</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106959</v>
      </c>
      <c r="K7" s="50" t="str">
        <f ca="1">(INDIRECT("'Data'!AW"&amp;($C$1)))</f>
        <v>EXCH2 ROAD</v>
      </c>
      <c r="L7" s="50" t="str">
        <f ca="1">(INDIRECT("'Data'!E"&amp;($C$1)))</f>
        <v>S</v>
      </c>
      <c r="M7" s="50" t="str">
        <f ca="1">(INDIRECT("'Data'!AI"&amp;($C$1)))</f>
        <v>2017-06-26 08:00</v>
      </c>
      <c r="N7" s="51" t="str">
        <f ca="1">(INDIRECT("'Data'!BG"&amp;($C$1)))</f>
        <v>1U - Change to EDMI MK7b Smart</v>
      </c>
      <c r="O7" s="51" t="str">
        <f ca="1">(INDIRECT("'Data'!AH"&amp;($C$1)))</f>
        <v>Site_Contact_106959</v>
      </c>
      <c r="P7" s="52" t="str">
        <f ca="1">(INDIRECT("'Data'!AE"&amp;($C$1)))</f>
        <v>LAST_METER-106959</v>
      </c>
      <c r="Q7" s="52">
        <f ca="1">(INDIRECT("'Data'!DK"&amp;($C$1)))</f>
        <v>0</v>
      </c>
      <c r="R7" s="52">
        <f ca="1">(INDIRECT("'Data'!D"&amp;($C$1)))</f>
        <v>106959</v>
      </c>
      <c r="S7" s="52" t="str">
        <f ca="1">INDIRECT("'Data'!M"&amp;($C$1))</f>
        <v>Q</v>
      </c>
      <c r="T7" s="52" t="str">
        <f ca="1">INDIRECT("'Data'!AM"&amp;($C$1))</f>
        <v>0115106959</v>
      </c>
      <c r="U7" s="52" t="str">
        <f ca="1">(INDIRECT("'Data'!N"&amp;($C$1)))</f>
        <v>UK_1_F</v>
      </c>
      <c r="V7" s="52">
        <f ca="1">(INDIRECT("'Data'!O"&amp;($C$1)))</f>
        <v>0</v>
      </c>
      <c r="W7" s="52" t="str">
        <f ca="1">(INDIRECT("'Data'!P"&amp;($C$1)))</f>
        <v>SN-106959</v>
      </c>
      <c r="X7" s="52">
        <f ca="1">(INDIRECT("'Data'!C"&amp;($C$1)))</f>
        <v>0</v>
      </c>
      <c r="Y7" s="52" t="str">
        <f ca="1">(INDIRECT("'Data'!Q"&amp;($C$1)))</f>
        <v>SI-106959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10000000106959</v>
      </c>
      <c r="J9" s="51">
        <f ca="1">(INDIRECT("'Data'!BX"&amp;($C$1)))</f>
        <v>0</v>
      </c>
      <c r="K9" s="51" t="str">
        <f ca="1">(INDIRECT("'Data'!BO"&amp;($C$1)))</f>
        <v>S05S106959</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 Change to EDMI MK7b Smart</v>
      </c>
      <c r="G11" s="51" t="str">
        <f ca="1">(INDIRECT("'Data'!F"&amp;($C$1)))</f>
        <v>1U - Change to EDMI MK7b Smart</v>
      </c>
      <c r="H11" s="50" t="str">
        <f ca="1">(INDIRECT("'Data'!AW"&amp;($C$1)))</f>
        <v>EXCH2 ROAD</v>
      </c>
      <c r="I11" s="51" t="str">
        <f ca="1">(INDIRECT("'Data'!AH"&amp;($C$1)))</f>
        <v>Site_Contact_106959</v>
      </c>
      <c r="J11" s="51" t="str">
        <f ca="1">(INDIRECT("'Data'!BA"&amp;($C$1)))</f>
        <v>C</v>
      </c>
      <c r="K11" s="51" t="str">
        <f ca="1">(INDIRECT("'Data'!BD"&amp;($C$1)))</f>
        <v>E24FST</v>
      </c>
      <c r="L11" s="51" t="str">
        <f ca="1">(INDIRECT("'Data'!BO"&amp;($C$1)))</f>
        <v>S05S106959</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 Change to EDMI MK7b Smart</v>
      </c>
      <c r="H13" s="51" t="str">
        <f ca="1">(INDIRECT("'Data'!AH"&amp;($C$1)))</f>
        <v>Site_Contact_106959</v>
      </c>
      <c r="I13" s="51" t="str">
        <f ca="1">(INDIRECT("'Data'!F"&amp;($C$1)))</f>
        <v>1U - Change to EDMI MK7b Smart</v>
      </c>
      <c r="J13" s="50">
        <f ca="1">(INDIRECT("'Data'!AS"&amp;($C$1)))</f>
        <v>0</v>
      </c>
      <c r="K13" s="50">
        <f ca="1">(INDIRECT("'Data'!AT"&amp;($C$1)))</f>
        <v>0</v>
      </c>
      <c r="L13" s="50">
        <f ca="1">(INDIRECT("'Data'!AU"&amp;($C$1)))</f>
        <v>0</v>
      </c>
      <c r="M13" s="50">
        <f ca="1">(INDIRECT("'Data'!AV"&amp;($C$1)))</f>
        <v>106959</v>
      </c>
      <c r="N13" s="50" t="str">
        <f ca="1">(INDIRECT("'Data'!AW"&amp;($C$1)))</f>
        <v>EXCH2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 Change to EDMI MK7b Smart</v>
      </c>
      <c r="H15" s="51" t="str">
        <f ca="1">(INDIRECT("'Data'!F"&amp;($C$1)))</f>
        <v>1U - Change to EDMI MK7b Smart</v>
      </c>
      <c r="I15" s="50" t="str">
        <f ca="1">(INDIRECT("'Data'!AW"&amp;($C$1)))</f>
        <v>EXCH2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 Change to EDMI MK7b Smart</v>
      </c>
      <c r="H61" s="135" t="str">
        <f ca="1">(INDIRECT("'Data'!AW"&amp;($C$1)))</f>
        <v>EXCH2 ROAD</v>
      </c>
      <c r="I61" s="51" t="str">
        <f ca="1">(INDIRECT("'Data'!X"&amp;($C$1)))</f>
        <v>FRST</v>
      </c>
      <c r="J61" s="51" t="str">
        <f ca="1">(INDIRECT("'Data'!BG"&amp;($C$1)))</f>
        <v>1U - Change to EDMI MK7b Smart</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106960</v>
      </c>
      <c r="N5" s="50" t="str">
        <f ca="1">(INDIRECT("'Data'!AW"&amp;($C$1)))</f>
        <v>EXCH3 ROAD</v>
      </c>
      <c r="O5" s="51" t="str">
        <f ca="1">CONCATENATE(RIGHT((INDIRECT("'Data'!X"&amp;($C$1))),5),"-",RIGHT(S7&amp;(INDIRECT("'Data'!Y"&amp;($C$1))),5))</f>
        <v>FRST-06960</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106960</v>
      </c>
      <c r="K7" s="50" t="str">
        <f ca="1">(INDIRECT("'Data'!AW"&amp;($C$1)))</f>
        <v>EXCH3 ROAD</v>
      </c>
      <c r="L7" s="50" t="str">
        <f ca="1">(INDIRECT("'Data'!E"&amp;($C$1)))</f>
        <v>S</v>
      </c>
      <c r="M7" s="50" t="str">
        <f ca="1">(INDIRECT("'Data'!AI"&amp;($C$1)))</f>
        <v>2017-06-26 08:00</v>
      </c>
      <c r="N7" s="51" t="str">
        <f ca="1">(INDIRECT("'Data'!BG"&amp;($C$1)))</f>
        <v>1U - Change to EDMI Smart DF (G4)</v>
      </c>
      <c r="O7" s="51" t="str">
        <f ca="1">(INDIRECT("'Data'!CN"&amp;($C$1)))</f>
        <v>Exchange Meter - PP to Credit Mtr Sys</v>
      </c>
      <c r="P7" s="51" t="str">
        <f ca="1">(INDIRECT("'Data'!AH"&amp;($C$1)))</f>
        <v>Site_Contact_106960</v>
      </c>
      <c r="Q7" s="52" t="str">
        <f ca="1">(INDIRECT("'Data'!AE"&amp;($C$1)))</f>
        <v>LAST_METER-106960</v>
      </c>
      <c r="R7" s="52" t="str">
        <f ca="1">(INDIRECT("'Data'!DK"&amp;($C$1)))</f>
        <v>G</v>
      </c>
      <c r="S7" s="52">
        <f ca="1">(INDIRECT("'Data'!D"&amp;($C$1)))</f>
        <v>106960</v>
      </c>
      <c r="T7" s="52" t="str">
        <f ca="1">INDIRECT("'Data'!M"&amp;($C$1))</f>
        <v>Q</v>
      </c>
      <c r="U7" s="52" t="str">
        <f ca="1">INDIRECT("'Data'!AM"&amp;($C$1))</f>
        <v>0115106960</v>
      </c>
      <c r="V7" s="52" t="str">
        <f ca="1">(INDIRECT("'Data'!N"&amp;($C$1)))</f>
        <v>UK_1_F</v>
      </c>
      <c r="W7" s="52">
        <f ca="1">(INDIRECT("'Data'!O"&amp;($C$1)))</f>
        <v>0</v>
      </c>
      <c r="X7" s="52" t="str">
        <f ca="1">(INDIRECT("'Data'!P"&amp;($C$1)))</f>
        <v>SN-106960</v>
      </c>
      <c r="Y7" s="52" t="str">
        <f ca="1">(INDIRECT("'Data'!C"&amp;($C$1)))</f>
        <v>Automation</v>
      </c>
      <c r="Z7" s="52" t="str">
        <f ca="1">(INDIRECT("'Data'!Q"&amp;($C$1)))</f>
        <v>SI-106960</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10000000106960</v>
      </c>
      <c r="J9" s="51">
        <f ca="1">(INDIRECT("'Data'!BX"&amp;($C$1)))</f>
        <v>0</v>
      </c>
      <c r="K9" s="51" t="str">
        <f ca="1">(INDIRECT("'Data'!BO"&amp;($C$1)))</f>
        <v>S05S106960</v>
      </c>
      <c r="L9" s="51" t="str">
        <f ca="1">(INDIRECT("'Data'!CQ"&amp;($C$1)))</f>
        <v>10000106960</v>
      </c>
      <c r="M9" s="51" t="str">
        <f ca="1">(INDIRECT("'Data'!CO"&amp;($C$1)))</f>
        <v>GAS_JOB_ID-106960</v>
      </c>
      <c r="N9" s="51" t="str">
        <f ca="1">(INDIRECT("'Data'!CR"&amp;($C$1)))</f>
        <v>C</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Site_Contact_106960</v>
      </c>
      <c r="K11" s="51" t="str">
        <f ca="1">(INDIRECT("'Data'!BA"&amp;($C$1)))</f>
        <v>C</v>
      </c>
      <c r="L11" s="51" t="str">
        <f ca="1">(INDIRECT("'Data'!BD"&amp;($C$1)))</f>
        <v>E73FST</v>
      </c>
      <c r="M11" s="51" t="str">
        <f ca="1">(INDIRECT("'Data'!BO"&amp;($C$1)))</f>
        <v>S05S106960</v>
      </c>
      <c r="N11" s="51" t="str">
        <f ca="1">(INDIRECT("'Data'!CH"&amp;($C$1)))</f>
        <v>E</v>
      </c>
      <c r="O11" s="51" t="str">
        <f ca="1">(INDIRECT("'Data'!CK"&amp;($C$1)))</f>
        <v>G4</v>
      </c>
      <c r="P11" s="51" t="str">
        <f ca="1">(INDIRECT("'Data'!CR"&amp;($C$1)))</f>
        <v>C</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t="shared" ref="H13" ca="1" si="0">(INDIRECT("'Data'!CN"&amp;($C$1)))</f>
        <v>Exchange Meter - PP to Credit Mtr Sys</v>
      </c>
      <c r="I13" s="51" t="str">
        <f ca="1">(INDIRECT("'Data'!AH"&amp;($C$1)))</f>
        <v>Site_Contact_106960</v>
      </c>
      <c r="J13" s="51" t="str">
        <f ca="1">(INDIRECT("'Data'!F"&amp;($C$1)))</f>
        <v>1U - Change to EDMI Smart DF (G4)</v>
      </c>
      <c r="K13" s="50">
        <f ca="1">(INDIRECT("'Data'!AS"&amp;($C$1)))</f>
        <v>0</v>
      </c>
      <c r="L13" s="50" t="str">
        <f ca="1">(INDIRECT("'Data'!AT"&amp;($C$1)))</f>
        <v>TPJR00530</v>
      </c>
      <c r="M13" s="50">
        <f ca="1">(INDIRECT("'Data'!AU"&amp;($C$1)))</f>
        <v>0</v>
      </c>
      <c r="N13" s="50">
        <f ca="1">(INDIRECT("'Data'!AV"&amp;($C$1)))</f>
        <v>106960</v>
      </c>
      <c r="O13" s="50" t="str">
        <f ca="1">(INDIRECT("'Data'!AW"&amp;($C$1)))</f>
        <v>EXCH3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t="shared" ref="H15" ca="1" si="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SOUT</v>
      </c>
      <c r="P33" s="63"/>
      <c r="Q33" s="63">
        <f ca="1">(INDIRECT("'Data'!CI"&amp;($C$1)))</f>
        <v>1</v>
      </c>
      <c r="R33" s="63">
        <f ca="1">(INDIRECT("'Data'!BX"&amp;($C$1)))</f>
        <v>0</v>
      </c>
      <c r="S33" s="63" t="str">
        <f ca="1">(INDIRECT("'Data'!BW"&amp;($C$1)))</f>
        <v>C</v>
      </c>
      <c r="T33" s="63" t="str">
        <f ca="1">(INDIRECT("'Data'!CJ"&amp;($C$1)))</f>
        <v>GAS_ENQ_NO-106960</v>
      </c>
      <c r="U33" s="63" t="str">
        <f ca="1">(INDIRECT("'Data'!CK"&amp;($C$1)))</f>
        <v>G4</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Prev_RA-106960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Meter - PP to Credit Mtr Sys</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t="str">
        <f ca="1">(INDIRECT("'Data'!CO"&amp;($C$1)))</f>
        <v>GAS_JOB_ID-106960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10000106960</v>
      </c>
      <c r="G61" s="50" t="str">
        <f ca="1">(INDIRECT("'Data'!CT"&amp;($C$1)))</f>
        <v>GMETER106960</v>
      </c>
      <c r="H61" s="50" t="str">
        <f ca="1">(INDIRECT("'Data'!DB"&amp;($C$1)))</f>
        <v>GAS_INST_ID-106960</v>
      </c>
      <c r="I61" s="50" t="str">
        <f ca="1">(INDIRECT("'Data'!DC"&amp;($C$1)))</f>
        <v>H</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G00GF (G4)</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 Change to EDMI Smart DF (G4)</v>
      </c>
      <c r="H87" s="135" t="str">
        <f ca="1">(INDIRECT("'Data'!AW"&amp;($C$1)))</f>
        <v>EXCH3 ROAD</v>
      </c>
      <c r="I87" s="51" t="str">
        <f ca="1">(INDIRECT("'Data'!X"&amp;($C$1)))</f>
        <v>FRST</v>
      </c>
      <c r="J87" s="51" t="str">
        <f ca="1">(INDIRECT("'Data'!BG"&amp;($C$1)))</f>
        <v>1U - Change to EDMI Smart DF (G4)</v>
      </c>
      <c r="K87" s="51" t="str">
        <f ca="1">(INDIRECT("'Data'!BL"&amp;($C$1)))</f>
        <v>240</v>
      </c>
      <c r="L87" s="51" t="str">
        <f ca="1">(INDIRECT("'Data'!BZ"&amp;($C$1)))</f>
        <v>A</v>
      </c>
      <c r="M87" s="61" t="str">
        <f>F39</f>
        <v>Z89K12398</v>
      </c>
      <c r="N87" s="63" t="str">
        <f>M47</f>
        <v>Test Witness name</v>
      </c>
      <c r="O87" s="51" t="str">
        <f ca="1">(INDIRECT("'Data'!CN"&amp;($C$1)))</f>
        <v>Exchange Meter - PP to Credit Mtr Sys</v>
      </c>
      <c r="P87" s="51" t="str">
        <f ca="1">(INDIRECT("'Data'!CQ"&amp;($C$1)))</f>
        <v>10000106960</v>
      </c>
      <c r="Q87" s="147" t="str">
        <f>J61</f>
        <v>54321</v>
      </c>
      <c r="R87" s="63" t="str">
        <f ca="1">F67</f>
        <v>G00GF (G4)</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106961</v>
      </c>
      <c r="N5" s="50" t="str">
        <f ca="1">(INDIRECT("'Data'!AW"&amp;($C$1)))</f>
        <v>EXCH3 ROAD</v>
      </c>
      <c r="O5" s="51" t="str">
        <f ca="1">CONCATENATE(RIGHT((INDIRECT("'Data'!X"&amp;($C$1))),5),"-",RIGHT(S7&amp;(INDIRECT("'Data'!Y"&amp;($C$1))),5))</f>
        <v>FRST-06961</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106961</v>
      </c>
      <c r="K7" s="50" t="str">
        <f ca="1">(INDIRECT("'Data'!AW"&amp;($C$1)))</f>
        <v>EXCH3 ROAD</v>
      </c>
      <c r="L7" s="50" t="str">
        <f ca="1">(INDIRECT("'Data'!E"&amp;($C$1)))</f>
        <v>S</v>
      </c>
      <c r="M7" s="50" t="str">
        <f ca="1">(INDIRECT("'Data'!AI"&amp;($C$1)))</f>
        <v>2017-06-26 08:00</v>
      </c>
      <c r="N7" s="51" t="str">
        <f ca="1">(INDIRECT("'Data'!BG"&amp;($C$1)))</f>
        <v>1U - Change to EDMI Smart DF (G4)</v>
      </c>
      <c r="O7" s="51" t="str">
        <f ca="1">(INDIRECT("'Data'!CN"&amp;($C$1)))</f>
        <v>Exchange Meter - PP to Credit Mtr Sys</v>
      </c>
      <c r="P7" s="51" t="str">
        <f ca="1">(INDIRECT("'Data'!AH"&amp;($C$1)))</f>
        <v>Site_Contact_106961</v>
      </c>
      <c r="Q7" s="52" t="str">
        <f ca="1">(INDIRECT("'Data'!AE"&amp;($C$1)))</f>
        <v>LAST_METER-106961</v>
      </c>
      <c r="R7" s="52" t="str">
        <f ca="1">(INDIRECT("'Data'!DK"&amp;($C$1)))</f>
        <v>G</v>
      </c>
      <c r="S7" s="52">
        <f ca="1">(INDIRECT("'Data'!D"&amp;($C$1)))</f>
        <v>106961</v>
      </c>
      <c r="T7" s="52" t="str">
        <f ca="1">INDIRECT("'Data'!M"&amp;($C$1))</f>
        <v>Q</v>
      </c>
      <c r="U7" s="52" t="str">
        <f ca="1">INDIRECT("'Data'!AM"&amp;($C$1))</f>
        <v>0115106961</v>
      </c>
      <c r="V7" s="52" t="str">
        <f ca="1">(INDIRECT("'Data'!N"&amp;($C$1)))</f>
        <v>UK_1_F</v>
      </c>
      <c r="W7" s="52">
        <f ca="1">(INDIRECT("'Data'!O"&amp;($C$1)))</f>
        <v>0</v>
      </c>
      <c r="X7" s="52" t="str">
        <f ca="1">(INDIRECT("'Data'!P"&amp;($C$1)))</f>
        <v>SN-106961</v>
      </c>
      <c r="Y7" s="52" t="str">
        <f ca="1">(INDIRECT("'Data'!C"&amp;($C$1)))</f>
        <v>Automation</v>
      </c>
      <c r="Z7" s="52" t="str">
        <f ca="1">(INDIRECT("'Data'!Q"&amp;($C$1)))</f>
        <v>SI-106961</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(INDIRECT("'Data'!CQ"&amp;($C$1)))</f>
        <v>10000106961</v>
      </c>
      <c r="I9" s="51" t="str">
        <f ca="1">(INDIRECT("'Data'!CO"&amp;($C$1)))</f>
        <v>GAS_JOB_ID-106961</v>
      </c>
      <c r="J9" s="51" t="str">
        <f ca="1">(INDIRECT("'Data'!CR"&amp;($C$1)))</f>
        <v>C</v>
      </c>
      <c r="K9" s="51" t="str">
        <f ca="1">(INDIRECT("'Data'!BL"&amp;($C$1)))</f>
        <v>240</v>
      </c>
      <c r="L9" s="51" t="str">
        <f ca="1">(INDIRECT("'Data'!BJ"&amp;($C$1)))</f>
        <v>10000000106961</v>
      </c>
      <c r="M9" s="51">
        <f ca="1">(INDIRECT("'Data'!BX"&amp;($C$1)))</f>
        <v>0</v>
      </c>
      <c r="N9" s="51" t="str">
        <f ca="1">(INDIRECT("'Data'!BO"&amp;($C$1)))</f>
        <v>S05S106961</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Site_Contact_106961</v>
      </c>
      <c r="K11" s="51" t="str">
        <f ca="1">(INDIRECT("'Data'!BA"&amp;($C$1)))</f>
        <v>C</v>
      </c>
      <c r="L11" s="51" t="str">
        <f ca="1">(INDIRECT("'Data'!BD"&amp;($C$1)))</f>
        <v>E73FST</v>
      </c>
      <c r="M11" s="51" t="str">
        <f ca="1">(INDIRECT("'Data'!BO"&amp;($C$1)))</f>
        <v>S05S106961</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Site_Contact_106961</v>
      </c>
      <c r="J13" s="51" t="str">
        <f ca="1">(INDIRECT("'Data'!F"&amp;($C$1)))</f>
        <v>1U - Change to EDMI Smart DF (G4)</v>
      </c>
      <c r="K13" s="50">
        <f ca="1">(INDIRECT("'Data'!AS"&amp;($C$1)))</f>
        <v>0</v>
      </c>
      <c r="L13" s="50" t="str">
        <f ca="1">(INDIRECT("'Data'!AT"&amp;($C$1)))</f>
        <v>TPJR00530</v>
      </c>
      <c r="M13" s="50">
        <f ca="1">(INDIRECT("'Data'!AU"&amp;($C$1)))</f>
        <v>0</v>
      </c>
      <c r="N13" s="50">
        <f ca="1">(INDIRECT("'Data'!AV"&amp;($C$1)))</f>
        <v>106961</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SOUT</v>
      </c>
      <c r="N33" s="63"/>
      <c r="O33" s="63">
        <f ca="1">(INDIRECT("'Data'!CI"&amp;($C$1)))</f>
        <v>1</v>
      </c>
      <c r="P33" s="63">
        <f ca="1">(INDIRECT("'Data'!BX"&amp;($C$1)))</f>
        <v>0</v>
      </c>
      <c r="Q33" s="63" t="str">
        <f ca="1">(INDIRECT("'Data'!BW"&amp;($C$1)))</f>
        <v>C</v>
      </c>
      <c r="R33" s="63" t="str">
        <f ca="1">(INDIRECT("'Data'!CJ"&amp;($C$1)))</f>
        <v>GAS_ENQ_NO-106961</v>
      </c>
      <c r="S33" s="63" t="str">
        <f ca="1">(INDIRECT("'Data'!CK"&amp;($C$1)))</f>
        <v>G4</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Prev_RA-106961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Meter - PP to Credit Mtr Sys</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t="str">
        <f ca="1">(INDIRECT("'Data'!CO"&amp;($C$1)))</f>
        <v>GAS_JOB_ID-106961</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10000106961</v>
      </c>
      <c r="G65" s="50" t="str">
        <f ca="1">(INDIRECT("'Data'!CT"&amp;($C$1)))</f>
        <v>GMETER106961</v>
      </c>
      <c r="H65" s="50" t="str">
        <f ca="1">(INDIRECT("'Data'!DB"&amp;($C$1)))</f>
        <v>GAS_INST_ID-106961</v>
      </c>
      <c r="I65" s="50" t="str">
        <f ca="1">(INDIRECT("'Data'!DC"&amp;($C$1)))</f>
        <v>H</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G00GF (G4)</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 Change to EDMI Smart DF (G4)</v>
      </c>
      <c r="H91" s="135" t="str">
        <f ca="1">(INDIRECT("'Data'!AW"&amp;($C$1)))</f>
        <v>EXCH3 ROAD</v>
      </c>
      <c r="I91" s="51" t="str">
        <f ca="1">(INDIRECT("'Data'!X"&amp;($C$1)))</f>
        <v>FRST</v>
      </c>
      <c r="J91" s="51" t="str">
        <f ca="1">(INDIRECT("'Data'!BG"&amp;($C$1)))</f>
        <v>1U - Change to EDMI Smart DF (G4)</v>
      </c>
      <c r="K91" s="51" t="str">
        <f ca="1">(INDIRECT("'Data'!BL"&amp;($C$1)))</f>
        <v>240</v>
      </c>
      <c r="L91" s="62" t="str">
        <f>F43</f>
        <v>123456</v>
      </c>
      <c r="M91" s="61" t="str">
        <f>F39</f>
        <v>Z89K12398</v>
      </c>
      <c r="N91" s="63" t="str">
        <f>M47</f>
        <v>Test Witness name</v>
      </c>
      <c r="O91" s="51" t="str">
        <f ca="1">(INDIRECT("'Data'!CN"&amp;($C$1)))</f>
        <v>Exchange Meter - PP to Credit Mtr Sys</v>
      </c>
      <c r="P91" s="51" t="str">
        <f ca="1">(INDIRECT("'Data'!CQ"&amp;($C$1)))</f>
        <v>10000106961</v>
      </c>
      <c r="Q91" s="147" t="str">
        <f>J65</f>
        <v>54321</v>
      </c>
      <c r="R91" s="63" t="str">
        <f ca="1">F71</f>
        <v>G00GF (G4)</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106962</v>
      </c>
      <c r="N5" s="50" t="str">
        <f ca="1">(INDIRECT("'Data'!AW"&amp;($C$1)))</f>
        <v>EXCH3 ROAD</v>
      </c>
      <c r="O5" s="51" t="str">
        <f ca="1">CONCATENATE(RIGHT((INDIRECT("'Data'!X"&amp;($C$1))),5),"-",RIGHT(S7&amp;(INDIRECT("'Data'!Y"&amp;($C$1))),5))</f>
        <v>FRST-06962</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106962</v>
      </c>
      <c r="K7" s="50" t="str">
        <f ca="1">(INDIRECT("'Data'!AW"&amp;($C$1)))</f>
        <v>EXCH3 ROAD</v>
      </c>
      <c r="L7" s="50" t="str">
        <f ca="1">(INDIRECT("'Data'!E"&amp;($C$1)))</f>
        <v>S</v>
      </c>
      <c r="M7" s="50" t="str">
        <f ca="1">(INDIRECT("'Data'!AI"&amp;($C$1)))</f>
        <v>2017-06-26 08:00</v>
      </c>
      <c r="N7" s="51" t="str">
        <f ca="1">(INDIRECT("'Data'!BG"&amp;($C$1)))</f>
        <v>1U - Change to EDMI Smart DF (G4)</v>
      </c>
      <c r="O7" s="51" t="str">
        <f ca="1">(INDIRECT("'Data'!CN"&amp;($C$1)))</f>
        <v>Exchange Meter - PP to Credit Mtr Sys</v>
      </c>
      <c r="P7" s="51" t="str">
        <f ca="1">(INDIRECT("'Data'!AH"&amp;($C$1)))</f>
        <v>Site_Contact_106962</v>
      </c>
      <c r="Q7" s="52" t="str">
        <f ca="1">(INDIRECT("'Data'!AE"&amp;($C$1)))</f>
        <v>LAST_METER-106962</v>
      </c>
      <c r="R7" s="52" t="str">
        <f ca="1">(INDIRECT("'Data'!DK"&amp;($C$1)))</f>
        <v>G</v>
      </c>
      <c r="S7" s="52">
        <f ca="1">(INDIRECT("'Data'!D"&amp;($C$1)))</f>
        <v>106962</v>
      </c>
      <c r="T7" s="52" t="str">
        <f ca="1">INDIRECT("'Data'!M"&amp;($C$1))</f>
        <v>Q</v>
      </c>
      <c r="U7" s="52" t="str">
        <f ca="1">INDIRECT("'Data'!AM"&amp;($C$1))</f>
        <v>0115106962</v>
      </c>
      <c r="V7" s="52" t="str">
        <f ca="1">(INDIRECT("'Data'!N"&amp;($C$1)))</f>
        <v>UK_1_F</v>
      </c>
      <c r="W7" s="52">
        <f ca="1">(INDIRECT("'Data'!O"&amp;($C$1)))</f>
        <v>0</v>
      </c>
      <c r="X7" s="52" t="str">
        <f ca="1">(INDIRECT("'Data'!P"&amp;($C$1)))</f>
        <v>SN-106962</v>
      </c>
      <c r="Y7" s="52" t="str">
        <f ca="1">(INDIRECT("'Data'!C"&amp;($C$1)))</f>
        <v>Automation</v>
      </c>
      <c r="Z7" s="52" t="str">
        <f ca="1">(INDIRECT("'Data'!Q"&amp;($C$1)))</f>
        <v>SI-106962</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10000000106962</v>
      </c>
      <c r="J9" s="51">
        <f ca="1">(INDIRECT("'Data'!BX"&amp;($C$1)))</f>
        <v>0</v>
      </c>
      <c r="K9" s="51" t="str">
        <f ca="1">(INDIRECT("'Data'!BO"&amp;($C$1)))</f>
        <v>S05S106962</v>
      </c>
      <c r="L9" s="51" t="str">
        <f ca="1">(INDIRECT("'Data'!CQ"&amp;($C$1)))</f>
        <v>10000106962</v>
      </c>
      <c r="M9" s="51" t="str">
        <f ca="1">(INDIRECT("'Data'!CO"&amp;($C$1)))</f>
        <v>GAS_JOB_ID-106962</v>
      </c>
      <c r="N9" s="51" t="str">
        <f ca="1">(INDIRECT("'Data'!CR"&amp;($C$1)))</f>
        <v>C</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Site_Contact_106962</v>
      </c>
      <c r="K11" s="51" t="str">
        <f ca="1">(INDIRECT("'Data'!BA"&amp;($C$1)))</f>
        <v>C</v>
      </c>
      <c r="L11" s="51" t="str">
        <f ca="1">(INDIRECT("'Data'!BD"&amp;($C$1)))</f>
        <v>E73FST</v>
      </c>
      <c r="M11" s="51" t="str">
        <f ca="1">(INDIRECT("'Data'!BO"&amp;($C$1)))</f>
        <v>S05S106962</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Site_Contact_106962</v>
      </c>
      <c r="J13" s="51" t="str">
        <f ca="1">(INDIRECT("'Data'!F"&amp;($C$1)))</f>
        <v>1U - Change to EDMI Smart DF (G4)</v>
      </c>
      <c r="K13" s="50">
        <f ca="1">(INDIRECT("'Data'!AS"&amp;($C$1)))</f>
        <v>0</v>
      </c>
      <c r="L13" s="50" t="str">
        <f ca="1">(INDIRECT("'Data'!AT"&amp;($C$1)))</f>
        <v>TPJR00530</v>
      </c>
      <c r="M13" s="50">
        <f ca="1">(INDIRECT("'Data'!AU"&amp;($C$1)))</f>
        <v>0</v>
      </c>
      <c r="N13" s="50">
        <f ca="1">(INDIRECT("'Data'!AV"&amp;($C$1)))</f>
        <v>106962</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Site_Contact_106962</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SOUT</v>
      </c>
      <c r="O23" s="63" t="str">
        <f ca="1">(INDIRECT("'Data'!CB"&amp;($C$1)))</f>
        <v>01</v>
      </c>
      <c r="P23" s="63">
        <f ca="1">(INDIRECT("'Data'!CI"&amp;($C$1)))</f>
        <v>1</v>
      </c>
      <c r="Q23" s="63">
        <f ca="1">(INDIRECT("'Data'!BX"&amp;($C$1)))</f>
        <v>0</v>
      </c>
      <c r="R23" s="63" t="str">
        <f ca="1">(INDIRECT("'Data'!BW"&amp;($C$1)))</f>
        <v>C</v>
      </c>
      <c r="S23" s="63" t="str">
        <f ca="1">(INDIRECT("'Data'!CJ"&amp;($C$1)))</f>
        <v>GAS_ENQ_NO-106962</v>
      </c>
      <c r="T23" s="63" t="str">
        <f ca="1">(INDIRECT("'Data'!CK"&amp;($C$1)))</f>
        <v>G4</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Prev_RA-106962 Volt EGP Ref</v>
      </c>
      <c r="K43" s="63" t="s">
        <v>135</v>
      </c>
      <c r="L43" s="48" t="s">
        <v>73</v>
      </c>
      <c r="M43" s="63" t="str">
        <f ca="1">(INDIRECT("'Data'!S"&amp;($C$1))) &amp; " Tamper EGP Ref"</f>
        <v>Prev_RA-106962 Tamper EGP Ref</v>
      </c>
      <c r="N43" s="63" t="s">
        <v>135</v>
      </c>
      <c r="O43" s="63" t="s">
        <v>73</v>
      </c>
      <c r="P43" s="63" t="str">
        <f ca="1">(INDIRECT("'Data'!S"&amp;($C$1))) &amp; " ECV EGP Ref"</f>
        <v>Prev_RA-106962 ECV EGP Ref</v>
      </c>
      <c r="Q43" s="63" t="s">
        <v>135</v>
      </c>
      <c r="R43" s="63" t="s">
        <v>73</v>
      </c>
      <c r="S43" s="63" t="str">
        <f ca="1">(INDIRECT("'Data'!S"&amp;($C$1))) &amp; " Are Safe EGP Ref"</f>
        <v>Prev_RA-106962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Prev_RA-106962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Meter - PP to Credit Mtr Sys</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t="str">
        <f ca="1">(INDIRECT("'Data'!CO"&amp;($C$1)))</f>
        <v>GAS_JOB_ID-106962</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10000106962</v>
      </c>
      <c r="G49" s="50" t="str">
        <f ca="1">(INDIRECT("'Data'!CT"&amp;($C$1)))</f>
        <v>GMETER106962</v>
      </c>
      <c r="H49" s="50" t="str">
        <f ca="1">(INDIRECT("'Data'!DB"&amp;($C$1)))</f>
        <v>GAS_INST_ID-106962</v>
      </c>
      <c r="I49" s="50" t="str">
        <f ca="1">(INDIRECT("'Data'!DC"&amp;($C$1)))</f>
        <v>H</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G00GF (G4)</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 Change to EDMI Smart DF (G4)</v>
      </c>
      <c r="H69" s="135" t="str">
        <f ca="1">(INDIRECT("'Data'!AW"&amp;($C$1)))</f>
        <v>EXCH3 ROAD</v>
      </c>
      <c r="I69" s="51" t="str">
        <f ca="1">(INDIRECT("'Data'!X"&amp;($C$1)))</f>
        <v>FRST</v>
      </c>
      <c r="J69" s="51" t="str">
        <f ca="1">(INDIRECT("'Data'!BG"&amp;($C$1)))</f>
        <v>1U - Change to EDMI Smart DF (G4)</v>
      </c>
      <c r="K69" s="51" t="str">
        <f ca="1">(INDIRECT("'Data'!BL"&amp;($C$1)))</f>
        <v>240</v>
      </c>
      <c r="L69" s="62" t="str">
        <f>N25</f>
        <v>12345</v>
      </c>
      <c r="M69" s="61" t="str">
        <f>F31</f>
        <v>Z89K12345</v>
      </c>
      <c r="N69" s="63" t="str">
        <f>M39</f>
        <v>Test Witness name</v>
      </c>
      <c r="O69" s="51" t="str">
        <f ca="1">(INDIRECT("'Data'!CN"&amp;($C$1)))</f>
        <v>Exchange Meter - PP to Credit Mtr Sys</v>
      </c>
      <c r="P69" s="51" t="str">
        <f ca="1">(INDIRECT("'Data'!CQ"&amp;($C$1)))</f>
        <v>10000106962</v>
      </c>
      <c r="Q69" s="147" t="str">
        <f>J49</f>
        <v>54321</v>
      </c>
      <c r="R69" s="63" t="str">
        <f ca="1">F57</f>
        <v>G00GF (G4)</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2017-06-26T15:45:07Z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